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笔记追踪总表" sheetId="1" state="visible" r:id="rId1"/>
    <sheet xmlns:r="http://schemas.openxmlformats.org/officeDocument/2006/relationships" name="② 月度总览Dashboard" sheetId="2" state="visible" r:id="rId2"/>
    <sheet xmlns:r="http://schemas.openxmlformats.org/officeDocument/2006/relationships" name="③ 填写说明" sheetId="3" state="visible" r:id="rId3"/>
    <sheet xmlns:r="http://schemas.openxmlformats.org/officeDocument/2006/relationships" name="选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Microsoft YaHei"/>
      <b val="1"/>
      <color rgb="00000000"/>
      <sz val="10"/>
    </font>
    <font>
      <name val="Microsoft YaHei"/>
      <b val="1"/>
      <color rgb="00FFFFFF"/>
      <sz val="10"/>
    </font>
    <font>
      <name val="Microsoft YaHei"/>
      <b val="1"/>
      <color rgb="00000000"/>
      <sz val="9"/>
    </font>
    <font>
      <name val="Microsoft YaHei"/>
      <color rgb="00000000"/>
      <sz val="9"/>
    </font>
    <font>
      <name val="Microsoft YaHei"/>
      <b val="1"/>
      <color rgb="001F3864"/>
      <sz val="13"/>
    </font>
    <font>
      <name val="Microsoft YaHei"/>
      <color rgb="00808080"/>
      <sz val="9"/>
    </font>
    <font>
      <name val="Microsoft YaHei"/>
      <b val="1"/>
      <color rgb="00375623"/>
      <sz val="11"/>
    </font>
    <font>
      <name val="Microsoft YaHei"/>
      <b val="1"/>
      <color rgb="00FFFFFF"/>
      <sz val="9"/>
    </font>
    <font>
      <name val="Microsoft YaHei"/>
      <b val="1"/>
      <color rgb="001F3864"/>
      <sz val="12"/>
    </font>
    <font>
      <name val="Microsoft YaHei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BF6000"/>
      </patternFill>
    </fill>
    <fill>
      <patternFill patternType="solid">
        <fgColor rgb="00843C0C"/>
      </patternFill>
    </fill>
    <fill>
      <patternFill patternType="solid">
        <fgColor rgb="00525252"/>
      </patternFill>
    </fill>
    <fill>
      <patternFill patternType="solid">
        <fgColor rgb="007030A0"/>
      </patternFill>
    </fill>
    <fill>
      <patternFill patternType="solid">
        <fgColor rgb="00D6DC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E6D9F2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164" fontId="4" fillId="17" borderId="1" applyAlignment="1" pivotButton="0" quotePrefix="0" xfId="0">
      <alignment horizontal="center" vertical="center" wrapText="1"/>
    </xf>
    <xf numFmtId="165" fontId="4" fillId="17" borderId="1" applyAlignment="1" pivotButton="0" quotePrefix="0" xfId="0">
      <alignment horizontal="center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164" fontId="4" fillId="16" borderId="1" applyAlignment="1" pivotButton="0" quotePrefix="0" xfId="0">
      <alignment horizontal="center" vertical="center" wrapText="1"/>
    </xf>
    <xf numFmtId="165" fontId="4" fillId="16" borderId="1" applyAlignment="1" pivotButton="0" quotePrefix="0" xfId="0">
      <alignment horizontal="center" vertical="center" wrapText="1"/>
    </xf>
    <xf numFmtId="3" fontId="4" fillId="1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规范</author>
  </authors>
  <commentList>
    <comment ref="M2" authorId="0" shapeId="0">
      <text>
        <t>红线词：美白/焕白/去黄/淡斑/抗老/A醇/视黄醇/修复屏障/医美/院线/祛痘等。未过审(✅)不得投放。</t>
      </text>
    </comment>
    <comment ref="AD2" authorId="0" shapeId="0">
      <text>
        <t>每轮数据贴截图云链接或编号(IMG_xxxx)，供品牌方复核。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3" customWidth="1" min="4" max="4"/>
    <col width="16" customWidth="1" min="5" max="5"/>
    <col width="12" customWidth="1" min="6" max="6"/>
    <col width="9" customWidth="1" min="7" max="7"/>
    <col width="9" customWidth="1" min="8" max="8"/>
    <col width="15" customWidth="1" min="9" max="9"/>
    <col width="10" customWidth="1" min="10" max="10"/>
    <col width="8" customWidth="1" min="11" max="11"/>
    <col width="14" customWidth="1" min="12" max="12"/>
    <col width="9" customWidth="1" min="13" max="13"/>
    <col width="8" customWidth="1" min="14" max="14"/>
    <col width="8" customWidth="1" min="15" max="15"/>
    <col width="11" customWidth="1" min="16" max="16"/>
    <col width="8" customWidth="1" min="17" max="17"/>
    <col width="22" customWidth="1" min="18" max="18"/>
    <col width="16" customWidth="1" min="19" max="19"/>
    <col width="6" customWidth="1" min="20" max="20"/>
    <col width="8" customWidth="1" min="21" max="21"/>
    <col width="8" customWidth="1" min="22" max="22"/>
    <col width="14" customWidth="1" min="23" max="23"/>
    <col width="10" customWidth="1" min="24" max="24"/>
    <col width="8" customWidth="1" min="25" max="25"/>
    <col width="7" customWidth="1" min="26" max="26"/>
    <col width="7" customWidth="1" min="27" max="27"/>
    <col width="7" customWidth="1" min="28" max="28"/>
    <col width="7" customWidth="1" min="29" max="29"/>
    <col width="10" customWidth="1" min="30" max="30"/>
    <col width="10" customWidth="1" min="31" max="31"/>
    <col width="8" customWidth="1" min="32" max="32"/>
    <col width="7" customWidth="1" min="33" max="33"/>
    <col width="7" customWidth="1" min="34" max="34"/>
    <col width="7" customWidth="1" min="35" max="35"/>
    <col width="7" customWidth="1" min="36" max="36"/>
    <col width="10" customWidth="1" min="37" max="37"/>
    <col width="10" customWidth="1" min="38" max="38"/>
    <col width="8" customWidth="1" min="39" max="39"/>
    <col width="7" customWidth="1" min="40" max="40"/>
    <col width="7" customWidth="1" min="41" max="41"/>
    <col width="7" customWidth="1" min="42" max="42"/>
    <col width="7" customWidth="1" min="43" max="43"/>
    <col width="10" customWidth="1" min="44" max="44"/>
    <col width="8" customWidth="1" min="45" max="45"/>
    <col width="8" customWidth="1" min="46" max="46"/>
    <col width="8" customWidth="1" min="47" max="47"/>
    <col width="9" customWidth="1" min="48" max="48"/>
    <col width="10" customWidth="1" min="49" max="49"/>
    <col width="10" customWidth="1" min="50" max="50"/>
    <col width="8" customWidth="1" min="51" max="51"/>
    <col width="8" customWidth="1" min="52" max="52"/>
    <col width="10" customWidth="1" min="53" max="53"/>
    <col width="18" customWidth="1" min="54" max="54"/>
  </cols>
  <sheetData>
    <row r="1" ht="20" customHeight="1">
      <c r="A1" s="1" t="inlineStr">
        <is>
          <t>排期 · 投前确认</t>
        </is>
      </c>
      <c r="P1" s="2" t="inlineStr">
        <is>
          <t>投后 · 基础</t>
        </is>
      </c>
      <c r="X1" s="3" t="inlineStr">
        <is>
          <t>数据追踪 T+3</t>
        </is>
      </c>
      <c r="AE1" s="4" t="inlineStr">
        <is>
          <t>数据追踪 T+7</t>
        </is>
      </c>
      <c r="AL1" s="5" t="inlineStr">
        <is>
          <t>数据追踪 T+15</t>
        </is>
      </c>
      <c r="AS1" s="6" t="inlineStr">
        <is>
          <t>效率指标（自动公式）</t>
        </is>
      </c>
      <c r="AX1" s="7" t="inlineStr">
        <is>
          <t>结算 · 转化</t>
        </is>
      </c>
    </row>
    <row r="2" ht="30" customHeight="1">
      <c r="A2" s="8" t="inlineStr">
        <is>
          <t>序号</t>
        </is>
      </c>
      <c r="B2" s="8" t="inlineStr">
        <is>
          <t>状态</t>
        </is>
      </c>
      <c r="C2" s="8" t="inlineStr">
        <is>
          <t>计划发布日</t>
        </is>
      </c>
      <c r="D2" s="8" t="inlineStr">
        <is>
          <t>达人名称</t>
        </is>
      </c>
      <c r="E2" s="8" t="inlineStr">
        <is>
          <t>达人主页链接</t>
        </is>
      </c>
      <c r="F2" s="8" t="inlineStr">
        <is>
          <t>合作社/MCN</t>
        </is>
      </c>
      <c r="G2" s="8" t="inlineStr">
        <is>
          <t>达人层级</t>
        </is>
      </c>
      <c r="H2" s="8" t="inlineStr">
        <is>
          <t>内部对接人</t>
        </is>
      </c>
      <c r="I2" s="8" t="inlineStr">
        <is>
          <t>投放产品SPU</t>
        </is>
      </c>
      <c r="J2" s="8" t="inlineStr">
        <is>
          <t>笔记类型</t>
        </is>
      </c>
      <c r="K2" s="8" t="inlineStr">
        <is>
          <t>内容形式</t>
        </is>
      </c>
      <c r="L2" s="8" t="inlineStr">
        <is>
          <t>脚本/初稿链接</t>
        </is>
      </c>
      <c r="M2" s="8" t="inlineStr">
        <is>
          <t>合规审核</t>
        </is>
      </c>
      <c r="N2" s="8" t="inlineStr">
        <is>
          <t>审核人</t>
        </is>
      </c>
      <c r="O2" s="8" t="inlineStr">
        <is>
          <t>确认可投</t>
        </is>
      </c>
      <c r="P2" s="9" t="inlineStr">
        <is>
          <t>实际发布日</t>
        </is>
      </c>
      <c r="Q2" s="9" t="inlineStr">
        <is>
          <t>发布月</t>
        </is>
      </c>
      <c r="R2" s="9" t="inlineStr">
        <is>
          <t>笔记标题</t>
        </is>
      </c>
      <c r="S2" s="9" t="inlineStr">
        <is>
          <t>笔记链接</t>
        </is>
      </c>
      <c r="T2" s="9" t="inlineStr">
        <is>
          <t>图片数</t>
        </is>
      </c>
      <c r="U2" s="9" t="inlineStr">
        <is>
          <t>品牌词植入</t>
        </is>
      </c>
      <c r="V2" s="9" t="inlineStr">
        <is>
          <t>话题维护</t>
        </is>
      </c>
      <c r="W2" s="9" t="inlineStr">
        <is>
          <t>主话题词</t>
        </is>
      </c>
      <c r="X2" s="10" t="inlineStr">
        <is>
          <t>T+3采集日</t>
        </is>
      </c>
      <c r="Y2" s="10" t="inlineStr">
        <is>
          <t>曝光</t>
        </is>
      </c>
      <c r="Z2" s="10" t="inlineStr">
        <is>
          <t>点赞</t>
        </is>
      </c>
      <c r="AA2" s="10" t="inlineStr">
        <is>
          <t>收藏</t>
        </is>
      </c>
      <c r="AB2" s="10" t="inlineStr">
        <is>
          <t>评论</t>
        </is>
      </c>
      <c r="AC2" s="10" t="inlineStr">
        <is>
          <t>分享</t>
        </is>
      </c>
      <c r="AD2" s="10" t="inlineStr">
        <is>
          <t>证据截图</t>
        </is>
      </c>
      <c r="AE2" s="10" t="inlineStr">
        <is>
          <t>T+7采集日</t>
        </is>
      </c>
      <c r="AF2" s="10" t="inlineStr">
        <is>
          <t>曝光</t>
        </is>
      </c>
      <c r="AG2" s="10" t="inlineStr">
        <is>
          <t>点赞</t>
        </is>
      </c>
      <c r="AH2" s="10" t="inlineStr">
        <is>
          <t>收藏</t>
        </is>
      </c>
      <c r="AI2" s="10" t="inlineStr">
        <is>
          <t>评论</t>
        </is>
      </c>
      <c r="AJ2" s="10" t="inlineStr">
        <is>
          <t>分享</t>
        </is>
      </c>
      <c r="AK2" s="10" t="inlineStr">
        <is>
          <t>证据截图</t>
        </is>
      </c>
      <c r="AL2" s="11" t="inlineStr">
        <is>
          <t>T+15采集日</t>
        </is>
      </c>
      <c r="AM2" s="11" t="inlineStr">
        <is>
          <t>曝光</t>
        </is>
      </c>
      <c r="AN2" s="11" t="inlineStr">
        <is>
          <t>点赞</t>
        </is>
      </c>
      <c r="AO2" s="11" t="inlineStr">
        <is>
          <t>收藏</t>
        </is>
      </c>
      <c r="AP2" s="11" t="inlineStr">
        <is>
          <t>评论</t>
        </is>
      </c>
      <c r="AQ2" s="11" t="inlineStr">
        <is>
          <t>分享</t>
        </is>
      </c>
      <c r="AR2" s="11" t="inlineStr">
        <is>
          <t>证据截图</t>
        </is>
      </c>
      <c r="AS2" s="12" t="inlineStr">
        <is>
          <t>最终互动量</t>
        </is>
      </c>
      <c r="AT2" s="12" t="inlineStr">
        <is>
          <t>互动率</t>
        </is>
      </c>
      <c r="AU2" s="12" t="inlineStr">
        <is>
          <t>收藏率</t>
        </is>
      </c>
      <c r="AV2" s="12" t="inlineStr">
        <is>
          <t>CPE互动成本</t>
        </is>
      </c>
      <c r="AW2" s="12" t="inlineStr">
        <is>
          <t>CPM千次曝光</t>
        </is>
      </c>
      <c r="AX2" s="13" t="inlineStr">
        <is>
          <t>笔记费用(元)</t>
        </is>
      </c>
      <c r="AY2" s="13" t="inlineStr">
        <is>
          <t>笔直合作</t>
        </is>
      </c>
      <c r="AZ2" s="13" t="inlineStr">
        <is>
          <t>结算状态</t>
        </is>
      </c>
      <c r="BA2" s="13" t="inlineStr">
        <is>
          <t>成交转化15天</t>
        </is>
      </c>
      <c r="BB2" s="13" t="inlineStr">
        <is>
          <t>备注memo</t>
        </is>
      </c>
    </row>
    <row r="3">
      <c r="A3" s="14" t="n">
        <v>1</v>
      </c>
      <c r="B3" s="15" t="inlineStr">
        <is>
          <t>追踪中</t>
        </is>
      </c>
      <c r="C3" s="15" t="inlineStr">
        <is>
          <t>2026-08-01</t>
        </is>
      </c>
      <c r="D3" s="16" t="inlineStr">
        <is>
          <t>小蓝薯XX</t>
        </is>
      </c>
      <c r="E3" s="16" t="inlineStr">
        <is>
          <t>https://xhs/user/...</t>
        </is>
      </c>
      <c r="F3" s="16" t="inlineStr">
        <is>
          <t>某MCN</t>
        </is>
      </c>
      <c r="G3" s="15" t="inlineStr">
        <is>
          <t>腰部</t>
        </is>
      </c>
      <c r="H3" s="15" t="inlineStr">
        <is>
          <t>曹</t>
        </is>
      </c>
      <c r="I3" s="16" t="inlineStr">
        <is>
          <t>黑钻VC100(黑金)</t>
        </is>
      </c>
      <c r="J3" s="15" t="inlineStr">
        <is>
          <t>A·选购攻略</t>
        </is>
      </c>
      <c r="K3" s="15" t="inlineStr">
        <is>
          <t>图文</t>
        </is>
      </c>
      <c r="L3" s="16" t="inlineStr">
        <is>
          <t>https://drive/...</t>
        </is>
      </c>
      <c r="M3" s="15" t="inlineStr">
        <is>
          <t>✅通过</t>
        </is>
      </c>
      <c r="N3" s="15" t="inlineStr">
        <is>
          <t>曹</t>
        </is>
      </c>
      <c r="O3" s="15" t="inlineStr">
        <is>
          <t>是</t>
        </is>
      </c>
      <c r="P3" s="15" t="inlineStr">
        <is>
          <t>2026-08-03</t>
        </is>
      </c>
      <c r="Q3" s="15">
        <f>IF(P3="","",TEXT(P3,"YYYY-MM"))</f>
        <v/>
      </c>
      <c r="R3" s="16" t="inlineStr">
        <is>
          <t>油皮面膜怎么选｜细致毛孔控油分享</t>
        </is>
      </c>
      <c r="S3" s="16" t="inlineStr">
        <is>
          <t>https://xhs/explore/...</t>
        </is>
      </c>
      <c r="T3" s="15" t="n">
        <v>8</v>
      </c>
      <c r="U3" s="15" t="inlineStr">
        <is>
          <t>是</t>
        </is>
      </c>
      <c r="V3" s="15" t="inlineStr">
        <is>
          <t>已维护</t>
        </is>
      </c>
      <c r="W3" s="16" t="inlineStr">
        <is>
          <t>#面膜怎么选</t>
        </is>
      </c>
      <c r="X3" s="15" t="inlineStr">
        <is>
          <t>2026-08-06</t>
        </is>
      </c>
      <c r="Y3" s="15" t="n">
        <v>3200</v>
      </c>
      <c r="Z3" s="15" t="n">
        <v>110</v>
      </c>
      <c r="AA3" s="15" t="n">
        <v>55</v>
      </c>
      <c r="AB3" s="15" t="n">
        <v>8</v>
      </c>
      <c r="AC3" s="15" t="n">
        <v>20</v>
      </c>
      <c r="AD3" s="15" t="inlineStr">
        <is>
          <t>IMG_001</t>
        </is>
      </c>
      <c r="AE3" s="15" t="inlineStr">
        <is>
          <t>2026-08-10</t>
        </is>
      </c>
      <c r="AF3" s="15" t="n">
        <v>6800</v>
      </c>
      <c r="AG3" s="15" t="n">
        <v>240</v>
      </c>
      <c r="AH3" s="15" t="n">
        <v>150</v>
      </c>
      <c r="AI3" s="15" t="n">
        <v>15</v>
      </c>
      <c r="AJ3" s="15" t="n">
        <v>60</v>
      </c>
      <c r="AK3" s="15" t="inlineStr">
        <is>
          <t>IMG_001</t>
        </is>
      </c>
      <c r="AL3" s="15" t="inlineStr">
        <is>
          <t>2026-08-18</t>
        </is>
      </c>
      <c r="AM3" s="15" t="n">
        <v>9800</v>
      </c>
      <c r="AN3" s="15" t="n">
        <v>357</v>
      </c>
      <c r="AO3" s="15" t="n">
        <v>290</v>
      </c>
      <c r="AP3" s="15" t="n">
        <v>22</v>
      </c>
      <c r="AQ3" s="15" t="n">
        <v>95</v>
      </c>
      <c r="AR3" s="15" t="inlineStr">
        <is>
          <t>IMG_001</t>
        </is>
      </c>
      <c r="AS3" s="15">
        <f>IF(AM3="","",AN3+AO3+AP3+AQ3)</f>
        <v/>
      </c>
      <c r="AT3" s="17">
        <f>IF(OR(AM3="",AM3=0),"",AS3/AM3)</f>
        <v/>
      </c>
      <c r="AU3" s="17">
        <f>IF(OR(AM3="",AM3=0),"",AO3/AM3)</f>
        <v/>
      </c>
      <c r="AV3" s="18">
        <f>IF(OR(AX3="",AS3="",AS3=0),"",AX3/AS3)</f>
        <v/>
      </c>
      <c r="AW3" s="18">
        <f>IF(OR(AX3="",AM3="",AM3=0),"",AX3/AM3*1000)</f>
        <v/>
      </c>
      <c r="AX3" s="19" t="n">
        <v>300</v>
      </c>
      <c r="AY3" s="15" t="inlineStr">
        <is>
          <t>否</t>
        </is>
      </c>
      <c r="AZ3" s="15" t="inlineStr">
        <is>
          <t>未付</t>
        </is>
      </c>
      <c r="BA3" s="15" t="n">
        <v>12</v>
      </c>
      <c r="BB3" s="16" t="inlineStr">
        <is>
          <t>示例行·可删</t>
        </is>
      </c>
    </row>
    <row r="4">
      <c r="A4" s="20" t="n">
        <v>2</v>
      </c>
      <c r="B4" s="21" t="n"/>
      <c r="C4" s="21" t="n"/>
      <c r="D4" s="22" t="n"/>
      <c r="E4" s="22" t="n"/>
      <c r="F4" s="22" t="n"/>
      <c r="G4" s="21" t="n"/>
      <c r="H4" s="21" t="n"/>
      <c r="I4" s="22" t="n"/>
      <c r="J4" s="21" t="n"/>
      <c r="K4" s="21" t="n"/>
      <c r="L4" s="22" t="n"/>
      <c r="M4" s="21" t="n"/>
      <c r="N4" s="21" t="n"/>
      <c r="O4" s="21" t="n"/>
      <c r="P4" s="21" t="n"/>
      <c r="Q4" s="23">
        <f>IF(P4="","",TEXT(P4,"YYYY-MM"))</f>
        <v/>
      </c>
      <c r="R4" s="22" t="n"/>
      <c r="S4" s="22" t="n"/>
      <c r="T4" s="21" t="n"/>
      <c r="U4" s="21" t="n"/>
      <c r="V4" s="21" t="n"/>
      <c r="W4" s="22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3">
        <f>IF(AM4="","",AN4+AO4+AP4+AQ4)</f>
        <v/>
      </c>
      <c r="AT4" s="24">
        <f>IF(OR(AM4="",AM4=0),"",AS4/AM4)</f>
        <v/>
      </c>
      <c r="AU4" s="24">
        <f>IF(OR(AM4="",AM4=0),"",AO4/AM4)</f>
        <v/>
      </c>
      <c r="AV4" s="25">
        <f>IF(OR(AX4="",AS4="",AS4=0),"",AX4/AS4)</f>
        <v/>
      </c>
      <c r="AW4" s="25">
        <f>IF(OR(AX4="",AM4="",AM4=0),"",AX4/AM4*1000)</f>
        <v/>
      </c>
      <c r="AX4" s="26" t="n"/>
      <c r="AY4" s="21" t="n"/>
      <c r="AZ4" s="21" t="n"/>
      <c r="BA4" s="21" t="n"/>
      <c r="BB4" s="22" t="n"/>
    </row>
    <row r="5">
      <c r="A5" s="20" t="n">
        <v>3</v>
      </c>
      <c r="B5" s="21" t="n"/>
      <c r="C5" s="21" t="n"/>
      <c r="D5" s="22" t="n"/>
      <c r="E5" s="22" t="n"/>
      <c r="F5" s="22" t="n"/>
      <c r="G5" s="21" t="n"/>
      <c r="H5" s="21" t="n"/>
      <c r="I5" s="22" t="n"/>
      <c r="J5" s="21" t="n"/>
      <c r="K5" s="21" t="n"/>
      <c r="L5" s="22" t="n"/>
      <c r="M5" s="21" t="n"/>
      <c r="N5" s="21" t="n"/>
      <c r="O5" s="21" t="n"/>
      <c r="P5" s="21" t="n"/>
      <c r="Q5" s="23">
        <f>IF(P5="","",TEXT(P5,"YYYY-MM"))</f>
        <v/>
      </c>
      <c r="R5" s="22" t="n"/>
      <c r="S5" s="22" t="n"/>
      <c r="T5" s="21" t="n"/>
      <c r="U5" s="21" t="n"/>
      <c r="V5" s="21" t="n"/>
      <c r="W5" s="22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3">
        <f>IF(AM5="","",AN5+AO5+AP5+AQ5)</f>
        <v/>
      </c>
      <c r="AT5" s="24">
        <f>IF(OR(AM5="",AM5=0),"",AS5/AM5)</f>
        <v/>
      </c>
      <c r="AU5" s="24">
        <f>IF(OR(AM5="",AM5=0),"",AO5/AM5)</f>
        <v/>
      </c>
      <c r="AV5" s="25">
        <f>IF(OR(AX5="",AS5="",AS5=0),"",AX5/AS5)</f>
        <v/>
      </c>
      <c r="AW5" s="25">
        <f>IF(OR(AX5="",AM5="",AM5=0),"",AX5/AM5*1000)</f>
        <v/>
      </c>
      <c r="AX5" s="26" t="n"/>
      <c r="AY5" s="21" t="n"/>
      <c r="AZ5" s="21" t="n"/>
      <c r="BA5" s="21" t="n"/>
      <c r="BB5" s="22" t="n"/>
    </row>
    <row r="6">
      <c r="A6" s="20" t="n">
        <v>4</v>
      </c>
      <c r="B6" s="21" t="n"/>
      <c r="C6" s="21" t="n"/>
      <c r="D6" s="22" t="n"/>
      <c r="E6" s="22" t="n"/>
      <c r="F6" s="22" t="n"/>
      <c r="G6" s="21" t="n"/>
      <c r="H6" s="21" t="n"/>
      <c r="I6" s="22" t="n"/>
      <c r="J6" s="21" t="n"/>
      <c r="K6" s="21" t="n"/>
      <c r="L6" s="22" t="n"/>
      <c r="M6" s="21" t="n"/>
      <c r="N6" s="21" t="n"/>
      <c r="O6" s="21" t="n"/>
      <c r="P6" s="21" t="n"/>
      <c r="Q6" s="23">
        <f>IF(P6="","",TEXT(P6,"YYYY-MM"))</f>
        <v/>
      </c>
      <c r="R6" s="22" t="n"/>
      <c r="S6" s="22" t="n"/>
      <c r="T6" s="21" t="n"/>
      <c r="U6" s="21" t="n"/>
      <c r="V6" s="21" t="n"/>
      <c r="W6" s="22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  <c r="AP6" s="21" t="n"/>
      <c r="AQ6" s="21" t="n"/>
      <c r="AR6" s="21" t="n"/>
      <c r="AS6" s="23">
        <f>IF(AM6="","",AN6+AO6+AP6+AQ6)</f>
        <v/>
      </c>
      <c r="AT6" s="24">
        <f>IF(OR(AM6="",AM6=0),"",AS6/AM6)</f>
        <v/>
      </c>
      <c r="AU6" s="24">
        <f>IF(OR(AM6="",AM6=0),"",AO6/AM6)</f>
        <v/>
      </c>
      <c r="AV6" s="25">
        <f>IF(OR(AX6="",AS6="",AS6=0),"",AX6/AS6)</f>
        <v/>
      </c>
      <c r="AW6" s="25">
        <f>IF(OR(AX6="",AM6="",AM6=0),"",AX6/AM6*1000)</f>
        <v/>
      </c>
      <c r="AX6" s="26" t="n"/>
      <c r="AY6" s="21" t="n"/>
      <c r="AZ6" s="21" t="n"/>
      <c r="BA6" s="21" t="n"/>
      <c r="BB6" s="22" t="n"/>
    </row>
    <row r="7">
      <c r="A7" s="20" t="n">
        <v>5</v>
      </c>
      <c r="B7" s="21" t="n"/>
      <c r="C7" s="21" t="n"/>
      <c r="D7" s="22" t="n"/>
      <c r="E7" s="22" t="n"/>
      <c r="F7" s="22" t="n"/>
      <c r="G7" s="21" t="n"/>
      <c r="H7" s="21" t="n"/>
      <c r="I7" s="22" t="n"/>
      <c r="J7" s="21" t="n"/>
      <c r="K7" s="21" t="n"/>
      <c r="L7" s="22" t="n"/>
      <c r="M7" s="21" t="n"/>
      <c r="N7" s="21" t="n"/>
      <c r="O7" s="21" t="n"/>
      <c r="P7" s="21" t="n"/>
      <c r="Q7" s="23">
        <f>IF(P7="","",TEXT(P7,"YYYY-MM"))</f>
        <v/>
      </c>
      <c r="R7" s="22" t="n"/>
      <c r="S7" s="22" t="n"/>
      <c r="T7" s="21" t="n"/>
      <c r="U7" s="21" t="n"/>
      <c r="V7" s="21" t="n"/>
      <c r="W7" s="22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3">
        <f>IF(AM7="","",AN7+AO7+AP7+AQ7)</f>
        <v/>
      </c>
      <c r="AT7" s="24">
        <f>IF(OR(AM7="",AM7=0),"",AS7/AM7)</f>
        <v/>
      </c>
      <c r="AU7" s="24">
        <f>IF(OR(AM7="",AM7=0),"",AO7/AM7)</f>
        <v/>
      </c>
      <c r="AV7" s="25">
        <f>IF(OR(AX7="",AS7="",AS7=0),"",AX7/AS7)</f>
        <v/>
      </c>
      <c r="AW7" s="25">
        <f>IF(OR(AX7="",AM7="",AM7=0),"",AX7/AM7*1000)</f>
        <v/>
      </c>
      <c r="AX7" s="26" t="n"/>
      <c r="AY7" s="21" t="n"/>
      <c r="AZ7" s="21" t="n"/>
      <c r="BA7" s="21" t="n"/>
      <c r="BB7" s="22" t="n"/>
    </row>
    <row r="8">
      <c r="A8" s="20" t="n">
        <v>6</v>
      </c>
      <c r="B8" s="21" t="n"/>
      <c r="C8" s="21" t="n"/>
      <c r="D8" s="22" t="n"/>
      <c r="E8" s="22" t="n"/>
      <c r="F8" s="22" t="n"/>
      <c r="G8" s="21" t="n"/>
      <c r="H8" s="21" t="n"/>
      <c r="I8" s="22" t="n"/>
      <c r="J8" s="21" t="n"/>
      <c r="K8" s="21" t="n"/>
      <c r="L8" s="22" t="n"/>
      <c r="M8" s="21" t="n"/>
      <c r="N8" s="21" t="n"/>
      <c r="O8" s="21" t="n"/>
      <c r="P8" s="21" t="n"/>
      <c r="Q8" s="23">
        <f>IF(P8="","",TEXT(P8,"YYYY-MM"))</f>
        <v/>
      </c>
      <c r="R8" s="22" t="n"/>
      <c r="S8" s="22" t="n"/>
      <c r="T8" s="21" t="n"/>
      <c r="U8" s="21" t="n"/>
      <c r="V8" s="21" t="n"/>
      <c r="W8" s="22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3">
        <f>IF(AM8="","",AN8+AO8+AP8+AQ8)</f>
        <v/>
      </c>
      <c r="AT8" s="24">
        <f>IF(OR(AM8="",AM8=0),"",AS8/AM8)</f>
        <v/>
      </c>
      <c r="AU8" s="24">
        <f>IF(OR(AM8="",AM8=0),"",AO8/AM8)</f>
        <v/>
      </c>
      <c r="AV8" s="25">
        <f>IF(OR(AX8="",AS8="",AS8=0),"",AX8/AS8)</f>
        <v/>
      </c>
      <c r="AW8" s="25">
        <f>IF(OR(AX8="",AM8="",AM8=0),"",AX8/AM8*1000)</f>
        <v/>
      </c>
      <c r="AX8" s="26" t="n"/>
      <c r="AY8" s="21" t="n"/>
      <c r="AZ8" s="21" t="n"/>
      <c r="BA8" s="21" t="n"/>
      <c r="BB8" s="22" t="n"/>
    </row>
    <row r="9">
      <c r="A9" s="20" t="n">
        <v>7</v>
      </c>
      <c r="B9" s="21" t="n"/>
      <c r="C9" s="21" t="n"/>
      <c r="D9" s="22" t="n"/>
      <c r="E9" s="22" t="n"/>
      <c r="F9" s="22" t="n"/>
      <c r="G9" s="21" t="n"/>
      <c r="H9" s="21" t="n"/>
      <c r="I9" s="22" t="n"/>
      <c r="J9" s="21" t="n"/>
      <c r="K9" s="21" t="n"/>
      <c r="L9" s="22" t="n"/>
      <c r="M9" s="21" t="n"/>
      <c r="N9" s="21" t="n"/>
      <c r="O9" s="21" t="n"/>
      <c r="P9" s="21" t="n"/>
      <c r="Q9" s="23">
        <f>IF(P9="","",TEXT(P9,"YYYY-MM"))</f>
        <v/>
      </c>
      <c r="R9" s="22" t="n"/>
      <c r="S9" s="22" t="n"/>
      <c r="T9" s="21" t="n"/>
      <c r="U9" s="21" t="n"/>
      <c r="V9" s="21" t="n"/>
      <c r="W9" s="22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3">
        <f>IF(AM9="","",AN9+AO9+AP9+AQ9)</f>
        <v/>
      </c>
      <c r="AT9" s="24">
        <f>IF(OR(AM9="",AM9=0),"",AS9/AM9)</f>
        <v/>
      </c>
      <c r="AU9" s="24">
        <f>IF(OR(AM9="",AM9=0),"",AO9/AM9)</f>
        <v/>
      </c>
      <c r="AV9" s="25">
        <f>IF(OR(AX9="",AS9="",AS9=0),"",AX9/AS9)</f>
        <v/>
      </c>
      <c r="AW9" s="25">
        <f>IF(OR(AX9="",AM9="",AM9=0),"",AX9/AM9*1000)</f>
        <v/>
      </c>
      <c r="AX9" s="26" t="n"/>
      <c r="AY9" s="21" t="n"/>
      <c r="AZ9" s="21" t="n"/>
      <c r="BA9" s="21" t="n"/>
      <c r="BB9" s="22" t="n"/>
    </row>
    <row r="10">
      <c r="A10" s="20" t="n">
        <v>8</v>
      </c>
      <c r="B10" s="21" t="n"/>
      <c r="C10" s="21" t="n"/>
      <c r="D10" s="22" t="n"/>
      <c r="E10" s="22" t="n"/>
      <c r="F10" s="22" t="n"/>
      <c r="G10" s="21" t="n"/>
      <c r="H10" s="21" t="n"/>
      <c r="I10" s="22" t="n"/>
      <c r="J10" s="21" t="n"/>
      <c r="K10" s="21" t="n"/>
      <c r="L10" s="22" t="n"/>
      <c r="M10" s="21" t="n"/>
      <c r="N10" s="21" t="n"/>
      <c r="O10" s="21" t="n"/>
      <c r="P10" s="21" t="n"/>
      <c r="Q10" s="23">
        <f>IF(P10="","",TEXT(P10,"YYYY-MM"))</f>
        <v/>
      </c>
      <c r="R10" s="22" t="n"/>
      <c r="S10" s="22" t="n"/>
      <c r="T10" s="21" t="n"/>
      <c r="U10" s="21" t="n"/>
      <c r="V10" s="21" t="n"/>
      <c r="W10" s="22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3">
        <f>IF(AM10="","",AN10+AO10+AP10+AQ10)</f>
        <v/>
      </c>
      <c r="AT10" s="24">
        <f>IF(OR(AM10="",AM10=0),"",AS10/AM10)</f>
        <v/>
      </c>
      <c r="AU10" s="24">
        <f>IF(OR(AM10="",AM10=0),"",AO10/AM10)</f>
        <v/>
      </c>
      <c r="AV10" s="25">
        <f>IF(OR(AX10="",AS10="",AS10=0),"",AX10/AS10)</f>
        <v/>
      </c>
      <c r="AW10" s="25">
        <f>IF(OR(AX10="",AM10="",AM10=0),"",AX10/AM10*1000)</f>
        <v/>
      </c>
      <c r="AX10" s="26" t="n"/>
      <c r="AY10" s="21" t="n"/>
      <c r="AZ10" s="21" t="n"/>
      <c r="BA10" s="21" t="n"/>
      <c r="BB10" s="22" t="n"/>
    </row>
    <row r="11">
      <c r="A11" s="20" t="n">
        <v>9</v>
      </c>
      <c r="B11" s="21" t="n"/>
      <c r="C11" s="21" t="n"/>
      <c r="D11" s="22" t="n"/>
      <c r="E11" s="22" t="n"/>
      <c r="F11" s="22" t="n"/>
      <c r="G11" s="21" t="n"/>
      <c r="H11" s="21" t="n"/>
      <c r="I11" s="22" t="n"/>
      <c r="J11" s="21" t="n"/>
      <c r="K11" s="21" t="n"/>
      <c r="L11" s="22" t="n"/>
      <c r="M11" s="21" t="n"/>
      <c r="N11" s="21" t="n"/>
      <c r="O11" s="21" t="n"/>
      <c r="P11" s="21" t="n"/>
      <c r="Q11" s="23">
        <f>IF(P11="","",TEXT(P11,"YYYY-MM"))</f>
        <v/>
      </c>
      <c r="R11" s="22" t="n"/>
      <c r="S11" s="22" t="n"/>
      <c r="T11" s="21" t="n"/>
      <c r="U11" s="21" t="n"/>
      <c r="V11" s="21" t="n"/>
      <c r="W11" s="22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3">
        <f>IF(AM11="","",AN11+AO11+AP11+AQ11)</f>
        <v/>
      </c>
      <c r="AT11" s="24">
        <f>IF(OR(AM11="",AM11=0),"",AS11/AM11)</f>
        <v/>
      </c>
      <c r="AU11" s="24">
        <f>IF(OR(AM11="",AM11=0),"",AO11/AM11)</f>
        <v/>
      </c>
      <c r="AV11" s="25">
        <f>IF(OR(AX11="",AS11="",AS11=0),"",AX11/AS11)</f>
        <v/>
      </c>
      <c r="AW11" s="25">
        <f>IF(OR(AX11="",AM11="",AM11=0),"",AX11/AM11*1000)</f>
        <v/>
      </c>
      <c r="AX11" s="26" t="n"/>
      <c r="AY11" s="21" t="n"/>
      <c r="AZ11" s="21" t="n"/>
      <c r="BA11" s="21" t="n"/>
      <c r="BB11" s="22" t="n"/>
    </row>
    <row r="12">
      <c r="A12" s="20" t="n">
        <v>10</v>
      </c>
      <c r="B12" s="21" t="n"/>
      <c r="C12" s="21" t="n"/>
      <c r="D12" s="22" t="n"/>
      <c r="E12" s="22" t="n"/>
      <c r="F12" s="22" t="n"/>
      <c r="G12" s="21" t="n"/>
      <c r="H12" s="21" t="n"/>
      <c r="I12" s="22" t="n"/>
      <c r="J12" s="21" t="n"/>
      <c r="K12" s="21" t="n"/>
      <c r="L12" s="22" t="n"/>
      <c r="M12" s="21" t="n"/>
      <c r="N12" s="21" t="n"/>
      <c r="O12" s="21" t="n"/>
      <c r="P12" s="21" t="n"/>
      <c r="Q12" s="23">
        <f>IF(P12="","",TEXT(P12,"YYYY-MM"))</f>
        <v/>
      </c>
      <c r="R12" s="22" t="n"/>
      <c r="S12" s="22" t="n"/>
      <c r="T12" s="21" t="n"/>
      <c r="U12" s="21" t="n"/>
      <c r="V12" s="21" t="n"/>
      <c r="W12" s="22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3">
        <f>IF(AM12="","",AN12+AO12+AP12+AQ12)</f>
        <v/>
      </c>
      <c r="AT12" s="24">
        <f>IF(OR(AM12="",AM12=0),"",AS12/AM12)</f>
        <v/>
      </c>
      <c r="AU12" s="24">
        <f>IF(OR(AM12="",AM12=0),"",AO12/AM12)</f>
        <v/>
      </c>
      <c r="AV12" s="25">
        <f>IF(OR(AX12="",AS12="",AS12=0),"",AX12/AS12)</f>
        <v/>
      </c>
      <c r="AW12" s="25">
        <f>IF(OR(AX12="",AM12="",AM12=0),"",AX12/AM12*1000)</f>
        <v/>
      </c>
      <c r="AX12" s="26" t="n"/>
      <c r="AY12" s="21" t="n"/>
      <c r="AZ12" s="21" t="n"/>
      <c r="BA12" s="21" t="n"/>
      <c r="BB12" s="22" t="n"/>
    </row>
    <row r="13">
      <c r="A13" s="20" t="n">
        <v>11</v>
      </c>
      <c r="B13" s="21" t="n"/>
      <c r="C13" s="21" t="n"/>
      <c r="D13" s="22" t="n"/>
      <c r="E13" s="22" t="n"/>
      <c r="F13" s="22" t="n"/>
      <c r="G13" s="21" t="n"/>
      <c r="H13" s="21" t="n"/>
      <c r="I13" s="22" t="n"/>
      <c r="J13" s="21" t="n"/>
      <c r="K13" s="21" t="n"/>
      <c r="L13" s="22" t="n"/>
      <c r="M13" s="21" t="n"/>
      <c r="N13" s="21" t="n"/>
      <c r="O13" s="21" t="n"/>
      <c r="P13" s="21" t="n"/>
      <c r="Q13" s="23">
        <f>IF(P13="","",TEXT(P13,"YYYY-MM"))</f>
        <v/>
      </c>
      <c r="R13" s="22" t="n"/>
      <c r="S13" s="22" t="n"/>
      <c r="T13" s="21" t="n"/>
      <c r="U13" s="21" t="n"/>
      <c r="V13" s="21" t="n"/>
      <c r="W13" s="22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3">
        <f>IF(AM13="","",AN13+AO13+AP13+AQ13)</f>
        <v/>
      </c>
      <c r="AT13" s="24">
        <f>IF(OR(AM13="",AM13=0),"",AS13/AM13)</f>
        <v/>
      </c>
      <c r="AU13" s="24">
        <f>IF(OR(AM13="",AM13=0),"",AO13/AM13)</f>
        <v/>
      </c>
      <c r="AV13" s="25">
        <f>IF(OR(AX13="",AS13="",AS13=0),"",AX13/AS13)</f>
        <v/>
      </c>
      <c r="AW13" s="25">
        <f>IF(OR(AX13="",AM13="",AM13=0),"",AX13/AM13*1000)</f>
        <v/>
      </c>
      <c r="AX13" s="26" t="n"/>
      <c r="AY13" s="21" t="n"/>
      <c r="AZ13" s="21" t="n"/>
      <c r="BA13" s="21" t="n"/>
      <c r="BB13" s="22" t="n"/>
    </row>
    <row r="14">
      <c r="A14" s="20" t="n">
        <v>12</v>
      </c>
      <c r="B14" s="21" t="n"/>
      <c r="C14" s="21" t="n"/>
      <c r="D14" s="22" t="n"/>
      <c r="E14" s="22" t="n"/>
      <c r="F14" s="22" t="n"/>
      <c r="G14" s="21" t="n"/>
      <c r="H14" s="21" t="n"/>
      <c r="I14" s="22" t="n"/>
      <c r="J14" s="21" t="n"/>
      <c r="K14" s="21" t="n"/>
      <c r="L14" s="22" t="n"/>
      <c r="M14" s="21" t="n"/>
      <c r="N14" s="21" t="n"/>
      <c r="O14" s="21" t="n"/>
      <c r="P14" s="21" t="n"/>
      <c r="Q14" s="23">
        <f>IF(P14="","",TEXT(P14,"YYYY-MM"))</f>
        <v/>
      </c>
      <c r="R14" s="22" t="n"/>
      <c r="S14" s="22" t="n"/>
      <c r="T14" s="21" t="n"/>
      <c r="U14" s="21" t="n"/>
      <c r="V14" s="21" t="n"/>
      <c r="W14" s="22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3">
        <f>IF(AM14="","",AN14+AO14+AP14+AQ14)</f>
        <v/>
      </c>
      <c r="AT14" s="24">
        <f>IF(OR(AM14="",AM14=0),"",AS14/AM14)</f>
        <v/>
      </c>
      <c r="AU14" s="24">
        <f>IF(OR(AM14="",AM14=0),"",AO14/AM14)</f>
        <v/>
      </c>
      <c r="AV14" s="25">
        <f>IF(OR(AX14="",AS14="",AS14=0),"",AX14/AS14)</f>
        <v/>
      </c>
      <c r="AW14" s="25">
        <f>IF(OR(AX14="",AM14="",AM14=0),"",AX14/AM14*1000)</f>
        <v/>
      </c>
      <c r="AX14" s="26" t="n"/>
      <c r="AY14" s="21" t="n"/>
      <c r="AZ14" s="21" t="n"/>
      <c r="BA14" s="21" t="n"/>
      <c r="BB14" s="22" t="n"/>
    </row>
    <row r="15">
      <c r="A15" s="20" t="n">
        <v>13</v>
      </c>
      <c r="B15" s="21" t="n"/>
      <c r="C15" s="21" t="n"/>
      <c r="D15" s="22" t="n"/>
      <c r="E15" s="22" t="n"/>
      <c r="F15" s="22" t="n"/>
      <c r="G15" s="21" t="n"/>
      <c r="H15" s="21" t="n"/>
      <c r="I15" s="22" t="n"/>
      <c r="J15" s="21" t="n"/>
      <c r="K15" s="21" t="n"/>
      <c r="L15" s="22" t="n"/>
      <c r="M15" s="21" t="n"/>
      <c r="N15" s="21" t="n"/>
      <c r="O15" s="21" t="n"/>
      <c r="P15" s="21" t="n"/>
      <c r="Q15" s="23">
        <f>IF(P15="","",TEXT(P15,"YYYY-MM"))</f>
        <v/>
      </c>
      <c r="R15" s="22" t="n"/>
      <c r="S15" s="22" t="n"/>
      <c r="T15" s="21" t="n"/>
      <c r="U15" s="21" t="n"/>
      <c r="V15" s="21" t="n"/>
      <c r="W15" s="22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3">
        <f>IF(AM15="","",AN15+AO15+AP15+AQ15)</f>
        <v/>
      </c>
      <c r="AT15" s="24">
        <f>IF(OR(AM15="",AM15=0),"",AS15/AM15)</f>
        <v/>
      </c>
      <c r="AU15" s="24">
        <f>IF(OR(AM15="",AM15=0),"",AO15/AM15)</f>
        <v/>
      </c>
      <c r="AV15" s="25">
        <f>IF(OR(AX15="",AS15="",AS15=0),"",AX15/AS15)</f>
        <v/>
      </c>
      <c r="AW15" s="25">
        <f>IF(OR(AX15="",AM15="",AM15=0),"",AX15/AM15*1000)</f>
        <v/>
      </c>
      <c r="AX15" s="26" t="n"/>
      <c r="AY15" s="21" t="n"/>
      <c r="AZ15" s="21" t="n"/>
      <c r="BA15" s="21" t="n"/>
      <c r="BB15" s="22" t="n"/>
    </row>
    <row r="16">
      <c r="A16" s="20" t="n">
        <v>14</v>
      </c>
      <c r="B16" s="21" t="n"/>
      <c r="C16" s="21" t="n"/>
      <c r="D16" s="22" t="n"/>
      <c r="E16" s="22" t="n"/>
      <c r="F16" s="22" t="n"/>
      <c r="G16" s="21" t="n"/>
      <c r="H16" s="21" t="n"/>
      <c r="I16" s="22" t="n"/>
      <c r="J16" s="21" t="n"/>
      <c r="K16" s="21" t="n"/>
      <c r="L16" s="22" t="n"/>
      <c r="M16" s="21" t="n"/>
      <c r="N16" s="21" t="n"/>
      <c r="O16" s="21" t="n"/>
      <c r="P16" s="21" t="n"/>
      <c r="Q16" s="23">
        <f>IF(P16="","",TEXT(P16,"YYYY-MM"))</f>
        <v/>
      </c>
      <c r="R16" s="22" t="n"/>
      <c r="S16" s="22" t="n"/>
      <c r="T16" s="21" t="n"/>
      <c r="U16" s="21" t="n"/>
      <c r="V16" s="21" t="n"/>
      <c r="W16" s="22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3">
        <f>IF(AM16="","",AN16+AO16+AP16+AQ16)</f>
        <v/>
      </c>
      <c r="AT16" s="24">
        <f>IF(OR(AM16="",AM16=0),"",AS16/AM16)</f>
        <v/>
      </c>
      <c r="AU16" s="24">
        <f>IF(OR(AM16="",AM16=0),"",AO16/AM16)</f>
        <v/>
      </c>
      <c r="AV16" s="25">
        <f>IF(OR(AX16="",AS16="",AS16=0),"",AX16/AS16)</f>
        <v/>
      </c>
      <c r="AW16" s="25">
        <f>IF(OR(AX16="",AM16="",AM16=0),"",AX16/AM16*1000)</f>
        <v/>
      </c>
      <c r="AX16" s="26" t="n"/>
      <c r="AY16" s="21" t="n"/>
      <c r="AZ16" s="21" t="n"/>
      <c r="BA16" s="21" t="n"/>
      <c r="BB16" s="22" t="n"/>
    </row>
    <row r="17">
      <c r="A17" s="20" t="n">
        <v>15</v>
      </c>
      <c r="B17" s="21" t="n"/>
      <c r="C17" s="21" t="n"/>
      <c r="D17" s="22" t="n"/>
      <c r="E17" s="22" t="n"/>
      <c r="F17" s="22" t="n"/>
      <c r="G17" s="21" t="n"/>
      <c r="H17" s="21" t="n"/>
      <c r="I17" s="22" t="n"/>
      <c r="J17" s="21" t="n"/>
      <c r="K17" s="21" t="n"/>
      <c r="L17" s="22" t="n"/>
      <c r="M17" s="21" t="n"/>
      <c r="N17" s="21" t="n"/>
      <c r="O17" s="21" t="n"/>
      <c r="P17" s="21" t="n"/>
      <c r="Q17" s="23">
        <f>IF(P17="","",TEXT(P17,"YYYY-MM"))</f>
        <v/>
      </c>
      <c r="R17" s="22" t="n"/>
      <c r="S17" s="22" t="n"/>
      <c r="T17" s="21" t="n"/>
      <c r="U17" s="21" t="n"/>
      <c r="V17" s="21" t="n"/>
      <c r="W17" s="22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3">
        <f>IF(AM17="","",AN17+AO17+AP17+AQ17)</f>
        <v/>
      </c>
      <c r="AT17" s="24">
        <f>IF(OR(AM17="",AM17=0),"",AS17/AM17)</f>
        <v/>
      </c>
      <c r="AU17" s="24">
        <f>IF(OR(AM17="",AM17=0),"",AO17/AM17)</f>
        <v/>
      </c>
      <c r="AV17" s="25">
        <f>IF(OR(AX17="",AS17="",AS17=0),"",AX17/AS17)</f>
        <v/>
      </c>
      <c r="AW17" s="25">
        <f>IF(OR(AX17="",AM17="",AM17=0),"",AX17/AM17*1000)</f>
        <v/>
      </c>
      <c r="AX17" s="26" t="n"/>
      <c r="AY17" s="21" t="n"/>
      <c r="AZ17" s="21" t="n"/>
      <c r="BA17" s="21" t="n"/>
      <c r="BB17" s="22" t="n"/>
    </row>
    <row r="18">
      <c r="A18" s="20" t="n">
        <v>16</v>
      </c>
      <c r="B18" s="21" t="n"/>
      <c r="C18" s="21" t="n"/>
      <c r="D18" s="22" t="n"/>
      <c r="E18" s="22" t="n"/>
      <c r="F18" s="22" t="n"/>
      <c r="G18" s="21" t="n"/>
      <c r="H18" s="21" t="n"/>
      <c r="I18" s="22" t="n"/>
      <c r="J18" s="21" t="n"/>
      <c r="K18" s="21" t="n"/>
      <c r="L18" s="22" t="n"/>
      <c r="M18" s="21" t="n"/>
      <c r="N18" s="21" t="n"/>
      <c r="O18" s="21" t="n"/>
      <c r="P18" s="21" t="n"/>
      <c r="Q18" s="23">
        <f>IF(P18="","",TEXT(P18,"YYYY-MM"))</f>
        <v/>
      </c>
      <c r="R18" s="22" t="n"/>
      <c r="S18" s="22" t="n"/>
      <c r="T18" s="21" t="n"/>
      <c r="U18" s="21" t="n"/>
      <c r="V18" s="21" t="n"/>
      <c r="W18" s="22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3">
        <f>IF(AM18="","",AN18+AO18+AP18+AQ18)</f>
        <v/>
      </c>
      <c r="AT18" s="24">
        <f>IF(OR(AM18="",AM18=0),"",AS18/AM18)</f>
        <v/>
      </c>
      <c r="AU18" s="24">
        <f>IF(OR(AM18="",AM18=0),"",AO18/AM18)</f>
        <v/>
      </c>
      <c r="AV18" s="25">
        <f>IF(OR(AX18="",AS18="",AS18=0),"",AX18/AS18)</f>
        <v/>
      </c>
      <c r="AW18" s="25">
        <f>IF(OR(AX18="",AM18="",AM18=0),"",AX18/AM18*1000)</f>
        <v/>
      </c>
      <c r="AX18" s="26" t="n"/>
      <c r="AY18" s="21" t="n"/>
      <c r="AZ18" s="21" t="n"/>
      <c r="BA18" s="21" t="n"/>
      <c r="BB18" s="22" t="n"/>
    </row>
    <row r="19">
      <c r="A19" s="20" t="n">
        <v>17</v>
      </c>
      <c r="B19" s="21" t="n"/>
      <c r="C19" s="21" t="n"/>
      <c r="D19" s="22" t="n"/>
      <c r="E19" s="22" t="n"/>
      <c r="F19" s="22" t="n"/>
      <c r="G19" s="21" t="n"/>
      <c r="H19" s="21" t="n"/>
      <c r="I19" s="22" t="n"/>
      <c r="J19" s="21" t="n"/>
      <c r="K19" s="21" t="n"/>
      <c r="L19" s="22" t="n"/>
      <c r="M19" s="21" t="n"/>
      <c r="N19" s="21" t="n"/>
      <c r="O19" s="21" t="n"/>
      <c r="P19" s="21" t="n"/>
      <c r="Q19" s="23">
        <f>IF(P19="","",TEXT(P19,"YYYY-MM"))</f>
        <v/>
      </c>
      <c r="R19" s="22" t="n"/>
      <c r="S19" s="22" t="n"/>
      <c r="T19" s="21" t="n"/>
      <c r="U19" s="21" t="n"/>
      <c r="V19" s="21" t="n"/>
      <c r="W19" s="22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3">
        <f>IF(AM19="","",AN19+AO19+AP19+AQ19)</f>
        <v/>
      </c>
      <c r="AT19" s="24">
        <f>IF(OR(AM19="",AM19=0),"",AS19/AM19)</f>
        <v/>
      </c>
      <c r="AU19" s="24">
        <f>IF(OR(AM19="",AM19=0),"",AO19/AM19)</f>
        <v/>
      </c>
      <c r="AV19" s="25">
        <f>IF(OR(AX19="",AS19="",AS19=0),"",AX19/AS19)</f>
        <v/>
      </c>
      <c r="AW19" s="25">
        <f>IF(OR(AX19="",AM19="",AM19=0),"",AX19/AM19*1000)</f>
        <v/>
      </c>
      <c r="AX19" s="26" t="n"/>
      <c r="AY19" s="21" t="n"/>
      <c r="AZ19" s="21" t="n"/>
      <c r="BA19" s="21" t="n"/>
      <c r="BB19" s="22" t="n"/>
    </row>
    <row r="20">
      <c r="A20" s="20" t="n">
        <v>18</v>
      </c>
      <c r="B20" s="21" t="n"/>
      <c r="C20" s="21" t="n"/>
      <c r="D20" s="22" t="n"/>
      <c r="E20" s="22" t="n"/>
      <c r="F20" s="22" t="n"/>
      <c r="G20" s="21" t="n"/>
      <c r="H20" s="21" t="n"/>
      <c r="I20" s="22" t="n"/>
      <c r="J20" s="21" t="n"/>
      <c r="K20" s="21" t="n"/>
      <c r="L20" s="22" t="n"/>
      <c r="M20" s="21" t="n"/>
      <c r="N20" s="21" t="n"/>
      <c r="O20" s="21" t="n"/>
      <c r="P20" s="21" t="n"/>
      <c r="Q20" s="23">
        <f>IF(P20="","",TEXT(P20,"YYYY-MM"))</f>
        <v/>
      </c>
      <c r="R20" s="22" t="n"/>
      <c r="S20" s="22" t="n"/>
      <c r="T20" s="21" t="n"/>
      <c r="U20" s="21" t="n"/>
      <c r="V20" s="21" t="n"/>
      <c r="W20" s="22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3">
        <f>IF(AM20="","",AN20+AO20+AP20+AQ20)</f>
        <v/>
      </c>
      <c r="AT20" s="24">
        <f>IF(OR(AM20="",AM20=0),"",AS20/AM20)</f>
        <v/>
      </c>
      <c r="AU20" s="24">
        <f>IF(OR(AM20="",AM20=0),"",AO20/AM20)</f>
        <v/>
      </c>
      <c r="AV20" s="25">
        <f>IF(OR(AX20="",AS20="",AS20=0),"",AX20/AS20)</f>
        <v/>
      </c>
      <c r="AW20" s="25">
        <f>IF(OR(AX20="",AM20="",AM20=0),"",AX20/AM20*1000)</f>
        <v/>
      </c>
      <c r="AX20" s="26" t="n"/>
      <c r="AY20" s="21" t="n"/>
      <c r="AZ20" s="21" t="n"/>
      <c r="BA20" s="21" t="n"/>
      <c r="BB20" s="22" t="n"/>
    </row>
    <row r="21">
      <c r="A21" s="20" t="n">
        <v>19</v>
      </c>
      <c r="B21" s="21" t="n"/>
      <c r="C21" s="21" t="n"/>
      <c r="D21" s="22" t="n"/>
      <c r="E21" s="22" t="n"/>
      <c r="F21" s="22" t="n"/>
      <c r="G21" s="21" t="n"/>
      <c r="H21" s="21" t="n"/>
      <c r="I21" s="22" t="n"/>
      <c r="J21" s="21" t="n"/>
      <c r="K21" s="21" t="n"/>
      <c r="L21" s="22" t="n"/>
      <c r="M21" s="21" t="n"/>
      <c r="N21" s="21" t="n"/>
      <c r="O21" s="21" t="n"/>
      <c r="P21" s="21" t="n"/>
      <c r="Q21" s="23">
        <f>IF(P21="","",TEXT(P21,"YYYY-MM"))</f>
        <v/>
      </c>
      <c r="R21" s="22" t="n"/>
      <c r="S21" s="22" t="n"/>
      <c r="T21" s="21" t="n"/>
      <c r="U21" s="21" t="n"/>
      <c r="V21" s="21" t="n"/>
      <c r="W21" s="22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3">
        <f>IF(AM21="","",AN21+AO21+AP21+AQ21)</f>
        <v/>
      </c>
      <c r="AT21" s="24">
        <f>IF(OR(AM21="",AM21=0),"",AS21/AM21)</f>
        <v/>
      </c>
      <c r="AU21" s="24">
        <f>IF(OR(AM21="",AM21=0),"",AO21/AM21)</f>
        <v/>
      </c>
      <c r="AV21" s="25">
        <f>IF(OR(AX21="",AS21="",AS21=0),"",AX21/AS21)</f>
        <v/>
      </c>
      <c r="AW21" s="25">
        <f>IF(OR(AX21="",AM21="",AM21=0),"",AX21/AM21*1000)</f>
        <v/>
      </c>
      <c r="AX21" s="26" t="n"/>
      <c r="AY21" s="21" t="n"/>
      <c r="AZ21" s="21" t="n"/>
      <c r="BA21" s="21" t="n"/>
      <c r="BB21" s="22" t="n"/>
    </row>
    <row r="22">
      <c r="A22" s="20" t="n">
        <v>20</v>
      </c>
      <c r="B22" s="21" t="n"/>
      <c r="C22" s="21" t="n"/>
      <c r="D22" s="22" t="n"/>
      <c r="E22" s="22" t="n"/>
      <c r="F22" s="22" t="n"/>
      <c r="G22" s="21" t="n"/>
      <c r="H22" s="21" t="n"/>
      <c r="I22" s="22" t="n"/>
      <c r="J22" s="21" t="n"/>
      <c r="K22" s="21" t="n"/>
      <c r="L22" s="22" t="n"/>
      <c r="M22" s="21" t="n"/>
      <c r="N22" s="21" t="n"/>
      <c r="O22" s="21" t="n"/>
      <c r="P22" s="21" t="n"/>
      <c r="Q22" s="23">
        <f>IF(P22="","",TEXT(P22,"YYYY-MM"))</f>
        <v/>
      </c>
      <c r="R22" s="22" t="n"/>
      <c r="S22" s="22" t="n"/>
      <c r="T22" s="21" t="n"/>
      <c r="U22" s="21" t="n"/>
      <c r="V22" s="21" t="n"/>
      <c r="W22" s="22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3">
        <f>IF(AM22="","",AN22+AO22+AP22+AQ22)</f>
        <v/>
      </c>
      <c r="AT22" s="24">
        <f>IF(OR(AM22="",AM22=0),"",AS22/AM22)</f>
        <v/>
      </c>
      <c r="AU22" s="24">
        <f>IF(OR(AM22="",AM22=0),"",AO22/AM22)</f>
        <v/>
      </c>
      <c r="AV22" s="25">
        <f>IF(OR(AX22="",AS22="",AS22=0),"",AX22/AS22)</f>
        <v/>
      </c>
      <c r="AW22" s="25">
        <f>IF(OR(AX22="",AM22="",AM22=0),"",AX22/AM22*1000)</f>
        <v/>
      </c>
      <c r="AX22" s="26" t="n"/>
      <c r="AY22" s="21" t="n"/>
      <c r="AZ22" s="21" t="n"/>
      <c r="BA22" s="21" t="n"/>
      <c r="BB22" s="22" t="n"/>
    </row>
    <row r="23">
      <c r="A23" s="20" t="n">
        <v>21</v>
      </c>
      <c r="B23" s="21" t="n"/>
      <c r="C23" s="21" t="n"/>
      <c r="D23" s="22" t="n"/>
      <c r="E23" s="22" t="n"/>
      <c r="F23" s="22" t="n"/>
      <c r="G23" s="21" t="n"/>
      <c r="H23" s="21" t="n"/>
      <c r="I23" s="22" t="n"/>
      <c r="J23" s="21" t="n"/>
      <c r="K23" s="21" t="n"/>
      <c r="L23" s="22" t="n"/>
      <c r="M23" s="21" t="n"/>
      <c r="N23" s="21" t="n"/>
      <c r="O23" s="21" t="n"/>
      <c r="P23" s="21" t="n"/>
      <c r="Q23" s="23">
        <f>IF(P23="","",TEXT(P23,"YYYY-MM"))</f>
        <v/>
      </c>
      <c r="R23" s="22" t="n"/>
      <c r="S23" s="22" t="n"/>
      <c r="T23" s="21" t="n"/>
      <c r="U23" s="21" t="n"/>
      <c r="V23" s="21" t="n"/>
      <c r="W23" s="22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3">
        <f>IF(AM23="","",AN23+AO23+AP23+AQ23)</f>
        <v/>
      </c>
      <c r="AT23" s="24">
        <f>IF(OR(AM23="",AM23=0),"",AS23/AM23)</f>
        <v/>
      </c>
      <c r="AU23" s="24">
        <f>IF(OR(AM23="",AM23=0),"",AO23/AM23)</f>
        <v/>
      </c>
      <c r="AV23" s="25">
        <f>IF(OR(AX23="",AS23="",AS23=0),"",AX23/AS23)</f>
        <v/>
      </c>
      <c r="AW23" s="25">
        <f>IF(OR(AX23="",AM23="",AM23=0),"",AX23/AM23*1000)</f>
        <v/>
      </c>
      <c r="AX23" s="26" t="n"/>
      <c r="AY23" s="21" t="n"/>
      <c r="AZ23" s="21" t="n"/>
      <c r="BA23" s="21" t="n"/>
      <c r="BB23" s="22" t="n"/>
    </row>
    <row r="24">
      <c r="A24" s="20" t="n">
        <v>22</v>
      </c>
      <c r="B24" s="21" t="n"/>
      <c r="C24" s="21" t="n"/>
      <c r="D24" s="22" t="n"/>
      <c r="E24" s="22" t="n"/>
      <c r="F24" s="22" t="n"/>
      <c r="G24" s="21" t="n"/>
      <c r="H24" s="21" t="n"/>
      <c r="I24" s="22" t="n"/>
      <c r="J24" s="21" t="n"/>
      <c r="K24" s="21" t="n"/>
      <c r="L24" s="22" t="n"/>
      <c r="M24" s="21" t="n"/>
      <c r="N24" s="21" t="n"/>
      <c r="O24" s="21" t="n"/>
      <c r="P24" s="21" t="n"/>
      <c r="Q24" s="23">
        <f>IF(P24="","",TEXT(P24,"YYYY-MM"))</f>
        <v/>
      </c>
      <c r="R24" s="22" t="n"/>
      <c r="S24" s="22" t="n"/>
      <c r="T24" s="21" t="n"/>
      <c r="U24" s="21" t="n"/>
      <c r="V24" s="21" t="n"/>
      <c r="W24" s="22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3">
        <f>IF(AM24="","",AN24+AO24+AP24+AQ24)</f>
        <v/>
      </c>
      <c r="AT24" s="24">
        <f>IF(OR(AM24="",AM24=0),"",AS24/AM24)</f>
        <v/>
      </c>
      <c r="AU24" s="24">
        <f>IF(OR(AM24="",AM24=0),"",AO24/AM24)</f>
        <v/>
      </c>
      <c r="AV24" s="25">
        <f>IF(OR(AX24="",AS24="",AS24=0),"",AX24/AS24)</f>
        <v/>
      </c>
      <c r="AW24" s="25">
        <f>IF(OR(AX24="",AM24="",AM24=0),"",AX24/AM24*1000)</f>
        <v/>
      </c>
      <c r="AX24" s="26" t="n"/>
      <c r="AY24" s="21" t="n"/>
      <c r="AZ24" s="21" t="n"/>
      <c r="BA24" s="21" t="n"/>
      <c r="BB24" s="22" t="n"/>
    </row>
    <row r="25">
      <c r="A25" s="20" t="n">
        <v>23</v>
      </c>
      <c r="B25" s="21" t="n"/>
      <c r="C25" s="21" t="n"/>
      <c r="D25" s="22" t="n"/>
      <c r="E25" s="22" t="n"/>
      <c r="F25" s="22" t="n"/>
      <c r="G25" s="21" t="n"/>
      <c r="H25" s="21" t="n"/>
      <c r="I25" s="22" t="n"/>
      <c r="J25" s="21" t="n"/>
      <c r="K25" s="21" t="n"/>
      <c r="L25" s="22" t="n"/>
      <c r="M25" s="21" t="n"/>
      <c r="N25" s="21" t="n"/>
      <c r="O25" s="21" t="n"/>
      <c r="P25" s="21" t="n"/>
      <c r="Q25" s="23">
        <f>IF(P25="","",TEXT(P25,"YYYY-MM"))</f>
        <v/>
      </c>
      <c r="R25" s="22" t="n"/>
      <c r="S25" s="22" t="n"/>
      <c r="T25" s="21" t="n"/>
      <c r="U25" s="21" t="n"/>
      <c r="V25" s="21" t="n"/>
      <c r="W25" s="22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3">
        <f>IF(AM25="","",AN25+AO25+AP25+AQ25)</f>
        <v/>
      </c>
      <c r="AT25" s="24">
        <f>IF(OR(AM25="",AM25=0),"",AS25/AM25)</f>
        <v/>
      </c>
      <c r="AU25" s="24">
        <f>IF(OR(AM25="",AM25=0),"",AO25/AM25)</f>
        <v/>
      </c>
      <c r="AV25" s="25">
        <f>IF(OR(AX25="",AS25="",AS25=0),"",AX25/AS25)</f>
        <v/>
      </c>
      <c r="AW25" s="25">
        <f>IF(OR(AX25="",AM25="",AM25=0),"",AX25/AM25*1000)</f>
        <v/>
      </c>
      <c r="AX25" s="26" t="n"/>
      <c r="AY25" s="21" t="n"/>
      <c r="AZ25" s="21" t="n"/>
      <c r="BA25" s="21" t="n"/>
      <c r="BB25" s="22" t="n"/>
    </row>
    <row r="26">
      <c r="A26" s="20" t="n">
        <v>24</v>
      </c>
      <c r="B26" s="21" t="n"/>
      <c r="C26" s="21" t="n"/>
      <c r="D26" s="22" t="n"/>
      <c r="E26" s="22" t="n"/>
      <c r="F26" s="22" t="n"/>
      <c r="G26" s="21" t="n"/>
      <c r="H26" s="21" t="n"/>
      <c r="I26" s="22" t="n"/>
      <c r="J26" s="21" t="n"/>
      <c r="K26" s="21" t="n"/>
      <c r="L26" s="22" t="n"/>
      <c r="M26" s="21" t="n"/>
      <c r="N26" s="21" t="n"/>
      <c r="O26" s="21" t="n"/>
      <c r="P26" s="21" t="n"/>
      <c r="Q26" s="23">
        <f>IF(P26="","",TEXT(P26,"YYYY-MM"))</f>
        <v/>
      </c>
      <c r="R26" s="22" t="n"/>
      <c r="S26" s="22" t="n"/>
      <c r="T26" s="21" t="n"/>
      <c r="U26" s="21" t="n"/>
      <c r="V26" s="21" t="n"/>
      <c r="W26" s="22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3">
        <f>IF(AM26="","",AN26+AO26+AP26+AQ26)</f>
        <v/>
      </c>
      <c r="AT26" s="24">
        <f>IF(OR(AM26="",AM26=0),"",AS26/AM26)</f>
        <v/>
      </c>
      <c r="AU26" s="24">
        <f>IF(OR(AM26="",AM26=0),"",AO26/AM26)</f>
        <v/>
      </c>
      <c r="AV26" s="25">
        <f>IF(OR(AX26="",AS26="",AS26=0),"",AX26/AS26)</f>
        <v/>
      </c>
      <c r="AW26" s="25">
        <f>IF(OR(AX26="",AM26="",AM26=0),"",AX26/AM26*1000)</f>
        <v/>
      </c>
      <c r="AX26" s="26" t="n"/>
      <c r="AY26" s="21" t="n"/>
      <c r="AZ26" s="21" t="n"/>
      <c r="BA26" s="21" t="n"/>
      <c r="BB26" s="22" t="n"/>
    </row>
    <row r="27">
      <c r="A27" s="20" t="n">
        <v>25</v>
      </c>
      <c r="B27" s="21" t="n"/>
      <c r="C27" s="21" t="n"/>
      <c r="D27" s="22" t="n"/>
      <c r="E27" s="22" t="n"/>
      <c r="F27" s="22" t="n"/>
      <c r="G27" s="21" t="n"/>
      <c r="H27" s="21" t="n"/>
      <c r="I27" s="22" t="n"/>
      <c r="J27" s="21" t="n"/>
      <c r="K27" s="21" t="n"/>
      <c r="L27" s="22" t="n"/>
      <c r="M27" s="21" t="n"/>
      <c r="N27" s="21" t="n"/>
      <c r="O27" s="21" t="n"/>
      <c r="P27" s="21" t="n"/>
      <c r="Q27" s="23">
        <f>IF(P27="","",TEXT(P27,"YYYY-MM"))</f>
        <v/>
      </c>
      <c r="R27" s="22" t="n"/>
      <c r="S27" s="22" t="n"/>
      <c r="T27" s="21" t="n"/>
      <c r="U27" s="21" t="n"/>
      <c r="V27" s="21" t="n"/>
      <c r="W27" s="22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3">
        <f>IF(AM27="","",AN27+AO27+AP27+AQ27)</f>
        <v/>
      </c>
      <c r="AT27" s="24">
        <f>IF(OR(AM27="",AM27=0),"",AS27/AM27)</f>
        <v/>
      </c>
      <c r="AU27" s="24">
        <f>IF(OR(AM27="",AM27=0),"",AO27/AM27)</f>
        <v/>
      </c>
      <c r="AV27" s="25">
        <f>IF(OR(AX27="",AS27="",AS27=0),"",AX27/AS27)</f>
        <v/>
      </c>
      <c r="AW27" s="25">
        <f>IF(OR(AX27="",AM27="",AM27=0),"",AX27/AM27*1000)</f>
        <v/>
      </c>
      <c r="AX27" s="26" t="n"/>
      <c r="AY27" s="21" t="n"/>
      <c r="AZ27" s="21" t="n"/>
      <c r="BA27" s="21" t="n"/>
      <c r="BB27" s="22" t="n"/>
    </row>
    <row r="28">
      <c r="A28" s="20" t="n">
        <v>26</v>
      </c>
      <c r="B28" s="21" t="n"/>
      <c r="C28" s="21" t="n"/>
      <c r="D28" s="22" t="n"/>
      <c r="E28" s="22" t="n"/>
      <c r="F28" s="22" t="n"/>
      <c r="G28" s="21" t="n"/>
      <c r="H28" s="21" t="n"/>
      <c r="I28" s="22" t="n"/>
      <c r="J28" s="21" t="n"/>
      <c r="K28" s="21" t="n"/>
      <c r="L28" s="22" t="n"/>
      <c r="M28" s="21" t="n"/>
      <c r="N28" s="21" t="n"/>
      <c r="O28" s="21" t="n"/>
      <c r="P28" s="21" t="n"/>
      <c r="Q28" s="23">
        <f>IF(P28="","",TEXT(P28,"YYYY-MM"))</f>
        <v/>
      </c>
      <c r="R28" s="22" t="n"/>
      <c r="S28" s="22" t="n"/>
      <c r="T28" s="21" t="n"/>
      <c r="U28" s="21" t="n"/>
      <c r="V28" s="21" t="n"/>
      <c r="W28" s="22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3">
        <f>IF(AM28="","",AN28+AO28+AP28+AQ28)</f>
        <v/>
      </c>
      <c r="AT28" s="24">
        <f>IF(OR(AM28="",AM28=0),"",AS28/AM28)</f>
        <v/>
      </c>
      <c r="AU28" s="24">
        <f>IF(OR(AM28="",AM28=0),"",AO28/AM28)</f>
        <v/>
      </c>
      <c r="AV28" s="25">
        <f>IF(OR(AX28="",AS28="",AS28=0),"",AX28/AS28)</f>
        <v/>
      </c>
      <c r="AW28" s="25">
        <f>IF(OR(AX28="",AM28="",AM28=0),"",AX28/AM28*1000)</f>
        <v/>
      </c>
      <c r="AX28" s="26" t="n"/>
      <c r="AY28" s="21" t="n"/>
      <c r="AZ28" s="21" t="n"/>
      <c r="BA28" s="21" t="n"/>
      <c r="BB28" s="22" t="n"/>
    </row>
    <row r="29">
      <c r="A29" s="20" t="n">
        <v>27</v>
      </c>
      <c r="B29" s="21" t="n"/>
      <c r="C29" s="21" t="n"/>
      <c r="D29" s="22" t="n"/>
      <c r="E29" s="22" t="n"/>
      <c r="F29" s="22" t="n"/>
      <c r="G29" s="21" t="n"/>
      <c r="H29" s="21" t="n"/>
      <c r="I29" s="22" t="n"/>
      <c r="J29" s="21" t="n"/>
      <c r="K29" s="21" t="n"/>
      <c r="L29" s="22" t="n"/>
      <c r="M29" s="21" t="n"/>
      <c r="N29" s="21" t="n"/>
      <c r="O29" s="21" t="n"/>
      <c r="P29" s="21" t="n"/>
      <c r="Q29" s="23">
        <f>IF(P29="","",TEXT(P29,"YYYY-MM"))</f>
        <v/>
      </c>
      <c r="R29" s="22" t="n"/>
      <c r="S29" s="22" t="n"/>
      <c r="T29" s="21" t="n"/>
      <c r="U29" s="21" t="n"/>
      <c r="V29" s="21" t="n"/>
      <c r="W29" s="22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3">
        <f>IF(AM29="","",AN29+AO29+AP29+AQ29)</f>
        <v/>
      </c>
      <c r="AT29" s="24">
        <f>IF(OR(AM29="",AM29=0),"",AS29/AM29)</f>
        <v/>
      </c>
      <c r="AU29" s="24">
        <f>IF(OR(AM29="",AM29=0),"",AO29/AM29)</f>
        <v/>
      </c>
      <c r="AV29" s="25">
        <f>IF(OR(AX29="",AS29="",AS29=0),"",AX29/AS29)</f>
        <v/>
      </c>
      <c r="AW29" s="25">
        <f>IF(OR(AX29="",AM29="",AM29=0),"",AX29/AM29*1000)</f>
        <v/>
      </c>
      <c r="AX29" s="26" t="n"/>
      <c r="AY29" s="21" t="n"/>
      <c r="AZ29" s="21" t="n"/>
      <c r="BA29" s="21" t="n"/>
      <c r="BB29" s="22" t="n"/>
    </row>
    <row r="30">
      <c r="A30" s="20" t="n">
        <v>28</v>
      </c>
      <c r="B30" s="21" t="n"/>
      <c r="C30" s="21" t="n"/>
      <c r="D30" s="22" t="n"/>
      <c r="E30" s="22" t="n"/>
      <c r="F30" s="22" t="n"/>
      <c r="G30" s="21" t="n"/>
      <c r="H30" s="21" t="n"/>
      <c r="I30" s="22" t="n"/>
      <c r="J30" s="21" t="n"/>
      <c r="K30" s="21" t="n"/>
      <c r="L30" s="22" t="n"/>
      <c r="M30" s="21" t="n"/>
      <c r="N30" s="21" t="n"/>
      <c r="O30" s="21" t="n"/>
      <c r="P30" s="21" t="n"/>
      <c r="Q30" s="23">
        <f>IF(P30="","",TEXT(P30,"YYYY-MM"))</f>
        <v/>
      </c>
      <c r="R30" s="22" t="n"/>
      <c r="S30" s="22" t="n"/>
      <c r="T30" s="21" t="n"/>
      <c r="U30" s="21" t="n"/>
      <c r="V30" s="21" t="n"/>
      <c r="W30" s="22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3">
        <f>IF(AM30="","",AN30+AO30+AP30+AQ30)</f>
        <v/>
      </c>
      <c r="AT30" s="24">
        <f>IF(OR(AM30="",AM30=0),"",AS30/AM30)</f>
        <v/>
      </c>
      <c r="AU30" s="24">
        <f>IF(OR(AM30="",AM30=0),"",AO30/AM30)</f>
        <v/>
      </c>
      <c r="AV30" s="25">
        <f>IF(OR(AX30="",AS30="",AS30=0),"",AX30/AS30)</f>
        <v/>
      </c>
      <c r="AW30" s="25">
        <f>IF(OR(AX30="",AM30="",AM30=0),"",AX30/AM30*1000)</f>
        <v/>
      </c>
      <c r="AX30" s="26" t="n"/>
      <c r="AY30" s="21" t="n"/>
      <c r="AZ30" s="21" t="n"/>
      <c r="BA30" s="21" t="n"/>
      <c r="BB30" s="22" t="n"/>
    </row>
    <row r="31">
      <c r="A31" s="20" t="n">
        <v>29</v>
      </c>
      <c r="B31" s="21" t="n"/>
      <c r="C31" s="21" t="n"/>
      <c r="D31" s="22" t="n"/>
      <c r="E31" s="22" t="n"/>
      <c r="F31" s="22" t="n"/>
      <c r="G31" s="21" t="n"/>
      <c r="H31" s="21" t="n"/>
      <c r="I31" s="22" t="n"/>
      <c r="J31" s="21" t="n"/>
      <c r="K31" s="21" t="n"/>
      <c r="L31" s="22" t="n"/>
      <c r="M31" s="21" t="n"/>
      <c r="N31" s="21" t="n"/>
      <c r="O31" s="21" t="n"/>
      <c r="P31" s="21" t="n"/>
      <c r="Q31" s="23">
        <f>IF(P31="","",TEXT(P31,"YYYY-MM"))</f>
        <v/>
      </c>
      <c r="R31" s="22" t="n"/>
      <c r="S31" s="22" t="n"/>
      <c r="T31" s="21" t="n"/>
      <c r="U31" s="21" t="n"/>
      <c r="V31" s="21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3">
        <f>IF(AM31="","",AN31+AO31+AP31+AQ31)</f>
        <v/>
      </c>
      <c r="AT31" s="24">
        <f>IF(OR(AM31="",AM31=0),"",AS31/AM31)</f>
        <v/>
      </c>
      <c r="AU31" s="24">
        <f>IF(OR(AM31="",AM31=0),"",AO31/AM31)</f>
        <v/>
      </c>
      <c r="AV31" s="25">
        <f>IF(OR(AX31="",AS31="",AS31=0),"",AX31/AS31)</f>
        <v/>
      </c>
      <c r="AW31" s="25">
        <f>IF(OR(AX31="",AM31="",AM31=0),"",AX31/AM31*1000)</f>
        <v/>
      </c>
      <c r="AX31" s="26" t="n"/>
      <c r="AY31" s="21" t="n"/>
      <c r="AZ31" s="21" t="n"/>
      <c r="BA31" s="21" t="n"/>
      <c r="BB31" s="22" t="n"/>
    </row>
    <row r="32">
      <c r="A32" s="20" t="n">
        <v>30</v>
      </c>
      <c r="B32" s="21" t="n"/>
      <c r="C32" s="21" t="n"/>
      <c r="D32" s="22" t="n"/>
      <c r="E32" s="22" t="n"/>
      <c r="F32" s="22" t="n"/>
      <c r="G32" s="21" t="n"/>
      <c r="H32" s="21" t="n"/>
      <c r="I32" s="22" t="n"/>
      <c r="J32" s="21" t="n"/>
      <c r="K32" s="21" t="n"/>
      <c r="L32" s="22" t="n"/>
      <c r="M32" s="21" t="n"/>
      <c r="N32" s="21" t="n"/>
      <c r="O32" s="21" t="n"/>
      <c r="P32" s="21" t="n"/>
      <c r="Q32" s="23">
        <f>IF(P32="","",TEXT(P32,"YYYY-MM"))</f>
        <v/>
      </c>
      <c r="R32" s="22" t="n"/>
      <c r="S32" s="22" t="n"/>
      <c r="T32" s="21" t="n"/>
      <c r="U32" s="21" t="n"/>
      <c r="V32" s="21" t="n"/>
      <c r="W32" s="22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3">
        <f>IF(AM32="","",AN32+AO32+AP32+AQ32)</f>
        <v/>
      </c>
      <c r="AT32" s="24">
        <f>IF(OR(AM32="",AM32=0),"",AS32/AM32)</f>
        <v/>
      </c>
      <c r="AU32" s="24">
        <f>IF(OR(AM32="",AM32=0),"",AO32/AM32)</f>
        <v/>
      </c>
      <c r="AV32" s="25">
        <f>IF(OR(AX32="",AS32="",AS32=0),"",AX32/AS32)</f>
        <v/>
      </c>
      <c r="AW32" s="25">
        <f>IF(OR(AX32="",AM32="",AM32=0),"",AX32/AM32*1000)</f>
        <v/>
      </c>
      <c r="AX32" s="26" t="n"/>
      <c r="AY32" s="21" t="n"/>
      <c r="AZ32" s="21" t="n"/>
      <c r="BA32" s="21" t="n"/>
      <c r="BB32" s="22" t="n"/>
    </row>
    <row r="33">
      <c r="A33" s="20" t="n">
        <v>31</v>
      </c>
      <c r="B33" s="21" t="n"/>
      <c r="C33" s="21" t="n"/>
      <c r="D33" s="22" t="n"/>
      <c r="E33" s="22" t="n"/>
      <c r="F33" s="22" t="n"/>
      <c r="G33" s="21" t="n"/>
      <c r="H33" s="21" t="n"/>
      <c r="I33" s="22" t="n"/>
      <c r="J33" s="21" t="n"/>
      <c r="K33" s="21" t="n"/>
      <c r="L33" s="22" t="n"/>
      <c r="M33" s="21" t="n"/>
      <c r="N33" s="21" t="n"/>
      <c r="O33" s="21" t="n"/>
      <c r="P33" s="21" t="n"/>
      <c r="Q33" s="23">
        <f>IF(P33="","",TEXT(P33,"YYYY-MM"))</f>
        <v/>
      </c>
      <c r="R33" s="22" t="n"/>
      <c r="S33" s="22" t="n"/>
      <c r="T33" s="21" t="n"/>
      <c r="U33" s="21" t="n"/>
      <c r="V33" s="21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3">
        <f>IF(AM33="","",AN33+AO33+AP33+AQ33)</f>
        <v/>
      </c>
      <c r="AT33" s="24">
        <f>IF(OR(AM33="",AM33=0),"",AS33/AM33)</f>
        <v/>
      </c>
      <c r="AU33" s="24">
        <f>IF(OR(AM33="",AM33=0),"",AO33/AM33)</f>
        <v/>
      </c>
      <c r="AV33" s="25">
        <f>IF(OR(AX33="",AS33="",AS33=0),"",AX33/AS33)</f>
        <v/>
      </c>
      <c r="AW33" s="25">
        <f>IF(OR(AX33="",AM33="",AM33=0),"",AX33/AM33*1000)</f>
        <v/>
      </c>
      <c r="AX33" s="26" t="n"/>
      <c r="AY33" s="21" t="n"/>
      <c r="AZ33" s="21" t="n"/>
      <c r="BA33" s="21" t="n"/>
      <c r="BB33" s="22" t="n"/>
    </row>
    <row r="34">
      <c r="A34" s="20" t="n">
        <v>32</v>
      </c>
      <c r="B34" s="21" t="n"/>
      <c r="C34" s="21" t="n"/>
      <c r="D34" s="22" t="n"/>
      <c r="E34" s="22" t="n"/>
      <c r="F34" s="22" t="n"/>
      <c r="G34" s="21" t="n"/>
      <c r="H34" s="21" t="n"/>
      <c r="I34" s="22" t="n"/>
      <c r="J34" s="21" t="n"/>
      <c r="K34" s="21" t="n"/>
      <c r="L34" s="22" t="n"/>
      <c r="M34" s="21" t="n"/>
      <c r="N34" s="21" t="n"/>
      <c r="O34" s="21" t="n"/>
      <c r="P34" s="21" t="n"/>
      <c r="Q34" s="23">
        <f>IF(P34="","",TEXT(P34,"YYYY-MM"))</f>
        <v/>
      </c>
      <c r="R34" s="22" t="n"/>
      <c r="S34" s="22" t="n"/>
      <c r="T34" s="21" t="n"/>
      <c r="U34" s="21" t="n"/>
      <c r="V34" s="21" t="n"/>
      <c r="W34" s="22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3">
        <f>IF(AM34="","",AN34+AO34+AP34+AQ34)</f>
        <v/>
      </c>
      <c r="AT34" s="24">
        <f>IF(OR(AM34="",AM34=0),"",AS34/AM34)</f>
        <v/>
      </c>
      <c r="AU34" s="24">
        <f>IF(OR(AM34="",AM34=0),"",AO34/AM34)</f>
        <v/>
      </c>
      <c r="AV34" s="25">
        <f>IF(OR(AX34="",AS34="",AS34=0),"",AX34/AS34)</f>
        <v/>
      </c>
      <c r="AW34" s="25">
        <f>IF(OR(AX34="",AM34="",AM34=0),"",AX34/AM34*1000)</f>
        <v/>
      </c>
      <c r="AX34" s="26" t="n"/>
      <c r="AY34" s="21" t="n"/>
      <c r="AZ34" s="21" t="n"/>
      <c r="BA34" s="21" t="n"/>
      <c r="BB34" s="22" t="n"/>
    </row>
    <row r="35">
      <c r="A35" s="20" t="n">
        <v>33</v>
      </c>
      <c r="B35" s="21" t="n"/>
      <c r="C35" s="21" t="n"/>
      <c r="D35" s="22" t="n"/>
      <c r="E35" s="22" t="n"/>
      <c r="F35" s="22" t="n"/>
      <c r="G35" s="21" t="n"/>
      <c r="H35" s="21" t="n"/>
      <c r="I35" s="22" t="n"/>
      <c r="J35" s="21" t="n"/>
      <c r="K35" s="21" t="n"/>
      <c r="L35" s="22" t="n"/>
      <c r="M35" s="21" t="n"/>
      <c r="N35" s="21" t="n"/>
      <c r="O35" s="21" t="n"/>
      <c r="P35" s="21" t="n"/>
      <c r="Q35" s="23">
        <f>IF(P35="","",TEXT(P35,"YYYY-MM"))</f>
        <v/>
      </c>
      <c r="R35" s="22" t="n"/>
      <c r="S35" s="22" t="n"/>
      <c r="T35" s="21" t="n"/>
      <c r="U35" s="21" t="n"/>
      <c r="V35" s="21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3">
        <f>IF(AM35="","",AN35+AO35+AP35+AQ35)</f>
        <v/>
      </c>
      <c r="AT35" s="24">
        <f>IF(OR(AM35="",AM35=0),"",AS35/AM35)</f>
        <v/>
      </c>
      <c r="AU35" s="24">
        <f>IF(OR(AM35="",AM35=0),"",AO35/AM35)</f>
        <v/>
      </c>
      <c r="AV35" s="25">
        <f>IF(OR(AX35="",AS35="",AS35=0),"",AX35/AS35)</f>
        <v/>
      </c>
      <c r="AW35" s="25">
        <f>IF(OR(AX35="",AM35="",AM35=0),"",AX35/AM35*1000)</f>
        <v/>
      </c>
      <c r="AX35" s="26" t="n"/>
      <c r="AY35" s="21" t="n"/>
      <c r="AZ35" s="21" t="n"/>
      <c r="BA35" s="21" t="n"/>
      <c r="BB35" s="22" t="n"/>
    </row>
    <row r="36">
      <c r="A36" s="20" t="n">
        <v>34</v>
      </c>
      <c r="B36" s="21" t="n"/>
      <c r="C36" s="21" t="n"/>
      <c r="D36" s="22" t="n"/>
      <c r="E36" s="22" t="n"/>
      <c r="F36" s="22" t="n"/>
      <c r="G36" s="21" t="n"/>
      <c r="H36" s="21" t="n"/>
      <c r="I36" s="22" t="n"/>
      <c r="J36" s="21" t="n"/>
      <c r="K36" s="21" t="n"/>
      <c r="L36" s="22" t="n"/>
      <c r="M36" s="21" t="n"/>
      <c r="N36" s="21" t="n"/>
      <c r="O36" s="21" t="n"/>
      <c r="P36" s="21" t="n"/>
      <c r="Q36" s="23">
        <f>IF(P36="","",TEXT(P36,"YYYY-MM"))</f>
        <v/>
      </c>
      <c r="R36" s="22" t="n"/>
      <c r="S36" s="22" t="n"/>
      <c r="T36" s="21" t="n"/>
      <c r="U36" s="21" t="n"/>
      <c r="V36" s="21" t="n"/>
      <c r="W36" s="22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3">
        <f>IF(AM36="","",AN36+AO36+AP36+AQ36)</f>
        <v/>
      </c>
      <c r="AT36" s="24">
        <f>IF(OR(AM36="",AM36=0),"",AS36/AM36)</f>
        <v/>
      </c>
      <c r="AU36" s="24">
        <f>IF(OR(AM36="",AM36=0),"",AO36/AM36)</f>
        <v/>
      </c>
      <c r="AV36" s="25">
        <f>IF(OR(AX36="",AS36="",AS36=0),"",AX36/AS36)</f>
        <v/>
      </c>
      <c r="AW36" s="25">
        <f>IF(OR(AX36="",AM36="",AM36=0),"",AX36/AM36*1000)</f>
        <v/>
      </c>
      <c r="AX36" s="26" t="n"/>
      <c r="AY36" s="21" t="n"/>
      <c r="AZ36" s="21" t="n"/>
      <c r="BA36" s="21" t="n"/>
      <c r="BB36" s="22" t="n"/>
    </row>
    <row r="37">
      <c r="A37" s="20" t="n">
        <v>35</v>
      </c>
      <c r="B37" s="21" t="n"/>
      <c r="C37" s="21" t="n"/>
      <c r="D37" s="22" t="n"/>
      <c r="E37" s="22" t="n"/>
      <c r="F37" s="22" t="n"/>
      <c r="G37" s="21" t="n"/>
      <c r="H37" s="21" t="n"/>
      <c r="I37" s="22" t="n"/>
      <c r="J37" s="21" t="n"/>
      <c r="K37" s="21" t="n"/>
      <c r="L37" s="22" t="n"/>
      <c r="M37" s="21" t="n"/>
      <c r="N37" s="21" t="n"/>
      <c r="O37" s="21" t="n"/>
      <c r="P37" s="21" t="n"/>
      <c r="Q37" s="23">
        <f>IF(P37="","",TEXT(P37,"YYYY-MM"))</f>
        <v/>
      </c>
      <c r="R37" s="22" t="n"/>
      <c r="S37" s="22" t="n"/>
      <c r="T37" s="21" t="n"/>
      <c r="U37" s="21" t="n"/>
      <c r="V37" s="21" t="n"/>
      <c r="W37" s="22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3">
        <f>IF(AM37="","",AN37+AO37+AP37+AQ37)</f>
        <v/>
      </c>
      <c r="AT37" s="24">
        <f>IF(OR(AM37="",AM37=0),"",AS37/AM37)</f>
        <v/>
      </c>
      <c r="AU37" s="24">
        <f>IF(OR(AM37="",AM37=0),"",AO37/AM37)</f>
        <v/>
      </c>
      <c r="AV37" s="25">
        <f>IF(OR(AX37="",AS37="",AS37=0),"",AX37/AS37)</f>
        <v/>
      </c>
      <c r="AW37" s="25">
        <f>IF(OR(AX37="",AM37="",AM37=0),"",AX37/AM37*1000)</f>
        <v/>
      </c>
      <c r="AX37" s="26" t="n"/>
      <c r="AY37" s="21" t="n"/>
      <c r="AZ37" s="21" t="n"/>
      <c r="BA37" s="21" t="n"/>
      <c r="BB37" s="22" t="n"/>
    </row>
    <row r="38">
      <c r="A38" s="20" t="n">
        <v>36</v>
      </c>
      <c r="B38" s="21" t="n"/>
      <c r="C38" s="21" t="n"/>
      <c r="D38" s="22" t="n"/>
      <c r="E38" s="22" t="n"/>
      <c r="F38" s="22" t="n"/>
      <c r="G38" s="21" t="n"/>
      <c r="H38" s="21" t="n"/>
      <c r="I38" s="22" t="n"/>
      <c r="J38" s="21" t="n"/>
      <c r="K38" s="21" t="n"/>
      <c r="L38" s="22" t="n"/>
      <c r="M38" s="21" t="n"/>
      <c r="N38" s="21" t="n"/>
      <c r="O38" s="21" t="n"/>
      <c r="P38" s="21" t="n"/>
      <c r="Q38" s="23">
        <f>IF(P38="","",TEXT(P38,"YYYY-MM"))</f>
        <v/>
      </c>
      <c r="R38" s="22" t="n"/>
      <c r="S38" s="22" t="n"/>
      <c r="T38" s="21" t="n"/>
      <c r="U38" s="21" t="n"/>
      <c r="V38" s="21" t="n"/>
      <c r="W38" s="22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3">
        <f>IF(AM38="","",AN38+AO38+AP38+AQ38)</f>
        <v/>
      </c>
      <c r="AT38" s="24">
        <f>IF(OR(AM38="",AM38=0),"",AS38/AM38)</f>
        <v/>
      </c>
      <c r="AU38" s="24">
        <f>IF(OR(AM38="",AM38=0),"",AO38/AM38)</f>
        <v/>
      </c>
      <c r="AV38" s="25">
        <f>IF(OR(AX38="",AS38="",AS38=0),"",AX38/AS38)</f>
        <v/>
      </c>
      <c r="AW38" s="25">
        <f>IF(OR(AX38="",AM38="",AM38=0),"",AX38/AM38*1000)</f>
        <v/>
      </c>
      <c r="AX38" s="26" t="n"/>
      <c r="AY38" s="21" t="n"/>
      <c r="AZ38" s="21" t="n"/>
      <c r="BA38" s="21" t="n"/>
      <c r="BB38" s="22" t="n"/>
    </row>
    <row r="39">
      <c r="A39" s="20" t="n">
        <v>37</v>
      </c>
      <c r="B39" s="21" t="n"/>
      <c r="C39" s="21" t="n"/>
      <c r="D39" s="22" t="n"/>
      <c r="E39" s="22" t="n"/>
      <c r="F39" s="22" t="n"/>
      <c r="G39" s="21" t="n"/>
      <c r="H39" s="21" t="n"/>
      <c r="I39" s="22" t="n"/>
      <c r="J39" s="21" t="n"/>
      <c r="K39" s="21" t="n"/>
      <c r="L39" s="22" t="n"/>
      <c r="M39" s="21" t="n"/>
      <c r="N39" s="21" t="n"/>
      <c r="O39" s="21" t="n"/>
      <c r="P39" s="21" t="n"/>
      <c r="Q39" s="23">
        <f>IF(P39="","",TEXT(P39,"YYYY-MM"))</f>
        <v/>
      </c>
      <c r="R39" s="22" t="n"/>
      <c r="S39" s="22" t="n"/>
      <c r="T39" s="21" t="n"/>
      <c r="U39" s="21" t="n"/>
      <c r="V39" s="21" t="n"/>
      <c r="W39" s="22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3">
        <f>IF(AM39="","",AN39+AO39+AP39+AQ39)</f>
        <v/>
      </c>
      <c r="AT39" s="24">
        <f>IF(OR(AM39="",AM39=0),"",AS39/AM39)</f>
        <v/>
      </c>
      <c r="AU39" s="24">
        <f>IF(OR(AM39="",AM39=0),"",AO39/AM39)</f>
        <v/>
      </c>
      <c r="AV39" s="25">
        <f>IF(OR(AX39="",AS39="",AS39=0),"",AX39/AS39)</f>
        <v/>
      </c>
      <c r="AW39" s="25">
        <f>IF(OR(AX39="",AM39="",AM39=0),"",AX39/AM39*1000)</f>
        <v/>
      </c>
      <c r="AX39" s="26" t="n"/>
      <c r="AY39" s="21" t="n"/>
      <c r="AZ39" s="21" t="n"/>
      <c r="BA39" s="21" t="n"/>
      <c r="BB39" s="22" t="n"/>
    </row>
    <row r="40">
      <c r="A40" s="20" t="n">
        <v>38</v>
      </c>
      <c r="B40" s="21" t="n"/>
      <c r="C40" s="21" t="n"/>
      <c r="D40" s="22" t="n"/>
      <c r="E40" s="22" t="n"/>
      <c r="F40" s="22" t="n"/>
      <c r="G40" s="21" t="n"/>
      <c r="H40" s="21" t="n"/>
      <c r="I40" s="22" t="n"/>
      <c r="J40" s="21" t="n"/>
      <c r="K40" s="21" t="n"/>
      <c r="L40" s="22" t="n"/>
      <c r="M40" s="21" t="n"/>
      <c r="N40" s="21" t="n"/>
      <c r="O40" s="21" t="n"/>
      <c r="P40" s="21" t="n"/>
      <c r="Q40" s="23">
        <f>IF(P40="","",TEXT(P40,"YYYY-MM"))</f>
        <v/>
      </c>
      <c r="R40" s="22" t="n"/>
      <c r="S40" s="22" t="n"/>
      <c r="T40" s="21" t="n"/>
      <c r="U40" s="21" t="n"/>
      <c r="V40" s="21" t="n"/>
      <c r="W40" s="22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3">
        <f>IF(AM40="","",AN40+AO40+AP40+AQ40)</f>
        <v/>
      </c>
      <c r="AT40" s="24">
        <f>IF(OR(AM40="",AM40=0),"",AS40/AM40)</f>
        <v/>
      </c>
      <c r="AU40" s="24">
        <f>IF(OR(AM40="",AM40=0),"",AO40/AM40)</f>
        <v/>
      </c>
      <c r="AV40" s="25">
        <f>IF(OR(AX40="",AS40="",AS40=0),"",AX40/AS40)</f>
        <v/>
      </c>
      <c r="AW40" s="25">
        <f>IF(OR(AX40="",AM40="",AM40=0),"",AX40/AM40*1000)</f>
        <v/>
      </c>
      <c r="AX40" s="26" t="n"/>
      <c r="AY40" s="21" t="n"/>
      <c r="AZ40" s="21" t="n"/>
      <c r="BA40" s="21" t="n"/>
      <c r="BB40" s="22" t="n"/>
    </row>
    <row r="41">
      <c r="A41" s="20" t="n">
        <v>39</v>
      </c>
      <c r="B41" s="21" t="n"/>
      <c r="C41" s="21" t="n"/>
      <c r="D41" s="22" t="n"/>
      <c r="E41" s="22" t="n"/>
      <c r="F41" s="22" t="n"/>
      <c r="G41" s="21" t="n"/>
      <c r="H41" s="21" t="n"/>
      <c r="I41" s="22" t="n"/>
      <c r="J41" s="21" t="n"/>
      <c r="K41" s="21" t="n"/>
      <c r="L41" s="22" t="n"/>
      <c r="M41" s="21" t="n"/>
      <c r="N41" s="21" t="n"/>
      <c r="O41" s="21" t="n"/>
      <c r="P41" s="21" t="n"/>
      <c r="Q41" s="23">
        <f>IF(P41="","",TEXT(P41,"YYYY-MM"))</f>
        <v/>
      </c>
      <c r="R41" s="22" t="n"/>
      <c r="S41" s="22" t="n"/>
      <c r="T41" s="21" t="n"/>
      <c r="U41" s="21" t="n"/>
      <c r="V41" s="21" t="n"/>
      <c r="W41" s="22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3">
        <f>IF(AM41="","",AN41+AO41+AP41+AQ41)</f>
        <v/>
      </c>
      <c r="AT41" s="24">
        <f>IF(OR(AM41="",AM41=0),"",AS41/AM41)</f>
        <v/>
      </c>
      <c r="AU41" s="24">
        <f>IF(OR(AM41="",AM41=0),"",AO41/AM41)</f>
        <v/>
      </c>
      <c r="AV41" s="25">
        <f>IF(OR(AX41="",AS41="",AS41=0),"",AX41/AS41)</f>
        <v/>
      </c>
      <c r="AW41" s="25">
        <f>IF(OR(AX41="",AM41="",AM41=0),"",AX41/AM41*1000)</f>
        <v/>
      </c>
      <c r="AX41" s="26" t="n"/>
      <c r="AY41" s="21" t="n"/>
      <c r="AZ41" s="21" t="n"/>
      <c r="BA41" s="21" t="n"/>
      <c r="BB41" s="22" t="n"/>
    </row>
    <row r="42">
      <c r="A42" s="20" t="n">
        <v>40</v>
      </c>
      <c r="B42" s="21" t="n"/>
      <c r="C42" s="21" t="n"/>
      <c r="D42" s="22" t="n"/>
      <c r="E42" s="22" t="n"/>
      <c r="F42" s="22" t="n"/>
      <c r="G42" s="21" t="n"/>
      <c r="H42" s="21" t="n"/>
      <c r="I42" s="22" t="n"/>
      <c r="J42" s="21" t="n"/>
      <c r="K42" s="21" t="n"/>
      <c r="L42" s="22" t="n"/>
      <c r="M42" s="21" t="n"/>
      <c r="N42" s="21" t="n"/>
      <c r="O42" s="21" t="n"/>
      <c r="P42" s="21" t="n"/>
      <c r="Q42" s="23">
        <f>IF(P42="","",TEXT(P42,"YYYY-MM"))</f>
        <v/>
      </c>
      <c r="R42" s="22" t="n"/>
      <c r="S42" s="22" t="n"/>
      <c r="T42" s="21" t="n"/>
      <c r="U42" s="21" t="n"/>
      <c r="V42" s="21" t="n"/>
      <c r="W42" s="22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3">
        <f>IF(AM42="","",AN42+AO42+AP42+AQ42)</f>
        <v/>
      </c>
      <c r="AT42" s="24">
        <f>IF(OR(AM42="",AM42=0),"",AS42/AM42)</f>
        <v/>
      </c>
      <c r="AU42" s="24">
        <f>IF(OR(AM42="",AM42=0),"",AO42/AM42)</f>
        <v/>
      </c>
      <c r="AV42" s="25">
        <f>IF(OR(AX42="",AS42="",AS42=0),"",AX42/AS42)</f>
        <v/>
      </c>
      <c r="AW42" s="25">
        <f>IF(OR(AX42="",AM42="",AM42=0),"",AX42/AM42*1000)</f>
        <v/>
      </c>
      <c r="AX42" s="26" t="n"/>
      <c r="AY42" s="21" t="n"/>
      <c r="AZ42" s="21" t="n"/>
      <c r="BA42" s="21" t="n"/>
      <c r="BB42" s="22" t="n"/>
    </row>
  </sheetData>
  <mergeCells count="7">
    <mergeCell ref="AX1:BB1"/>
    <mergeCell ref="A1:O1"/>
    <mergeCell ref="P1:W1"/>
    <mergeCell ref="AS1:AW1"/>
    <mergeCell ref="X1:AD1"/>
    <mergeCell ref="AE1:AK1"/>
    <mergeCell ref="AL1:AR1"/>
  </mergeCells>
  <dataValidations count="13">
    <dataValidation sqref="B3:B42" showDropDown="0" showInputMessage="0" showErrorMessage="0" allowBlank="1" type="list">
      <formula1>=选项!$A$2:$A$6</formula1>
    </dataValidation>
    <dataValidation sqref="G3:G42" showDropDown="0" showInputMessage="0" showErrorMessage="0" allowBlank="1" type="list">
      <formula1>=选项!$B$2:$B$5</formula1>
    </dataValidation>
    <dataValidation sqref="H3:H42" showDropDown="0" showInputMessage="0" showErrorMessage="0" allowBlank="1" type="list">
      <formula1>=选项!$C$2:$C$5</formula1>
    </dataValidation>
    <dataValidation sqref="I3:I42" showDropDown="0" showInputMessage="0" showErrorMessage="0" allowBlank="1" type="list">
      <formula1>=选项!$D$2:$D$10</formula1>
    </dataValidation>
    <dataValidation sqref="J3:J42" showDropDown="0" showInputMessage="0" showErrorMessage="0" allowBlank="1" type="list">
      <formula1>=选项!$E$2:$E$6</formula1>
    </dataValidation>
    <dataValidation sqref="K3:K42" showDropDown="0" showInputMessage="0" showErrorMessage="0" allowBlank="1" type="list">
      <formula1>=选项!$F$2:$F$3</formula1>
    </dataValidation>
    <dataValidation sqref="M3:M42" showDropDown="0" showInputMessage="0" showErrorMessage="0" allowBlank="1" type="list">
      <formula1>=选项!$G$2:$G$5</formula1>
    </dataValidation>
    <dataValidation sqref="N3:N42" showDropDown="0" showInputMessage="0" showErrorMessage="0" allowBlank="1" type="list">
      <formula1>=选项!$H$2:$H$4</formula1>
    </dataValidation>
    <dataValidation sqref="O3:O42" showDropDown="0" showInputMessage="0" showErrorMessage="0" allowBlank="1" type="list">
      <formula1>=选项!$I$2:$I$3</formula1>
    </dataValidation>
    <dataValidation sqref="U3:U42" showDropDown="0" showInputMessage="0" showErrorMessage="0" allowBlank="1" type="list">
      <formula1>=选项!$I$2:$I$3</formula1>
    </dataValidation>
    <dataValidation sqref="V3:V42" showDropDown="0" showInputMessage="0" showErrorMessage="0" allowBlank="1" type="list">
      <formula1>=选项!$J$2:$J$4</formula1>
    </dataValidation>
    <dataValidation sqref="AY3:AY42" showDropDown="0" showInputMessage="0" showErrorMessage="0" allowBlank="1" type="list">
      <formula1>=选项!$I$2:$I$3</formula1>
    </dataValidation>
    <dataValidation sqref="AZ3:AZ42" showDropDown="0" showInputMessage="0" showErrorMessage="0" allowBlank="1" type="list">
      <formula1>=选项!$K$2:$K$4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9" customWidth="1" min="7" max="7"/>
  </cols>
  <sheetData>
    <row r="1">
      <c r="A1" s="27" t="inlineStr">
        <is>
          <t>投放总览 Dashboard（自动汇总·数据来自①总表）</t>
        </is>
      </c>
    </row>
    <row r="2">
      <c r="A2" s="28" t="inlineStr">
        <is>
          <t>注：填①总表后自动更新；如需重算按 F9 / 重新打开。</t>
        </is>
      </c>
    </row>
    <row r="4">
      <c r="A4" s="29" t="inlineStr">
        <is>
          <t>按 产品SPU</t>
        </is>
      </c>
    </row>
    <row r="5">
      <c r="A5" s="30" t="inlineStr">
        <is>
          <t>分组</t>
        </is>
      </c>
      <c r="B5" s="30" t="inlineStr">
        <is>
          <t>篇数</t>
        </is>
      </c>
      <c r="C5" s="30" t="inlineStr">
        <is>
          <t>总曝光</t>
        </is>
      </c>
      <c r="D5" s="30" t="inlineStr">
        <is>
          <t>总互动量</t>
        </is>
      </c>
      <c r="E5" s="30" t="inlineStr">
        <is>
          <t>均互动率</t>
        </is>
      </c>
      <c r="F5" s="30" t="inlineStr">
        <is>
          <t>总花费(元)</t>
        </is>
      </c>
      <c r="G5" s="30" t="inlineStr">
        <is>
          <t>均CPE</t>
        </is>
      </c>
    </row>
    <row r="6">
      <c r="A6" s="31" t="inlineStr">
        <is>
          <t>黑钻VC100(黑金)</t>
        </is>
      </c>
      <c r="B6" s="32">
        <f>COUNTIFS('① 笔记追踪总表'!$I$3:$I$42,"黑钻VC100(黑金)")</f>
        <v/>
      </c>
      <c r="C6" s="33">
        <f>SUMIFS('① 笔记追踪总表'!$AM$3:$AM$42,'① 笔记追踪总表'!$I$3:$I$42,"黑钻VC100(黑金)")</f>
        <v/>
      </c>
      <c r="D6" s="33">
        <f>SUMIFS('① 笔记追踪总表'!$AS$3:$AS$42,'① 笔记追踪总表'!$I$3:$I$42,"黑钻VC100(黑金)")</f>
        <v/>
      </c>
      <c r="E6" s="34">
        <f>IFERROR(AVERAGEIFS('① 笔记追踪总表'!$AT$3:$AT$42,'① 笔记追踪总表'!$I$3:$I$42,"黑钻VC100(黑金)"),"")</f>
        <v/>
      </c>
      <c r="F6" s="33">
        <f>SUMIFS('① 笔记追踪总表'!$AX$3:$AX$42,'① 笔记追踪总表'!$I$3:$I$42,"黑钻VC100(黑金)")</f>
        <v/>
      </c>
      <c r="G6" s="35">
        <f>IFERROR(AVERAGEIFS('① 笔记追踪总表'!$AV$3:$AV$42,'① 笔记追踪总表'!$I$3:$I$42,"黑钻VC100(黑金)"),"")</f>
        <v/>
      </c>
    </row>
    <row r="7">
      <c r="A7" s="31" t="inlineStr">
        <is>
          <t>金色·提亮补水</t>
        </is>
      </c>
      <c r="B7" s="32">
        <f>COUNTIFS('① 笔记追踪总表'!$I$3:$I$42,"金色·提亮补水")</f>
        <v/>
      </c>
      <c r="C7" s="33">
        <f>SUMIFS('① 笔记追踪总表'!$AM$3:$AM$42,'① 笔记追踪总表'!$I$3:$I$42,"金色·提亮补水")</f>
        <v/>
      </c>
      <c r="D7" s="33">
        <f>SUMIFS('① 笔记追踪总表'!$AS$3:$AS$42,'① 笔记追踪总表'!$I$3:$I$42,"金色·提亮补水")</f>
        <v/>
      </c>
      <c r="E7" s="34">
        <f>IFERROR(AVERAGEIFS('① 笔记追踪总表'!$AT$3:$AT$42,'① 笔记追踪总表'!$I$3:$I$42,"金色·提亮补水"),"")</f>
        <v/>
      </c>
      <c r="F7" s="33">
        <f>SUMIFS('① 笔记追踪总表'!$AX$3:$AX$42,'① 笔记追踪总表'!$I$3:$I$42,"金色·提亮补水")</f>
        <v/>
      </c>
      <c r="G7" s="35">
        <f>IFERROR(AVERAGEIFS('① 笔记追踪总表'!$AV$3:$AV$42,'① 笔记追踪总表'!$I$3:$I$42,"金色·提亮补水"),"")</f>
        <v/>
      </c>
    </row>
    <row r="8">
      <c r="A8" s="31" t="inlineStr">
        <is>
          <t>黑银·水光细毛孔</t>
        </is>
      </c>
      <c r="B8" s="32">
        <f>COUNTIFS('① 笔记追踪总表'!$I$3:$I$42,"黑银·水光细毛孔")</f>
        <v/>
      </c>
      <c r="C8" s="33">
        <f>SUMIFS('① 笔记追踪总表'!$AM$3:$AM$42,'① 笔记追踪总表'!$I$3:$I$42,"黑银·水光细毛孔")</f>
        <v/>
      </c>
      <c r="D8" s="33">
        <f>SUMIFS('① 笔记追踪总表'!$AS$3:$AS$42,'① 笔记追踪总表'!$I$3:$I$42,"黑银·水光细毛孔")</f>
        <v/>
      </c>
      <c r="E8" s="34">
        <f>IFERROR(AVERAGEIFS('① 笔记追踪总表'!$AT$3:$AT$42,'① 笔记追踪总表'!$I$3:$I$42,"黑银·水光细毛孔"),"")</f>
        <v/>
      </c>
      <c r="F8" s="33">
        <f>SUMIFS('① 笔记追踪总表'!$AX$3:$AX$42,'① 笔记追踪总表'!$I$3:$I$42,"黑银·水光细毛孔")</f>
        <v/>
      </c>
      <c r="G8" s="35">
        <f>IFERROR(AVERAGEIFS('① 笔记追踪总表'!$AV$3:$AV$42,'① 笔记追踪总表'!$I$3:$I$42,"黑银·水光细毛孔"),"")</f>
        <v/>
      </c>
    </row>
    <row r="9">
      <c r="A9" s="31" t="inlineStr">
        <is>
          <t>深蓝·维稳补水</t>
        </is>
      </c>
      <c r="B9" s="32">
        <f>COUNTIFS('① 笔记追踪总表'!$I$3:$I$42,"深蓝·维稳补水")</f>
        <v/>
      </c>
      <c r="C9" s="33">
        <f>SUMIFS('① 笔记追踪总表'!$AM$3:$AM$42,'① 笔记追踪总表'!$I$3:$I$42,"深蓝·维稳补水")</f>
        <v/>
      </c>
      <c r="D9" s="33">
        <f>SUMIFS('① 笔记追踪总表'!$AS$3:$AS$42,'① 笔记追踪总表'!$I$3:$I$42,"深蓝·维稳补水")</f>
        <v/>
      </c>
      <c r="E9" s="34">
        <f>IFERROR(AVERAGEIFS('① 笔记追踪总表'!$AT$3:$AT$42,'① 笔记追踪总表'!$I$3:$I$42,"深蓝·维稳补水"),"")</f>
        <v/>
      </c>
      <c r="F9" s="33">
        <f>SUMIFS('① 笔记追踪总表'!$AX$3:$AX$42,'① 笔记追踪总表'!$I$3:$I$42,"深蓝·维稳补水")</f>
        <v/>
      </c>
      <c r="G9" s="35">
        <f>IFERROR(AVERAGEIFS('① 笔记追踪总表'!$AV$3:$AV$42,'① 笔记追踪总表'!$I$3:$I$42,"深蓝·维稳补水"),"")</f>
        <v/>
      </c>
    </row>
    <row r="10">
      <c r="A10" s="31" t="inlineStr">
        <is>
          <t>银色·提亮</t>
        </is>
      </c>
      <c r="B10" s="32">
        <f>COUNTIFS('① 笔记追踪总表'!$I$3:$I$42,"银色·提亮")</f>
        <v/>
      </c>
      <c r="C10" s="33">
        <f>SUMIFS('① 笔记追踪总表'!$AM$3:$AM$42,'① 笔记追踪总表'!$I$3:$I$42,"银色·提亮")</f>
        <v/>
      </c>
      <c r="D10" s="33">
        <f>SUMIFS('① 笔记追踪总表'!$AS$3:$AS$42,'① 笔记追踪总表'!$I$3:$I$42,"银色·提亮")</f>
        <v/>
      </c>
      <c r="E10" s="34">
        <f>IFERROR(AVERAGEIFS('① 笔记追踪总表'!$AT$3:$AT$42,'① 笔记追踪总表'!$I$3:$I$42,"银色·提亮"),"")</f>
        <v/>
      </c>
      <c r="F10" s="33">
        <f>SUMIFS('① 笔记追踪总表'!$AX$3:$AX$42,'① 笔记追踪总表'!$I$3:$I$42,"银色·提亮")</f>
        <v/>
      </c>
      <c r="G10" s="35">
        <f>IFERROR(AVERAGEIFS('① 笔记追踪总表'!$AV$3:$AV$42,'① 笔记追踪总表'!$I$3:$I$42,"银色·提亮"),"")</f>
        <v/>
      </c>
    </row>
    <row r="11">
      <c r="A11" s="31" t="inlineStr">
        <is>
          <t>护眼丸</t>
        </is>
      </c>
      <c r="B11" s="32">
        <f>COUNTIFS('① 笔记追踪总表'!$I$3:$I$42,"护眼丸")</f>
        <v/>
      </c>
      <c r="C11" s="33">
        <f>SUMIFS('① 笔记追踪总表'!$AM$3:$AM$42,'① 笔记追踪总表'!$I$3:$I$42,"护眼丸")</f>
        <v/>
      </c>
      <c r="D11" s="33">
        <f>SUMIFS('① 笔记追踪总表'!$AS$3:$AS$42,'① 笔记追踪总表'!$I$3:$I$42,"护眼丸")</f>
        <v/>
      </c>
      <c r="E11" s="34">
        <f>IFERROR(AVERAGEIFS('① 笔记追踪总表'!$AT$3:$AT$42,'① 笔记追踪总表'!$I$3:$I$42,"护眼丸"),"")</f>
        <v/>
      </c>
      <c r="F11" s="33">
        <f>SUMIFS('① 笔记追踪总表'!$AX$3:$AX$42,'① 笔记追踪总表'!$I$3:$I$42,"护眼丸")</f>
        <v/>
      </c>
      <c r="G11" s="35">
        <f>IFERROR(AVERAGEIFS('① 笔记追踪总表'!$AV$3:$AV$42,'① 笔记追踪总表'!$I$3:$I$42,"护眼丸"),"")</f>
        <v/>
      </c>
    </row>
    <row r="12">
      <c r="A12" s="31" t="inlineStr">
        <is>
          <t>补铁片</t>
        </is>
      </c>
      <c r="B12" s="32">
        <f>COUNTIFS('① 笔记追踪总表'!$I$3:$I$42,"补铁片")</f>
        <v/>
      </c>
      <c r="C12" s="33">
        <f>SUMIFS('① 笔记追踪总表'!$AM$3:$AM$42,'① 笔记追踪总表'!$I$3:$I$42,"补铁片")</f>
        <v/>
      </c>
      <c r="D12" s="33">
        <f>SUMIFS('① 笔记追踪总表'!$AS$3:$AS$42,'① 笔记追踪总表'!$I$3:$I$42,"补铁片")</f>
        <v/>
      </c>
      <c r="E12" s="34">
        <f>IFERROR(AVERAGEIFS('① 笔记追踪总表'!$AT$3:$AT$42,'① 笔记追踪总表'!$I$3:$I$42,"补铁片"),"")</f>
        <v/>
      </c>
      <c r="F12" s="33">
        <f>SUMIFS('① 笔记追踪总表'!$AX$3:$AX$42,'① 笔记追踪总表'!$I$3:$I$42,"补铁片")</f>
        <v/>
      </c>
      <c r="G12" s="35">
        <f>IFERROR(AVERAGEIFS('① 笔记追踪总表'!$AV$3:$AV$42,'① 笔记追踪总表'!$I$3:$I$42,"补铁片"),"")</f>
        <v/>
      </c>
    </row>
    <row r="13">
      <c r="A13" s="31" t="inlineStr">
        <is>
          <t>护肝片</t>
        </is>
      </c>
      <c r="B13" s="32">
        <f>COUNTIFS('① 笔记追踪总表'!$I$3:$I$42,"护肝片")</f>
        <v/>
      </c>
      <c r="C13" s="33">
        <f>SUMIFS('① 笔记追踪总表'!$AM$3:$AM$42,'① 笔记追踪总表'!$I$3:$I$42,"护肝片")</f>
        <v/>
      </c>
      <c r="D13" s="33">
        <f>SUMIFS('① 笔记追踪总表'!$AS$3:$AS$42,'① 笔记追踪总表'!$I$3:$I$42,"护肝片")</f>
        <v/>
      </c>
      <c r="E13" s="34">
        <f>IFERROR(AVERAGEIFS('① 笔记追踪总表'!$AT$3:$AT$42,'① 笔记追踪总表'!$I$3:$I$42,"护肝片"),"")</f>
        <v/>
      </c>
      <c r="F13" s="33">
        <f>SUMIFS('① 笔记追踪总表'!$AX$3:$AX$42,'① 笔记追踪总表'!$I$3:$I$42,"护肝片")</f>
        <v/>
      </c>
      <c r="G13" s="35">
        <f>IFERROR(AVERAGEIFS('① 笔记追踪总表'!$AV$3:$AV$42,'① 笔记追踪总表'!$I$3:$I$42,"护肝片"),"")</f>
        <v/>
      </c>
    </row>
    <row r="16">
      <c r="A16" s="29" t="inlineStr">
        <is>
          <t>按 达人层级</t>
        </is>
      </c>
    </row>
    <row r="17">
      <c r="A17" s="30" t="inlineStr">
        <is>
          <t>分组</t>
        </is>
      </c>
      <c r="B17" s="30" t="inlineStr">
        <is>
          <t>篇数</t>
        </is>
      </c>
      <c r="C17" s="30" t="inlineStr">
        <is>
          <t>总曝光</t>
        </is>
      </c>
      <c r="D17" s="30" t="inlineStr">
        <is>
          <t>总互动量</t>
        </is>
      </c>
      <c r="E17" s="30" t="inlineStr">
        <is>
          <t>均互动率</t>
        </is>
      </c>
      <c r="F17" s="30" t="inlineStr">
        <is>
          <t>总花费(元)</t>
        </is>
      </c>
      <c r="G17" s="30" t="inlineStr">
        <is>
          <t>均CPE</t>
        </is>
      </c>
    </row>
    <row r="18">
      <c r="A18" s="31" t="inlineStr">
        <is>
          <t>头部KOL</t>
        </is>
      </c>
      <c r="B18" s="32">
        <f>COUNTIFS('① 笔记追踪总表'!$G$3:$G$42,"头部KOL")</f>
        <v/>
      </c>
      <c r="C18" s="33">
        <f>SUMIFS('① 笔记追踪总表'!$AM$3:$AM$42,'① 笔记追踪总表'!$G$3:$G$42,"头部KOL")</f>
        <v/>
      </c>
      <c r="D18" s="33">
        <f>SUMIFS('① 笔记追踪总表'!$AS$3:$AS$42,'① 笔记追踪总表'!$G$3:$G$42,"头部KOL")</f>
        <v/>
      </c>
      <c r="E18" s="34">
        <f>IFERROR(AVERAGEIFS('① 笔记追踪总表'!$AT$3:$AT$42,'① 笔记追踪总表'!$G$3:$G$42,"头部KOL"),"")</f>
        <v/>
      </c>
      <c r="F18" s="33">
        <f>SUMIFS('① 笔记追踪总表'!$AX$3:$AX$42,'① 笔记追踪总表'!$G$3:$G$42,"头部KOL")</f>
        <v/>
      </c>
      <c r="G18" s="35">
        <f>IFERROR(AVERAGEIFS('① 笔记追踪总表'!$AV$3:$AV$42,'① 笔记追踪总表'!$G$3:$G$42,"头部KOL"),"")</f>
        <v/>
      </c>
    </row>
    <row r="19">
      <c r="A19" s="31" t="inlineStr">
        <is>
          <t>腰部</t>
        </is>
      </c>
      <c r="B19" s="32">
        <f>COUNTIFS('① 笔记追踪总表'!$G$3:$G$42,"腰部")</f>
        <v/>
      </c>
      <c r="C19" s="33">
        <f>SUMIFS('① 笔记追踪总表'!$AM$3:$AM$42,'① 笔记追踪总表'!$G$3:$G$42,"腰部")</f>
        <v/>
      </c>
      <c r="D19" s="33">
        <f>SUMIFS('① 笔记追踪总表'!$AS$3:$AS$42,'① 笔记追踪总表'!$G$3:$G$42,"腰部")</f>
        <v/>
      </c>
      <c r="E19" s="34">
        <f>IFERROR(AVERAGEIFS('① 笔记追踪总表'!$AT$3:$AT$42,'① 笔记追踪总表'!$G$3:$G$42,"腰部"),"")</f>
        <v/>
      </c>
      <c r="F19" s="33">
        <f>SUMIFS('① 笔记追踪总表'!$AX$3:$AX$42,'① 笔记追踪总表'!$G$3:$G$42,"腰部")</f>
        <v/>
      </c>
      <c r="G19" s="35">
        <f>IFERROR(AVERAGEIFS('① 笔记追踪总表'!$AV$3:$AV$42,'① 笔记追踪总表'!$G$3:$G$42,"腰部"),"")</f>
        <v/>
      </c>
    </row>
    <row r="20">
      <c r="A20" s="31" t="inlineStr">
        <is>
          <t>尾部</t>
        </is>
      </c>
      <c r="B20" s="32">
        <f>COUNTIFS('① 笔记追踪总表'!$G$3:$G$42,"尾部")</f>
        <v/>
      </c>
      <c r="C20" s="33">
        <f>SUMIFS('① 笔记追踪总表'!$AM$3:$AM$42,'① 笔记追踪总表'!$G$3:$G$42,"尾部")</f>
        <v/>
      </c>
      <c r="D20" s="33">
        <f>SUMIFS('① 笔记追踪总表'!$AS$3:$AS$42,'① 笔记追踪总表'!$G$3:$G$42,"尾部")</f>
        <v/>
      </c>
      <c r="E20" s="34">
        <f>IFERROR(AVERAGEIFS('① 笔记追踪总表'!$AT$3:$AT$42,'① 笔记追踪总表'!$G$3:$G$42,"尾部"),"")</f>
        <v/>
      </c>
      <c r="F20" s="33">
        <f>SUMIFS('① 笔记追踪总表'!$AX$3:$AX$42,'① 笔记追踪总表'!$G$3:$G$42,"尾部")</f>
        <v/>
      </c>
      <c r="G20" s="35">
        <f>IFERROR(AVERAGEIFS('① 笔记追踪总表'!$AV$3:$AV$42,'① 笔记追踪总表'!$G$3:$G$42,"尾部"),"")</f>
        <v/>
      </c>
    </row>
    <row r="21">
      <c r="A21" s="31" t="inlineStr">
        <is>
          <t>KOC</t>
        </is>
      </c>
      <c r="B21" s="32">
        <f>COUNTIFS('① 笔记追踪总表'!$G$3:$G$42,"KOC")</f>
        <v/>
      </c>
      <c r="C21" s="33">
        <f>SUMIFS('① 笔记追踪总表'!$AM$3:$AM$42,'① 笔记追踪总表'!$G$3:$G$42,"KOC")</f>
        <v/>
      </c>
      <c r="D21" s="33">
        <f>SUMIFS('① 笔记追踪总表'!$AS$3:$AS$42,'① 笔记追踪总表'!$G$3:$G$42,"KOC")</f>
        <v/>
      </c>
      <c r="E21" s="34">
        <f>IFERROR(AVERAGEIFS('① 笔记追踪总表'!$AT$3:$AT$42,'① 笔记追踪总表'!$G$3:$G$42,"KOC"),"")</f>
        <v/>
      </c>
      <c r="F21" s="33">
        <f>SUMIFS('① 笔记追踪总表'!$AX$3:$AX$42,'① 笔记追踪总表'!$G$3:$G$42,"KOC")</f>
        <v/>
      </c>
      <c r="G21" s="35">
        <f>IFERROR(AVERAGEIFS('① 笔记追踪总表'!$AV$3:$AV$42,'① 笔记追踪总表'!$G$3:$G$42,"KOC"),"")</f>
        <v/>
      </c>
    </row>
    <row r="24">
      <c r="A24" s="29" t="inlineStr">
        <is>
          <t>按 笔记类型</t>
        </is>
      </c>
    </row>
    <row r="25">
      <c r="A25" s="30" t="inlineStr">
        <is>
          <t>分组</t>
        </is>
      </c>
      <c r="B25" s="30" t="inlineStr">
        <is>
          <t>篇数</t>
        </is>
      </c>
      <c r="C25" s="30" t="inlineStr">
        <is>
          <t>总曝光</t>
        </is>
      </c>
      <c r="D25" s="30" t="inlineStr">
        <is>
          <t>总互动量</t>
        </is>
      </c>
      <c r="E25" s="30" t="inlineStr">
        <is>
          <t>均互动率</t>
        </is>
      </c>
      <c r="F25" s="30" t="inlineStr">
        <is>
          <t>总花费(元)</t>
        </is>
      </c>
      <c r="G25" s="30" t="inlineStr">
        <is>
          <t>均CPE</t>
        </is>
      </c>
    </row>
    <row r="26">
      <c r="A26" s="31" t="inlineStr">
        <is>
          <t>A·选购攻略</t>
        </is>
      </c>
      <c r="B26" s="32">
        <f>COUNTIFS('① 笔记追踪总表'!$J$3:$J$42,"A·选购攻略")</f>
        <v/>
      </c>
      <c r="C26" s="33">
        <f>SUMIFS('① 笔记追踪总表'!$AM$3:$AM$42,'① 笔记追踪总表'!$J$3:$J$42,"A·选购攻略")</f>
        <v/>
      </c>
      <c r="D26" s="33">
        <f>SUMIFS('① 笔记追踪总表'!$AS$3:$AS$42,'① 笔记追踪总表'!$J$3:$J$42,"A·选购攻略")</f>
        <v/>
      </c>
      <c r="E26" s="34">
        <f>IFERROR(AVERAGEIFS('① 笔记追踪总表'!$AT$3:$AT$42,'① 笔记追踪总表'!$J$3:$J$42,"A·选购攻略"),"")</f>
        <v/>
      </c>
      <c r="F26" s="33">
        <f>SUMIFS('① 笔记追踪总表'!$AX$3:$AX$42,'① 笔记追踪总表'!$J$3:$J$42,"A·选购攻略")</f>
        <v/>
      </c>
      <c r="G26" s="35">
        <f>IFERROR(AVERAGEIFS('① 笔记追踪总表'!$AV$3:$AV$42,'① 笔记追踪总表'!$J$3:$J$42,"A·选购攻略"),"")</f>
        <v/>
      </c>
    </row>
    <row r="27">
      <c r="A27" s="31" t="inlineStr">
        <is>
          <t>B·测评回购</t>
        </is>
      </c>
      <c r="B27" s="32">
        <f>COUNTIFS('① 笔记追踪总表'!$J$3:$J$42,"B·测评回购")</f>
        <v/>
      </c>
      <c r="C27" s="33">
        <f>SUMIFS('① 笔记追踪总表'!$AM$3:$AM$42,'① 笔记追踪总表'!$J$3:$J$42,"B·测评回购")</f>
        <v/>
      </c>
      <c r="D27" s="33">
        <f>SUMIFS('① 笔记追踪总表'!$AS$3:$AS$42,'① 笔记追踪总表'!$J$3:$J$42,"B·测评回购")</f>
        <v/>
      </c>
      <c r="E27" s="34">
        <f>IFERROR(AVERAGEIFS('① 笔记追踪总表'!$AT$3:$AT$42,'① 笔记追踪总表'!$J$3:$J$42,"B·测评回购"),"")</f>
        <v/>
      </c>
      <c r="F27" s="33">
        <f>SUMIFS('① 笔记追踪总表'!$AX$3:$AX$42,'① 笔记追踪总表'!$J$3:$J$42,"B·测评回购")</f>
        <v/>
      </c>
      <c r="G27" s="35">
        <f>IFERROR(AVERAGEIFS('① 笔记追踪总表'!$AV$3:$AV$42,'① 笔记追踪总表'!$J$3:$J$42,"B·测评回购"),"")</f>
        <v/>
      </c>
    </row>
    <row r="28">
      <c r="A28" s="31" t="inlineStr">
        <is>
          <t>C·场景种草</t>
        </is>
      </c>
      <c r="B28" s="32">
        <f>COUNTIFS('① 笔记追踪总表'!$J$3:$J$42,"C·场景种草")</f>
        <v/>
      </c>
      <c r="C28" s="33">
        <f>SUMIFS('① 笔记追踪总表'!$AM$3:$AM$42,'① 笔记追踪总表'!$J$3:$J$42,"C·场景种草")</f>
        <v/>
      </c>
      <c r="D28" s="33">
        <f>SUMIFS('① 笔记追踪总表'!$AS$3:$AS$42,'① 笔记追踪总表'!$J$3:$J$42,"C·场景种草")</f>
        <v/>
      </c>
      <c r="E28" s="34">
        <f>IFERROR(AVERAGEIFS('① 笔记追踪总表'!$AT$3:$AT$42,'① 笔记追踪总表'!$J$3:$J$42,"C·场景种草"),"")</f>
        <v/>
      </c>
      <c r="F28" s="33">
        <f>SUMIFS('① 笔记追踪总表'!$AX$3:$AX$42,'① 笔记追踪总表'!$J$3:$J$42,"C·场景种草")</f>
        <v/>
      </c>
      <c r="G28" s="35">
        <f>IFERROR(AVERAGEIFS('① 笔记追踪总表'!$AV$3:$AV$42,'① 笔记追踪总表'!$J$3:$J$42,"C·场景种草"),"")</f>
        <v/>
      </c>
    </row>
    <row r="29">
      <c r="A29" s="31" t="inlineStr">
        <is>
          <t>D·开箱vlog</t>
        </is>
      </c>
      <c r="B29" s="32">
        <f>COUNTIFS('① 笔记追踪总表'!$J$3:$J$42,"D·开箱vlog")</f>
        <v/>
      </c>
      <c r="C29" s="33">
        <f>SUMIFS('① 笔记追踪总表'!$AM$3:$AM$42,'① 笔记追踪总表'!$J$3:$J$42,"D·开箱vlog")</f>
        <v/>
      </c>
      <c r="D29" s="33">
        <f>SUMIFS('① 笔记追踪总表'!$AS$3:$AS$42,'① 笔记追踪总表'!$J$3:$J$42,"D·开箱vlog")</f>
        <v/>
      </c>
      <c r="E29" s="34">
        <f>IFERROR(AVERAGEIFS('① 笔记追踪总表'!$AT$3:$AT$42,'① 笔记追踪总表'!$J$3:$J$42,"D·开箱vlog"),"")</f>
        <v/>
      </c>
      <c r="F29" s="33">
        <f>SUMIFS('① 笔记追踪总表'!$AX$3:$AX$42,'① 笔记追踪总表'!$J$3:$J$42,"D·开箱vlog")</f>
        <v/>
      </c>
      <c r="G29" s="35">
        <f>IFERROR(AVERAGEIFS('① 笔记追踪总表'!$AV$3:$AV$42,'① 笔记追踪总表'!$J$3:$J$42,"D·开箱vlog"),"")</f>
        <v/>
      </c>
    </row>
    <row r="30">
      <c r="A30" s="31" t="inlineStr">
        <is>
          <t>E·比价囤货</t>
        </is>
      </c>
      <c r="B30" s="32">
        <f>COUNTIFS('① 笔记追踪总表'!$J$3:$J$42,"E·比价囤货")</f>
        <v/>
      </c>
      <c r="C30" s="33">
        <f>SUMIFS('① 笔记追踪总表'!$AM$3:$AM$42,'① 笔记追踪总表'!$J$3:$J$42,"E·比价囤货")</f>
        <v/>
      </c>
      <c r="D30" s="33">
        <f>SUMIFS('① 笔记追踪总表'!$AS$3:$AS$42,'① 笔记追踪总表'!$J$3:$J$42,"E·比价囤货")</f>
        <v/>
      </c>
      <c r="E30" s="34">
        <f>IFERROR(AVERAGEIFS('① 笔记追踪总表'!$AT$3:$AT$42,'① 笔记追踪总表'!$J$3:$J$42,"E·比价囤货"),"")</f>
        <v/>
      </c>
      <c r="F30" s="33">
        <f>SUMIFS('① 笔记追踪总表'!$AX$3:$AX$42,'① 笔记追踪总表'!$J$3:$J$42,"E·比价囤货")</f>
        <v/>
      </c>
      <c r="G30" s="35">
        <f>IFERROR(AVERAGEIFS('① 笔记追踪总表'!$AV$3:$AV$42,'① 笔记追踪总表'!$J$3:$J$42,"E·比价囤货"),"")</f>
        <v/>
      </c>
    </row>
    <row r="33">
      <c r="A33" s="29" t="inlineStr">
        <is>
          <t>按 内容形式</t>
        </is>
      </c>
    </row>
    <row r="34">
      <c r="A34" s="30" t="inlineStr">
        <is>
          <t>分组</t>
        </is>
      </c>
      <c r="B34" s="30" t="inlineStr">
        <is>
          <t>篇数</t>
        </is>
      </c>
      <c r="C34" s="30" t="inlineStr">
        <is>
          <t>总曝光</t>
        </is>
      </c>
      <c r="D34" s="30" t="inlineStr">
        <is>
          <t>总互动量</t>
        </is>
      </c>
      <c r="E34" s="30" t="inlineStr">
        <is>
          <t>均互动率</t>
        </is>
      </c>
      <c r="F34" s="30" t="inlineStr">
        <is>
          <t>总花费(元)</t>
        </is>
      </c>
      <c r="G34" s="30" t="inlineStr">
        <is>
          <t>均CPE</t>
        </is>
      </c>
    </row>
    <row r="35">
      <c r="A35" s="31" t="inlineStr">
        <is>
          <t>图文</t>
        </is>
      </c>
      <c r="B35" s="32">
        <f>COUNTIFS('① 笔记追踪总表'!$K$3:$K$42,"图文")</f>
        <v/>
      </c>
      <c r="C35" s="33">
        <f>SUMIFS('① 笔记追踪总表'!$AM$3:$AM$42,'① 笔记追踪总表'!$K$3:$K$42,"图文")</f>
        <v/>
      </c>
      <c r="D35" s="33">
        <f>SUMIFS('① 笔记追踪总表'!$AS$3:$AS$42,'① 笔记追踪总表'!$K$3:$K$42,"图文")</f>
        <v/>
      </c>
      <c r="E35" s="34">
        <f>IFERROR(AVERAGEIFS('① 笔记追踪总表'!$AT$3:$AT$42,'① 笔记追踪总表'!$K$3:$K$42,"图文"),"")</f>
        <v/>
      </c>
      <c r="F35" s="33">
        <f>SUMIFS('① 笔记追踪总表'!$AX$3:$AX$42,'① 笔记追踪总表'!$K$3:$K$42,"图文")</f>
        <v/>
      </c>
      <c r="G35" s="35">
        <f>IFERROR(AVERAGEIFS('① 笔记追踪总表'!$AV$3:$AV$42,'① 笔记追踪总表'!$K$3:$K$42,"图文"),"")</f>
        <v/>
      </c>
    </row>
    <row r="36">
      <c r="A36" s="31" t="inlineStr">
        <is>
          <t>视频</t>
        </is>
      </c>
      <c r="B36" s="32">
        <f>COUNTIFS('① 笔记追踪总表'!$K$3:$K$42,"视频")</f>
        <v/>
      </c>
      <c r="C36" s="33">
        <f>SUMIFS('① 笔记追踪总表'!$AM$3:$AM$42,'① 笔记追踪总表'!$K$3:$K$42,"视频")</f>
        <v/>
      </c>
      <c r="D36" s="33">
        <f>SUMIFS('① 笔记追踪总表'!$AS$3:$AS$42,'① 笔记追踪总表'!$K$3:$K$42,"视频")</f>
        <v/>
      </c>
      <c r="E36" s="34">
        <f>IFERROR(AVERAGEIFS('① 笔记追踪总表'!$AT$3:$AT$42,'① 笔记追踪总表'!$K$3:$K$42,"视频"),"")</f>
        <v/>
      </c>
      <c r="F36" s="33">
        <f>SUMIFS('① 笔记追踪总表'!$AX$3:$AX$42,'① 笔记追踪总表'!$K$3:$K$42,"视频")</f>
        <v/>
      </c>
      <c r="G36" s="35">
        <f>IFERROR(AVERAGEIFS('① 笔记追踪总表'!$AV$3:$AV$42,'① 笔记追踪总表'!$K$3:$K$42,"视频"),"")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18" customHeight="1">
      <c r="A1" s="36" t="inlineStr">
        <is>
          <t>填写说明 / 图例</t>
        </is>
      </c>
      <c r="B1" s="37" t="inlineStr"/>
    </row>
    <row r="2" ht="18" customHeight="1">
      <c r="A2" s="38" t="inlineStr">
        <is>
          <t>浅黄底 单元格</t>
        </is>
      </c>
      <c r="B2" s="37" t="inlineStr">
        <is>
          <t>需要人工填写（输入项）</t>
        </is>
      </c>
    </row>
    <row r="3" ht="18" customHeight="1">
      <c r="A3" s="38" t="inlineStr">
        <is>
          <t>浅灰底 单元格</t>
        </is>
      </c>
      <c r="B3" s="37" t="inlineStr">
        <is>
          <t>自动公式，勿手动改（发布月/互动量/互动率/收藏率/CPE/CPM）</t>
        </is>
      </c>
    </row>
    <row r="4" ht="18" customHeight="1">
      <c r="A4" s="38" t="inlineStr">
        <is>
          <t>下拉列表</t>
        </is>
      </c>
      <c r="B4" s="37" t="inlineStr">
        <is>
          <t>状态·层级·产品·类型·形式·合规审核·结算等为下拉选择，选项在「选项」页可维护</t>
        </is>
      </c>
    </row>
    <row r="5" ht="18" customHeight="1">
      <c r="A5" s="38" t="inlineStr"/>
      <c r="B5" s="37" t="inlineStr"/>
    </row>
    <row r="6" ht="18" customHeight="1">
      <c r="A6" s="38" t="inlineStr">
        <is>
          <t>① 排期·投前确认</t>
        </is>
      </c>
      <c r="B6" s="37" t="inlineStr">
        <is>
          <t>发布前填：排期、达人、产品、类型、脚本、【合规审核】、确认可投。未过审不得投。</t>
        </is>
      </c>
    </row>
    <row r="7" ht="18" customHeight="1">
      <c r="A7" s="38" t="inlineStr">
        <is>
          <t>② 投后·基础</t>
        </is>
      </c>
      <c r="B7" s="37" t="inlineStr">
        <is>
          <t>发布后填：实际发布日、标题、链接、图片数、品牌词、主话题词。</t>
        </is>
      </c>
    </row>
    <row r="8" ht="28" customHeight="1">
      <c r="A8" s="38" t="inlineStr">
        <is>
          <t>③ 数据追踪</t>
        </is>
      </c>
      <c r="B8" s="37" t="inlineStr">
        <is>
          <t>按 T+3 / T+7 / T+15 三个时点采集：曝光/赞/藏/评/分享 + 证据截图(IMG编号或云链接)。</t>
        </is>
      </c>
    </row>
    <row r="9" ht="28" customHeight="1">
      <c r="A9" s="38" t="inlineStr">
        <is>
          <t>④ 效率指标</t>
        </is>
      </c>
      <c r="B9" s="37" t="inlineStr">
        <is>
          <t>自动算：互动量=赞+藏+评+分享(T+15)；互动率=互动/曝光；CPE=费用/互动量；CPM=费用/曝光×1000。</t>
        </is>
      </c>
    </row>
    <row r="10" ht="18" customHeight="1">
      <c r="A10" s="38" t="inlineStr">
        <is>
          <t>⑤ 结算·转化</t>
        </is>
      </c>
      <c r="B10" s="37" t="inlineStr">
        <is>
          <t>费用、是否笔直合作、结算状态、15天成交转化、备注。</t>
        </is>
      </c>
    </row>
    <row r="11" ht="28" customHeight="1">
      <c r="A11" s="38" t="inlineStr">
        <is>
          <t>Dashboard</t>
        </is>
      </c>
      <c r="B11" s="37" t="inlineStr">
        <is>
          <t>按 产品/层级/类型/形式 自动汇总篇数·曝光·互动·互动率·花费·CPE，复盘不用手算。</t>
        </is>
      </c>
    </row>
    <row r="12" ht="18" customHeight="1">
      <c r="A12" s="38" t="inlineStr"/>
      <c r="B12" s="37" t="inlineStr"/>
    </row>
    <row r="13" ht="28" customHeight="1">
      <c r="A13" s="38" t="inlineStr">
        <is>
          <t>⚠️ 合规红线词</t>
        </is>
      </c>
      <c r="B13" s="37" t="inlineStr">
        <is>
          <t>美白/焕白/去黄/淡斑/抗老/抗衰/A醇/视黄醇/修复屏障/祛痘/医美/院线/极限词。改用：提亮/透亮/水润/细致毛孔。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8" t="inlineStr">
        <is>
          <t>状态</t>
        </is>
      </c>
      <c r="B1" s="38" t="inlineStr">
        <is>
          <t>达人层级</t>
        </is>
      </c>
      <c r="C1" s="38" t="inlineStr">
        <is>
          <t>内部对接人</t>
        </is>
      </c>
      <c r="D1" s="38" t="inlineStr">
        <is>
          <t>投放产品SPU</t>
        </is>
      </c>
      <c r="E1" s="38" t="inlineStr">
        <is>
          <t>笔记类型</t>
        </is>
      </c>
      <c r="F1" s="38" t="inlineStr">
        <is>
          <t>内容形式</t>
        </is>
      </c>
      <c r="G1" s="38" t="inlineStr">
        <is>
          <t>合规审核</t>
        </is>
      </c>
      <c r="H1" s="38" t="inlineStr">
        <is>
          <t>审核人</t>
        </is>
      </c>
      <c r="I1" s="38" t="inlineStr">
        <is>
          <t>是否</t>
        </is>
      </c>
      <c r="J1" s="38" t="inlineStr">
        <is>
          <t>话题维护</t>
        </is>
      </c>
      <c r="K1" s="38" t="inlineStr">
        <is>
          <t>结算状态</t>
        </is>
      </c>
    </row>
    <row r="2">
      <c r="A2" t="inlineStr">
        <is>
          <t>排期</t>
        </is>
      </c>
      <c r="B2" t="inlineStr">
        <is>
          <t>头部KOL</t>
        </is>
      </c>
      <c r="C2" t="inlineStr">
        <is>
          <t>（填成员名）</t>
        </is>
      </c>
      <c r="D2" t="inlineStr">
        <is>
          <t>黑钻VC100(黑金)</t>
        </is>
      </c>
      <c r="E2" t="inlineStr">
        <is>
          <t>A·选购攻略</t>
        </is>
      </c>
      <c r="F2" t="inlineStr">
        <is>
          <t>图文</t>
        </is>
      </c>
      <c r="G2" t="inlineStr">
        <is>
          <t>待审</t>
        </is>
      </c>
      <c r="H2" t="inlineStr">
        <is>
          <t>（填成员名）</t>
        </is>
      </c>
      <c r="I2" t="inlineStr">
        <is>
          <t>是</t>
        </is>
      </c>
      <c r="J2" t="inlineStr">
        <is>
          <t>已维护</t>
        </is>
      </c>
      <c r="K2" t="inlineStr">
        <is>
          <t>未付</t>
        </is>
      </c>
    </row>
    <row r="3">
      <c r="A3" t="inlineStr">
        <is>
          <t>待审稿</t>
        </is>
      </c>
      <c r="B3" t="inlineStr">
        <is>
          <t>腰部</t>
        </is>
      </c>
      <c r="C3" t="inlineStr">
        <is>
          <t>曹</t>
        </is>
      </c>
      <c r="D3" t="inlineStr">
        <is>
          <t>金色·提亮补水</t>
        </is>
      </c>
      <c r="E3" t="inlineStr">
        <is>
          <t>B·测评回购</t>
        </is>
      </c>
      <c r="F3" t="inlineStr">
        <is>
          <t>视频</t>
        </is>
      </c>
      <c r="G3" t="inlineStr">
        <is>
          <t>✅通过</t>
        </is>
      </c>
      <c r="H3" t="inlineStr">
        <is>
          <t>曹</t>
        </is>
      </c>
      <c r="I3" t="inlineStr">
        <is>
          <t>否</t>
        </is>
      </c>
      <c r="J3" t="inlineStr">
        <is>
          <t>未维护</t>
        </is>
      </c>
      <c r="K3" t="inlineStr">
        <is>
          <t>已付</t>
        </is>
      </c>
    </row>
    <row r="4">
      <c r="A4" t="inlineStr">
        <is>
          <t>已投</t>
        </is>
      </c>
      <c r="B4" t="inlineStr">
        <is>
          <t>尾部</t>
        </is>
      </c>
      <c r="C4" t="inlineStr">
        <is>
          <t>成员A</t>
        </is>
      </c>
      <c r="D4" t="inlineStr">
        <is>
          <t>黑银·水光细毛孔</t>
        </is>
      </c>
      <c r="E4" t="inlineStr">
        <is>
          <t>C·场景种草</t>
        </is>
      </c>
      <c r="G4" t="inlineStr">
        <is>
          <t>⚠️需改</t>
        </is>
      </c>
      <c r="H4" t="inlineStr">
        <is>
          <t>成员A</t>
        </is>
      </c>
      <c r="J4" t="inlineStr">
        <is>
          <t>不适用</t>
        </is>
      </c>
      <c r="K4" t="inlineStr">
        <is>
          <t>部分付</t>
        </is>
      </c>
    </row>
    <row r="5">
      <c r="A5" t="inlineStr">
        <is>
          <t>追踪中</t>
        </is>
      </c>
      <c r="B5" t="inlineStr">
        <is>
          <t>KOC</t>
        </is>
      </c>
      <c r="C5" t="inlineStr">
        <is>
          <t>成员B</t>
        </is>
      </c>
      <c r="D5" t="inlineStr">
        <is>
          <t>深蓝·维稳补水</t>
        </is>
      </c>
      <c r="E5" t="inlineStr">
        <is>
          <t>D·开箱vlog</t>
        </is>
      </c>
      <c r="G5" t="inlineStr">
        <is>
          <t>❌驳回</t>
        </is>
      </c>
    </row>
    <row r="6">
      <c r="A6" t="inlineStr">
        <is>
          <t>已结案</t>
        </is>
      </c>
      <c r="D6" t="inlineStr">
        <is>
          <t>银色·提亮</t>
        </is>
      </c>
      <c r="E6" t="inlineStr">
        <is>
          <t>E·比价囤货</t>
        </is>
      </c>
    </row>
    <row r="7">
      <c r="D7" t="inlineStr">
        <is>
          <t>护眼丸</t>
        </is>
      </c>
    </row>
    <row r="8">
      <c r="D8" t="inlineStr">
        <is>
          <t>补铁片</t>
        </is>
      </c>
    </row>
    <row r="9">
      <c r="D9" t="inlineStr">
        <is>
          <t>护肝片</t>
        </is>
      </c>
    </row>
    <row r="10">
      <c r="D10" t="inlineStr">
        <is>
          <t>（其他/新品）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2026-08-05T00:54:04Z</dcterms:created>
  <dcterms:modified xmlns:dcterms="http://purl.org/dc/terms/" xmlns:xsi="http://www.w3.org/2001/XMLSchema-instance" xsi:type="dcterms:W3CDTF">2026-08-05T00:54:04Z</dcterms:modified>
</cp:coreProperties>
</file>