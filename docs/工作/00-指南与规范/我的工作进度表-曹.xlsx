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我的看板" sheetId="1" state="visible" r:id="rId1"/>
    <sheet xmlns:r="http://schemas.openxmlformats.org/officeDocument/2006/relationships" name="我的任务" sheetId="2" state="visible" r:id="rId2"/>
    <sheet xmlns:r="http://schemas.openxmlformats.org/officeDocument/2006/relationships" name="说明" sheetId="3" state="visible" r:id="rId3"/>
    <sheet xmlns:r="http://schemas.openxmlformats.org/officeDocument/2006/relationships" name="选项" sheetId="4" state="visible" r:id="rId4"/>
  </sheets>
  <definedNames>
    <definedName name="_xlnm._FilterDatabase" localSheetId="1" hidden="1">'我的任务'!$A$2:$Y$18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%"/>
    <numFmt numFmtId="166" formatCode="m/d"/>
    <numFmt numFmtId="167" formatCode="yyyy-mm-dd"/>
  </numFmts>
  <fonts count="17">
    <font>
      <name val="Calibri"/>
      <color theme="1"/>
      <sz val="11"/>
      <scheme val="minor"/>
    </font>
    <font>
      <name val="Microsoft Yahei"/>
      <b val="1"/>
      <color rgb="FF1F3864"/>
      <sz val="15"/>
    </font>
    <font>
      <name val="Microsoft Yahei"/>
      <color rgb="FF808080"/>
      <sz val="9"/>
    </font>
    <font>
      <name val="Microsoft Yahei"/>
      <b val="1"/>
      <color rgb="FF000000"/>
      <sz val="9"/>
    </font>
    <font>
      <name val="Microsoft Yahei"/>
      <b val="1"/>
      <color rgb="FF000000"/>
      <sz val="10"/>
    </font>
    <font>
      <name val="SimSun"/>
      <color theme="1"/>
      <sz val="11"/>
    </font>
    <font>
      <name val="Microsoft Yahei"/>
      <b val="1"/>
      <color rgb="FFB0122C"/>
      <sz val="11"/>
    </font>
    <font>
      <name val="Microsoft Yahei"/>
      <color rgb="FF000000"/>
      <sz val="10"/>
    </font>
    <font>
      <name val="Microsoft Yahei"/>
      <b val="1"/>
      <color rgb="FF000000"/>
      <sz val="11"/>
    </font>
    <font>
      <name val="Microsoft Yahei"/>
      <b val="1"/>
      <color rgb="FF1F3864"/>
      <sz val="12"/>
    </font>
    <font>
      <name val="Microsoft Yahei"/>
      <b val="1"/>
      <color rgb="FFFFFFFF"/>
      <sz val="9"/>
    </font>
    <font>
      <name val="Microsoft Yahei"/>
      <color rgb="FF000000"/>
      <sz val="9"/>
    </font>
    <font>
      <name val="Microsoft Yahei"/>
      <b val="1"/>
      <color rgb="FFB0122C"/>
      <sz val="12"/>
    </font>
    <font>
      <name val="Microsoft Yahei"/>
      <b val="1"/>
      <color rgb="FF1F3864"/>
      <sz val="13"/>
    </font>
    <font>
      <name val="Microsoft Yahei"/>
      <b val="1"/>
      <color rgb="FFFFFFFF"/>
      <sz val="10"/>
    </font>
    <font>
      <name val="Microsoft Yahei"/>
      <b val="1"/>
      <color theme="1"/>
      <sz val="10"/>
    </font>
    <font>
      <name val="Calibri"/>
      <color theme="1"/>
      <scheme val="minor"/>
    </font>
  </fonts>
  <fills count="8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FFDE7"/>
        <bgColor rgb="FFFFFDE7"/>
      </patternFill>
    </fill>
    <fill>
      <patternFill patternType="solid">
        <fgColor rgb="FFF2F2F2"/>
        <bgColor rgb="FFF2F2F2"/>
      </patternFill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</fills>
  <borders count="3"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bottom style="thin">
        <color rgb="FFD9D9D9"/>
      </bottom>
    </border>
  </borders>
  <cellStyleXfs count="1">
    <xf numFmtId="0" fontId="0" fillId="0" borderId="0"/>
  </cellStyleXfs>
  <cellXfs count="58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8" fillId="0" borderId="1" pivotButton="0" quotePrefix="0" xfId="0"/>
    <xf numFmtId="165" fontId="8" fillId="0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2" fillId="0" borderId="0" pivotButton="0" quotePrefix="0" xfId="0"/>
    <xf numFmtId="0" fontId="3" fillId="0" borderId="1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14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left" vertical="center" wrapText="1"/>
    </xf>
    <xf numFmtId="166" fontId="7" fillId="3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166" fontId="7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166" fontId="7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7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15" fillId="0" borderId="0" applyAlignment="1" pivotButton="0" quotePrefix="0" xfId="0">
      <alignment horizontal="left" vertical="center"/>
    </xf>
    <xf numFmtId="0" fontId="16" fillId="5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6" fillId="6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6" fillId="7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0" pivotButton="0" quotePrefix="0" xfId="0"/>
    <xf numFmtId="167" fontId="7" fillId="3" borderId="0" applyAlignment="1" pivotButton="0" quotePrefix="0" xfId="0">
      <alignment horizontal="center" vertical="center" wrapText="1"/>
    </xf>
    <xf numFmtId="167" fontId="7" fillId="3" borderId="2" applyAlignment="1" pivotButton="0" quotePrefix="0" xfId="0">
      <alignment horizontal="center" vertical="center" wrapText="1"/>
    </xf>
    <xf numFmtId="167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167" fontId="7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2">
    <dxf>
      <font/>
      <fill>
        <patternFill patternType="solid">
          <fgColor rgb="FFF5B7B1"/>
          <bgColor rgb="FFF5B7B1"/>
        </patternFill>
      </fill>
      <border/>
    </dxf>
    <dxf>
      <font/>
      <fill>
        <patternFill/>
      </fill>
      <border/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  <dxf>
      <font>
        <name val="Microsoft Yahei"/>
        <b val="1"/>
        <color rgb="FFB0122C"/>
        <sz val="10"/>
      </font>
      <fill>
        <patternFill patternType="solid">
          <fgColor rgb="FFF5B7B1"/>
          <bgColor rgb="FFF5B7B1"/>
        </patternFill>
      </fill>
      <border/>
    </dxf>
    <dxf>
      <font/>
      <fill>
        <patternFill patternType="solid">
          <fgColor rgb="FFFFE59A"/>
          <bgColor rgb="FFFFE59A"/>
        </patternFill>
      </fill>
      <border/>
    </dxf>
    <dxf>
      <font/>
      <fill>
        <patternFill patternType="solid">
          <fgColor rgb="FFEDEDED"/>
          <bgColor rgb="FFEDEDED"/>
        </patternFill>
      </fill>
      <border/>
    </dxf>
    <dxf>
      <font/>
      <fill>
        <patternFill patternType="solid">
          <fgColor rgb="FFE8E8E8"/>
          <bgColor rgb="FFE8E8E8"/>
        </patternFill>
      </fill>
      <border/>
    </dxf>
    <dxf>
      <font/>
      <fill>
        <patternFill patternType="solid">
          <fgColor rgb="FFC6E7C6"/>
          <bgColor rgb="FFC6E7C6"/>
        </patternFill>
      </fill>
      <border/>
    </dxf>
    <dxf>
      <font/>
      <fill>
        <patternFill patternType="solid">
          <fgColor rgb="FFD6DCE9"/>
          <bgColor rgb="FFD6DCE9"/>
        </patternFill>
      </fill>
      <border/>
    </dxf>
    <dxf>
      <font/>
      <fill>
        <patternFill patternType="solid">
          <fgColor rgb="FFFDECEA"/>
          <bgColor rgb="FFFDECEA"/>
        </patternFill>
      </fill>
      <border/>
    </dxf>
  </dxfs>
  <tableStyles count="1" defaultTableStyle="TableStyleMedium9" defaultPivotStyle="PivotStyleLight16">
    <tableStyle name="选项-style" pivot="0" count="4">
      <tableStyleElement type="headerRow" dxfId="2"/>
      <tableStyleElement type="firstRowStripe" dxfId="3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tc={80bd1037-38e0-4074-aba3-0444005721cc}</author>
    <author>tc={a9d57d0b-3e3c-4631-8bc6-827f382f0b24}</author>
    <author>tc={9703326b-5175-4f10-8f85-247814265b65}</author>
  </authors>
  <commentList>
    <comment ref="C2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优先级下拉：高=红/中=黄/低=灰，自动上色。
</t>
      </text>
    </comment>
    <comment ref="D2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状态下拉，自动上色：已完成绿/进行中黄/未开始灰/延期红/搁置蓝。
</t>
      </text>
    </comment>
    <comment ref="G2" authorId="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自动：状态非已完成且计划完成日已过→⚠️延期，整行标红。
</t>
      </text>
    </comment>
  </commentList>
</comments>
</file>

<file path=xl/tables/table1.xml><?xml version="1.0" encoding="utf-8"?>
<table xmlns="http://schemas.openxmlformats.org/spreadsheetml/2006/main" id="1" name="表_1" displayName="表_1" ref="A1:D13" headerRowCount="1">
  <tableColumns count="4">
    <tableColumn id="1" name="项目条线"/>
    <tableColumn id="2" name="优先级"/>
    <tableColumn id="3" name="状态"/>
    <tableColumn id="4" name="协作"/>
  </tableColumns>
  <tableStyleInfo name="选项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0" min="1" max="1"/>
    <col width="9" customWidth="1" style="50" min="2" max="3"/>
    <col width="14" customWidth="1" style="50" min="4" max="4"/>
    <col width="11" customWidth="1" style="50" min="5" max="5"/>
    <col width="9" customWidth="1" style="50" min="6" max="26"/>
  </cols>
  <sheetData>
    <row r="1" ht="16.5" customHeight="1" s="50">
      <c r="A1" s="1" t="inlineStr">
        <is>
          <t>我的工作看板（自动汇总）</t>
        </is>
      </c>
    </row>
    <row r="2" ht="16.5" customHeight="1" s="50">
      <c r="A2" s="2" t="inlineStr">
        <is>
          <t>在「我的任务」填完自动更新；今天：</t>
        </is>
      </c>
      <c r="E2" s="3">
        <f>TODAY()</f>
        <v/>
      </c>
    </row>
    <row r="3" ht="16.5" customHeight="1" s="50"/>
    <row r="4" ht="16.5" customHeight="1" s="50">
      <c r="A4" s="4" t="inlineStr">
        <is>
          <t>总任务</t>
        </is>
      </c>
      <c r="B4" s="5">
        <f>COUNTA('我的任务'!$B$3:$B$500)</f>
        <v/>
      </c>
      <c r="D4" s="6" t="inlineStr">
        <is>
          <t>⏰ 待办提醒</t>
        </is>
      </c>
    </row>
    <row r="5" ht="16.5" customHeight="1" s="50">
      <c r="A5" s="7" t="inlineStr">
        <is>
          <t>未开始</t>
        </is>
      </c>
      <c r="B5" s="5">
        <f>COUNTIF('我的任务'!$D$3:$D$500,"未开始")</f>
        <v/>
      </c>
      <c r="D5" s="7" t="inlineStr">
        <is>
          <t>今日到期·未完成</t>
        </is>
      </c>
      <c r="E5" s="8">
        <f>COUNTIFS('我的任务'!$E$3:$E$500,TODAY(),'我的任务'!$D$3:$D$500,"&lt;&gt;已完成")</f>
        <v/>
      </c>
    </row>
    <row r="6" ht="16.5" customHeight="1" s="50">
      <c r="A6" s="7" t="inlineStr">
        <is>
          <t>进行中</t>
        </is>
      </c>
      <c r="B6" s="5">
        <f>COUNTIF('我的任务'!$D$3:$D$500,"进行中")</f>
        <v/>
      </c>
      <c r="D6" s="7" t="inlineStr">
        <is>
          <t>未来7天到期</t>
        </is>
      </c>
      <c r="E6" s="8">
        <f>COUNTIFS('我的任务'!$E$3:$E$500,"&gt;="&amp;TODAY(),'我的任务'!$E$3:$E$500,"&lt;="&amp;TODAY()+7,'我的任务'!$D$3:$D$500,"&lt;&gt;已完成")</f>
        <v/>
      </c>
    </row>
    <row r="7" ht="16.5" customHeight="1" s="50">
      <c r="A7" s="7" t="inlineStr">
        <is>
          <t>已完成</t>
        </is>
      </c>
      <c r="B7" s="5">
        <f>COUNTIF('我的任务'!$D$3:$D$500,"已完成")</f>
        <v/>
      </c>
      <c r="D7" s="7" t="inlineStr">
        <is>
          <t>已逾期·未完成</t>
        </is>
      </c>
      <c r="E7" s="9">
        <f>COUNTIF('我的任务'!$G$3:$G$500,"⚠️延期")</f>
        <v/>
      </c>
    </row>
    <row r="8" ht="16.5" customHeight="1" s="50">
      <c r="A8" s="7" t="inlineStr">
        <is>
          <t>延期</t>
        </is>
      </c>
      <c r="B8" s="5">
        <f>COUNTIF('我的任务'!$D$3:$D$500,"已延期")+COUNTIF('我的任务'!$G$3:$G$500,"⚠️延期")</f>
        <v/>
      </c>
    </row>
    <row r="9" ht="16.5" customHeight="1" s="50">
      <c r="A9" s="7" t="inlineStr">
        <is>
          <t>搁置</t>
        </is>
      </c>
      <c r="B9" s="5">
        <f>COUNTIF('我的任务'!$D$3:$D$500,"搁置")</f>
        <v/>
      </c>
    </row>
    <row r="10" ht="16.5" customHeight="1" s="50"/>
    <row r="11" ht="16.5" customHeight="1" s="50">
      <c r="A11" s="10" t="inlineStr">
        <is>
          <t>完成率</t>
        </is>
      </c>
      <c r="B11" s="11">
        <f>IFERROR(B7/B4,0)</f>
        <v/>
      </c>
    </row>
    <row r="12" ht="16.5" customHeight="1" s="50"/>
    <row r="13" ht="16.5" customHeight="1" s="50"/>
    <row r="14" ht="16.5" customHeight="1" s="50">
      <c r="A14" s="12" t="inlineStr">
        <is>
          <t>按项目条线 · 完成情况</t>
        </is>
      </c>
    </row>
    <row r="15" ht="16.5" customHeight="1" s="50">
      <c r="A15" s="13" t="inlineStr">
        <is>
          <t>项目条线</t>
        </is>
      </c>
      <c r="B15" s="13" t="inlineStr">
        <is>
          <t>总数</t>
        </is>
      </c>
      <c r="C15" s="13" t="inlineStr">
        <is>
          <t>已完成</t>
        </is>
      </c>
      <c r="D15" s="13" t="inlineStr">
        <is>
          <t>进行中</t>
        </is>
      </c>
      <c r="E15" s="13" t="inlineStr">
        <is>
          <t>完成率</t>
        </is>
      </c>
    </row>
    <row r="16" ht="16.5" customHeight="1" s="50">
      <c r="A16" s="16" t="inlineStr">
        <is>
          <t>-Quality1st</t>
        </is>
      </c>
      <c r="B16" s="5">
        <f>COUNTIF('我的任务'!$A$3:$A$500,"面膜-Quality1st")</f>
        <v/>
      </c>
      <c r="C16" s="5">
        <f>COUNTIFS('我的任务'!$A$3:$A$500,"面膜-Quality1st",'我的任务'!$D$3:$D$500,"已完成")</f>
        <v/>
      </c>
      <c r="D16" s="5">
        <f>COUNTIFS('我的任务'!$A$3:$A$500,"面膜-Quality1st",'我的任务'!$D$3:$D$500,"进行中")</f>
        <v/>
      </c>
      <c r="E16" s="15">
        <f>IFERROR(C16/B16,"")</f>
        <v/>
      </c>
    </row>
    <row r="17" ht="16.5" customHeight="1" s="50">
      <c r="A17" s="16" t="inlineStr">
        <is>
          <t>Sakuranomori</t>
        </is>
      </c>
      <c r="B17" s="5">
        <f>COUNTIF('我的任务'!$A$3:$A$500,"自有-Sakuranomori")</f>
        <v/>
      </c>
      <c r="C17" s="5">
        <f>COUNTIFS('我的任务'!$A$3:$A$500,"自有-Sakuranomori",'我的任务'!$D$3:$D$500,"已完成")</f>
        <v/>
      </c>
      <c r="D17" s="5">
        <f>COUNTIFS('我的任务'!$A$3:$A$500,"自有-Sakuranomori",'我的任务'!$D$3:$D$500,"进行中")</f>
        <v/>
      </c>
      <c r="E17" s="15">
        <f>IFERROR(C17/B17,"")</f>
        <v/>
      </c>
    </row>
    <row r="18" ht="16.5" customHeight="1" s="50">
      <c r="A18" s="16" t="inlineStr">
        <is>
          <t>小红书运营</t>
        </is>
      </c>
      <c r="B18" s="5">
        <f>COUNTIF('我的任务'!$A$3:$A$500,"小红书运营")</f>
        <v/>
      </c>
      <c r="C18" s="5">
        <f>COUNTIFS('我的任务'!$A$3:$A$500,"小红书运营",'我的任务'!$D$3:$D$500,"已完成")</f>
        <v/>
      </c>
      <c r="D18" s="5">
        <f>COUNTIFS('我的任务'!$A$3:$A$500,"小红书运营",'我的任务'!$D$3:$D$500,"进行中")</f>
        <v/>
      </c>
      <c r="E18" s="15">
        <f>IFERROR(C18/B18,"")</f>
        <v/>
      </c>
    </row>
    <row r="19" ht="16.5" customHeight="1" s="50">
      <c r="A19" s="16" t="inlineStr">
        <is>
          <t>天猫运营</t>
        </is>
      </c>
      <c r="B19" s="5">
        <f>COUNTIF('我的任务'!$A$3:$A$500,"天猫运营")</f>
        <v/>
      </c>
      <c r="C19" s="5">
        <f>COUNTIFS('我的任务'!$A$3:$A$500,"天猫运营",'我的任务'!$D$3:$D$500,"已完成")</f>
        <v/>
      </c>
      <c r="D19" s="5">
        <f>COUNTIFS('我的任务'!$A$3:$A$500,"天猫运营",'我的任务'!$D$3:$D$500,"进行中")</f>
        <v/>
      </c>
      <c r="E19" s="15">
        <f>IFERROR(C19/B19,"")</f>
        <v/>
      </c>
    </row>
    <row r="20" ht="16.5" customHeight="1" s="50">
      <c r="A20" s="16" t="inlineStr">
        <is>
          <t>团队管理</t>
        </is>
      </c>
      <c r="B20" s="5">
        <f>COUNTIF('我的任务'!$A$3:$A$500,"团队管理")</f>
        <v/>
      </c>
      <c r="C20" s="5">
        <f>COUNTIFS('我的任务'!$A$3:$A$500,"团队管理",'我的任务'!$D$3:$D$500,"已完成")</f>
        <v/>
      </c>
      <c r="D20" s="5">
        <f>COUNTIFS('我的任务'!$A$3:$A$500,"团队管理",'我的任务'!$D$3:$D$500,"进行中")</f>
        <v/>
      </c>
      <c r="E20" s="15">
        <f>IFERROR(C20/B20,"")</f>
        <v/>
      </c>
    </row>
    <row r="21" ht="16.5" customHeight="1" s="50">
      <c r="A21" s="16" t="inlineStr">
        <is>
          <t>品牌方汇报</t>
        </is>
      </c>
      <c r="B21" s="5">
        <f>COUNTIF('我的任务'!$A$3:$A$500,"品牌方汇报")</f>
        <v/>
      </c>
      <c r="C21" s="5">
        <f>COUNTIFS('我的任务'!$A$3:$A$500,"品牌方汇报",'我的任务'!$D$3:$D$500,"已完成")</f>
        <v/>
      </c>
      <c r="D21" s="5">
        <f>COUNTIFS('我的任务'!$A$3:$A$500,"品牌方汇报",'我的任务'!$D$3:$D$500,"进行中")</f>
        <v/>
      </c>
      <c r="E21" s="15">
        <f>IFERROR(C21/B21,"")</f>
        <v/>
      </c>
    </row>
    <row r="22" ht="16.5" customHeight="1" s="50">
      <c r="A22" s="16" t="inlineStr">
        <is>
          <t>对日本HQ</t>
        </is>
      </c>
      <c r="B22" s="5">
        <f>COUNTIF('我的任务'!$A$3:$A$500,"对日本HQ")</f>
        <v/>
      </c>
      <c r="C22" s="5">
        <f>COUNTIFS('我的任务'!$A$3:$A$500,"对日本HQ",'我的任务'!$D$3:$D$500,"已完成")</f>
        <v/>
      </c>
      <c r="D22" s="5">
        <f>COUNTIFS('我的任务'!$A$3:$A$500,"对日本HQ",'我的任务'!$D$3:$D$500,"进行中")</f>
        <v/>
      </c>
      <c r="E22" s="15">
        <f>IFERROR(C22/B22,"")</f>
        <v/>
      </c>
    </row>
    <row r="23" ht="16.5" customHeight="1" s="50">
      <c r="A23" s="16" t="inlineStr">
        <is>
          <t>战略/规划</t>
        </is>
      </c>
      <c r="B23" s="5">
        <f>COUNTIF('我的任务'!$A$3:$A$500,"战略/规划")</f>
        <v/>
      </c>
      <c r="C23" s="5">
        <f>COUNTIFS('我的任务'!$A$3:$A$500,"战略/规划",'我的任务'!$D$3:$D$500,"已完成")</f>
        <v/>
      </c>
      <c r="D23" s="5">
        <f>COUNTIFS('我的任务'!$A$3:$A$500,"战略/规划",'我的任务'!$D$3:$D$500,"进行中")</f>
        <v/>
      </c>
      <c r="E23" s="15">
        <f>IFERROR(C23/B23,"")</f>
        <v/>
      </c>
    </row>
    <row r="24" ht="16.5" customHeight="1" s="50">
      <c r="A24" s="16" t="inlineStr">
        <is>
          <t>其他</t>
        </is>
      </c>
      <c r="B24" s="5">
        <f>COUNTIF('我的任务'!$A$3:$A$500,"其他")</f>
        <v/>
      </c>
      <c r="C24" s="5">
        <f>COUNTIFS('我的任务'!$A$3:$A$500,"其他",'我的任务'!$D$3:$D$500,"已完成")</f>
        <v/>
      </c>
      <c r="D24" s="5">
        <f>COUNTIFS('我的任务'!$A$3:$A$500,"其他",'我的任务'!$D$3:$D$500,"进行中")</f>
        <v/>
      </c>
      <c r="E24" s="15">
        <f>IFERROR(C24/B24,"")</f>
        <v/>
      </c>
    </row>
    <row r="25" ht="16.5" customHeight="1" s="50"/>
    <row r="26" ht="16.5" customHeight="1" s="50">
      <c r="A26" s="17" t="inlineStr">
        <is>
          <t>按优先级</t>
        </is>
      </c>
    </row>
    <row r="27" ht="16.5" customHeight="1" s="50">
      <c r="A27" s="13" t="inlineStr">
        <is>
          <t>优先级</t>
        </is>
      </c>
      <c r="B27" s="13" t="inlineStr">
        <is>
          <t>总数</t>
        </is>
      </c>
      <c r="C27" s="13" t="inlineStr">
        <is>
          <t>已完成</t>
        </is>
      </c>
      <c r="D27" s="13" t="inlineStr">
        <is>
          <t>未完成</t>
        </is>
      </c>
    </row>
    <row r="28" ht="16.5" customHeight="1" s="50">
      <c r="A28" s="18" t="inlineStr">
        <is>
          <t>高</t>
        </is>
      </c>
      <c r="B28" s="5">
        <f>COUNTIF('我的任务'!$C$3:$C$500,"高")</f>
        <v/>
      </c>
      <c r="C28" s="5">
        <f>COUNTIFS('我的任务'!$C$3:$C$500,"高",'我的任务'!$D$3:$D$500,"已完成")</f>
        <v/>
      </c>
      <c r="D28" s="5">
        <f>B28-C28</f>
        <v/>
      </c>
    </row>
    <row r="29" ht="16.5" customHeight="1" s="50">
      <c r="A29" s="18" t="inlineStr">
        <is>
          <t>中</t>
        </is>
      </c>
      <c r="B29" s="5">
        <f>COUNTIF('我的任务'!$C$3:$C$500,"中")</f>
        <v/>
      </c>
      <c r="C29" s="5">
        <f>COUNTIFS('我的任务'!$C$3:$C$500,"中",'我的任务'!$D$3:$D$500,"已完成")</f>
        <v/>
      </c>
      <c r="D29" s="5">
        <f>B29-C29</f>
        <v/>
      </c>
    </row>
    <row r="30" ht="16.5" customHeight="1" s="50">
      <c r="A30" s="18" t="inlineStr">
        <is>
          <t>低</t>
        </is>
      </c>
      <c r="B30" s="5">
        <f>COUNTIF('我的任务'!$C$3:$C$500,"低")</f>
        <v/>
      </c>
      <c r="C30" s="5">
        <f>COUNTIFS('我的任务'!$C$3:$C$500,"低",'我的任务'!$D$3:$D$500,"已完成")</f>
        <v/>
      </c>
      <c r="D30" s="5">
        <f>B30-C30</f>
        <v/>
      </c>
    </row>
    <row r="31" ht="16.5" customHeight="1" s="50"/>
    <row r="32" ht="16.5" customHeight="1" s="50"/>
    <row r="33" ht="16.5" customHeight="1" s="50"/>
    <row r="34" ht="16.5" customHeight="1" s="50"/>
    <row r="35" ht="16.5" customHeight="1" s="50"/>
    <row r="36" ht="16.5" customHeight="1" s="50"/>
    <row r="37" ht="16.5" customHeight="1" s="50"/>
    <row r="38" ht="16.5" customHeight="1" s="50"/>
    <row r="39" ht="16.5" customHeight="1" s="50"/>
    <row r="40" ht="16.5" customHeight="1" s="50"/>
    <row r="41" ht="16.5" customHeight="1" s="50"/>
    <row r="42" ht="16.5" customHeight="1" s="50"/>
    <row r="43" ht="16.5" customHeight="1" s="50"/>
    <row r="44" ht="16.5" customHeight="1" s="50"/>
    <row r="45" ht="16.5" customHeight="1" s="50"/>
    <row r="46" ht="16.5" customHeight="1" s="50"/>
    <row r="47" ht="16.5" customHeight="1" s="50"/>
    <row r="48" ht="16.5" customHeight="1" s="50"/>
    <row r="49" ht="16.5" customHeight="1" s="50"/>
    <row r="50" ht="16.5" customHeight="1" s="50"/>
    <row r="51" ht="16.5" customHeight="1" s="50"/>
    <row r="52" ht="16.5" customHeight="1" s="50"/>
    <row r="53" ht="16.5" customHeight="1" s="50"/>
    <row r="54" ht="16.5" customHeight="1" s="50"/>
    <row r="55" ht="16.5" customHeight="1" s="50"/>
    <row r="56" ht="16.5" customHeight="1" s="50"/>
    <row r="57" ht="16.5" customHeight="1" s="50"/>
    <row r="58" ht="16.5" customHeight="1" s="50"/>
    <row r="59" ht="16.5" customHeight="1" s="50"/>
    <row r="60" ht="16.5" customHeight="1" s="50"/>
    <row r="61" ht="16.5" customHeight="1" s="50"/>
    <row r="62" ht="16.5" customHeight="1" s="50"/>
    <row r="63" ht="16.5" customHeight="1" s="50"/>
    <row r="64" ht="16.5" customHeight="1" s="50"/>
    <row r="65" ht="16.5" customHeight="1" s="50"/>
    <row r="66" ht="16.5" customHeight="1" s="50"/>
    <row r="67" ht="16.5" customHeight="1" s="50"/>
    <row r="68" ht="16.5" customHeight="1" s="50"/>
    <row r="69" ht="16.5" customHeight="1" s="50"/>
    <row r="70" ht="16.5" customHeight="1" s="50"/>
    <row r="71" ht="16.5" customHeight="1" s="50"/>
    <row r="72" ht="16.5" customHeight="1" s="50"/>
    <row r="73" ht="16.5" customHeight="1" s="50"/>
    <row r="74" ht="16.5" customHeight="1" s="50"/>
    <row r="75" ht="16.5" customHeight="1" s="50"/>
    <row r="76" ht="16.5" customHeight="1" s="50"/>
    <row r="77" ht="16.5" customHeight="1" s="50"/>
    <row r="78" ht="16.5" customHeight="1" s="50"/>
    <row r="79" ht="16.5" customHeight="1" s="50"/>
    <row r="80" ht="16.5" customHeight="1" s="50"/>
    <row r="81" ht="16.5" customHeight="1" s="50"/>
    <row r="82" ht="16.5" customHeight="1" s="50"/>
    <row r="83" ht="16.5" customHeight="1" s="50"/>
    <row r="84" ht="16.5" customHeight="1" s="50"/>
    <row r="85" ht="16.5" customHeight="1" s="50"/>
    <row r="86" ht="16.5" customHeight="1" s="50"/>
    <row r="87" ht="16.5" customHeight="1" s="50"/>
    <row r="88" ht="16.5" customHeight="1" s="50"/>
    <row r="89" ht="16.5" customHeight="1" s="50"/>
    <row r="90" ht="16.5" customHeight="1" s="50"/>
    <row r="91" ht="16.5" customHeight="1" s="50"/>
    <row r="92" ht="16.5" customHeight="1" s="50"/>
    <row r="93" ht="16.5" customHeight="1" s="50"/>
    <row r="94" ht="16.5" customHeight="1" s="50"/>
    <row r="95" ht="16.5" customHeight="1" s="50"/>
    <row r="96" ht="16.5" customHeight="1" s="50"/>
    <row r="97" ht="16.5" customHeight="1" s="50"/>
    <row r="98" ht="16.5" customHeight="1" s="50"/>
    <row r="99" ht="16.5" customHeight="1" s="50"/>
    <row r="100" ht="16.5" customHeight="1" s="50"/>
    <row r="101" ht="16.5" customHeight="1" s="50"/>
    <row r="102" ht="16.5" customHeight="1" s="50"/>
    <row r="103" ht="16.5" customHeight="1" s="50"/>
    <row r="104" ht="16.5" customHeight="1" s="50"/>
    <row r="105" ht="16.5" customHeight="1" s="50"/>
    <row r="106" ht="16.5" customHeight="1" s="50"/>
    <row r="107" ht="16.5" customHeight="1" s="50"/>
    <row r="108" ht="16.5" customHeight="1" s="50"/>
    <row r="109" ht="16.5" customHeight="1" s="50"/>
    <row r="110" ht="16.5" customHeight="1" s="50"/>
    <row r="111" ht="16.5" customHeight="1" s="50"/>
    <row r="112" ht="16.5" customHeight="1" s="50"/>
    <row r="113" ht="16.5" customHeight="1" s="50"/>
    <row r="114" ht="16.5" customHeight="1" s="50"/>
    <row r="115" ht="16.5" customHeight="1" s="50"/>
    <row r="116" ht="16.5" customHeight="1" s="50"/>
    <row r="117" ht="16.5" customHeight="1" s="50"/>
    <row r="118" ht="16.5" customHeight="1" s="50"/>
    <row r="119" ht="16.5" customHeight="1" s="50"/>
    <row r="120" ht="16.5" customHeight="1" s="50"/>
    <row r="121" ht="16.5" customHeight="1" s="50"/>
    <row r="122" ht="16.5" customHeight="1" s="50"/>
    <row r="123" ht="16.5" customHeight="1" s="50"/>
    <row r="124" ht="16.5" customHeight="1" s="50"/>
    <row r="125" ht="16.5" customHeight="1" s="50"/>
    <row r="126" ht="16.5" customHeight="1" s="50"/>
    <row r="127" ht="16.5" customHeight="1" s="50"/>
    <row r="128" ht="16.5" customHeight="1" s="50"/>
    <row r="129" ht="16.5" customHeight="1" s="50"/>
    <row r="130" ht="16.5" customHeight="1" s="50"/>
    <row r="131" ht="16.5" customHeight="1" s="50"/>
    <row r="132" ht="16.5" customHeight="1" s="50"/>
    <row r="133" ht="16.5" customHeight="1" s="50"/>
    <row r="134" ht="16.5" customHeight="1" s="50"/>
    <row r="135" ht="16.5" customHeight="1" s="50"/>
    <row r="136" ht="16.5" customHeight="1" s="50"/>
    <row r="137" ht="16.5" customHeight="1" s="50"/>
    <row r="138" ht="16.5" customHeight="1" s="50"/>
    <row r="139" ht="16.5" customHeight="1" s="50"/>
    <row r="140" ht="16.5" customHeight="1" s="50"/>
    <row r="141" ht="16.5" customHeight="1" s="50"/>
    <row r="142" ht="16.5" customHeight="1" s="50"/>
    <row r="143" ht="16.5" customHeight="1" s="50"/>
    <row r="144" ht="16.5" customHeight="1" s="50"/>
    <row r="145" ht="16.5" customHeight="1" s="50"/>
    <row r="146" ht="16.5" customHeight="1" s="50"/>
    <row r="147" ht="16.5" customHeight="1" s="50"/>
    <row r="148" ht="16.5" customHeight="1" s="50"/>
    <row r="149" ht="16.5" customHeight="1" s="50"/>
    <row r="150" ht="16.5" customHeight="1" s="50"/>
    <row r="151" ht="16.5" customHeight="1" s="50"/>
    <row r="152" ht="16.5" customHeight="1" s="50"/>
    <row r="153" ht="16.5" customHeight="1" s="50"/>
    <row r="154" ht="16.5" customHeight="1" s="50"/>
    <row r="155" ht="16.5" customHeight="1" s="50"/>
    <row r="156" ht="16.5" customHeight="1" s="50"/>
    <row r="157" ht="16.5" customHeight="1" s="50"/>
    <row r="158" ht="16.5" customHeight="1" s="50"/>
    <row r="159" ht="16.5" customHeight="1" s="50"/>
    <row r="160" ht="16.5" customHeight="1" s="50"/>
    <row r="161" ht="16.5" customHeight="1" s="50"/>
    <row r="162" ht="16.5" customHeight="1" s="50"/>
    <row r="163" ht="16.5" customHeight="1" s="50"/>
    <row r="164" ht="16.5" customHeight="1" s="50"/>
    <row r="165" ht="16.5" customHeight="1" s="50"/>
    <row r="166" ht="16.5" customHeight="1" s="50"/>
    <row r="167" ht="16.5" customHeight="1" s="50"/>
    <row r="168" ht="16.5" customHeight="1" s="50"/>
    <row r="169" ht="16.5" customHeight="1" s="50"/>
    <row r="170" ht="16.5" customHeight="1" s="50"/>
    <row r="171" ht="16.5" customHeight="1" s="50"/>
    <row r="172" ht="16.5" customHeight="1" s="50"/>
    <row r="173" ht="16.5" customHeight="1" s="50"/>
    <row r="174" ht="16.5" customHeight="1" s="50"/>
    <row r="175" ht="16.5" customHeight="1" s="50"/>
    <row r="176" ht="16.5" customHeight="1" s="50"/>
    <row r="177" ht="16.5" customHeight="1" s="50"/>
    <row r="178" ht="16.5" customHeight="1" s="50"/>
    <row r="179" ht="16.5" customHeight="1" s="50"/>
    <row r="180" ht="16.5" customHeight="1" s="50"/>
    <row r="181" ht="16.5" customHeight="1" s="50"/>
    <row r="182" ht="16.5" customHeight="1" s="50"/>
    <row r="183" ht="16.5" customHeight="1" s="50"/>
    <row r="184" ht="16.5" customHeight="1" s="50"/>
    <row r="185" ht="16.5" customHeight="1" s="50"/>
    <row r="186" ht="16.5" customHeight="1" s="50"/>
    <row r="187" ht="16.5" customHeight="1" s="50"/>
    <row r="188" ht="16.5" customHeight="1" s="50"/>
    <row r="189" ht="16.5" customHeight="1" s="50"/>
    <row r="190" ht="16.5" customHeight="1" s="50"/>
    <row r="191" ht="16.5" customHeight="1" s="50"/>
    <row r="192" ht="16.5" customHeight="1" s="50"/>
    <row r="193" ht="16.5" customHeight="1" s="50"/>
    <row r="194" ht="16.5" customHeight="1" s="50"/>
    <row r="195" ht="16.5" customHeight="1" s="50"/>
    <row r="196" ht="16.5" customHeight="1" s="50"/>
    <row r="197" ht="16.5" customHeight="1" s="50"/>
    <row r="198" ht="16.5" customHeight="1" s="50"/>
    <row r="199" ht="16.5" customHeight="1" s="50"/>
    <row r="200" ht="16.5" customHeight="1" s="50"/>
    <row r="201" ht="16.5" customHeight="1" s="50"/>
    <row r="202" ht="16.5" customHeight="1" s="50"/>
    <row r="203" ht="16.5" customHeight="1" s="50"/>
    <row r="204" ht="16.5" customHeight="1" s="50"/>
    <row r="205" ht="16.5" customHeight="1" s="50"/>
    <row r="206" ht="16.5" customHeight="1" s="50"/>
    <row r="207" ht="16.5" customHeight="1" s="50"/>
    <row r="208" ht="16.5" customHeight="1" s="50"/>
    <row r="209" ht="16.5" customHeight="1" s="50"/>
    <row r="210" ht="16.5" customHeight="1" s="50"/>
    <row r="211" ht="16.5" customHeight="1" s="50"/>
    <row r="212" ht="16.5" customHeight="1" s="50"/>
    <row r="213" ht="16.5" customHeight="1" s="50"/>
    <row r="214" ht="16.5" customHeight="1" s="50"/>
    <row r="215" ht="16.5" customHeight="1" s="50"/>
    <row r="216" ht="16.5" customHeight="1" s="50"/>
    <row r="217" ht="16.5" customHeight="1" s="50"/>
    <row r="218" ht="16.5" customHeight="1" s="50"/>
    <row r="219" ht="16.5" customHeight="1" s="50"/>
    <row r="220" ht="16.5" customHeight="1" s="50"/>
    <row r="221" ht="16.5" customHeight="1" s="50"/>
    <row r="222" ht="16.5" customHeight="1" s="50"/>
    <row r="223" ht="16.5" customHeight="1" s="50"/>
    <row r="224" ht="16.5" customHeight="1" s="50"/>
    <row r="225" ht="16.5" customHeight="1" s="50"/>
    <row r="226" ht="16.5" customHeight="1" s="50"/>
    <row r="227" ht="16.5" customHeight="1" s="50"/>
    <row r="228" ht="16.5" customHeight="1" s="50"/>
    <row r="229" ht="16.5" customHeight="1" s="50"/>
    <row r="230" ht="16.5" customHeight="1" s="50"/>
    <row r="231" ht="16.5" customHeight="1" s="50"/>
    <row r="232" ht="16.5" customHeight="1" s="50"/>
    <row r="233" ht="16.5" customHeight="1" s="50"/>
    <row r="234" ht="16.5" customHeight="1" s="50"/>
    <row r="235" ht="16.5" customHeight="1" s="50"/>
    <row r="236" ht="16.5" customHeight="1" s="50"/>
    <row r="237" ht="16.5" customHeight="1" s="50"/>
    <row r="238" ht="16.5" customHeight="1" s="50"/>
    <row r="239" ht="16.5" customHeight="1" s="50"/>
    <row r="240" ht="16.5" customHeight="1" s="50"/>
    <row r="241" ht="16.5" customHeight="1" s="50"/>
    <row r="242" ht="16.5" customHeight="1" s="50"/>
    <row r="243" ht="16.5" customHeight="1" s="50"/>
    <row r="244" ht="16.5" customHeight="1" s="50"/>
    <row r="245" ht="16.5" customHeight="1" s="50"/>
    <row r="246" ht="16.5" customHeight="1" s="50"/>
    <row r="247" ht="16.5" customHeight="1" s="50"/>
    <row r="248" ht="16.5" customHeight="1" s="50"/>
    <row r="249" ht="16.5" customHeight="1" s="50"/>
    <row r="250" ht="16.5" customHeight="1" s="50"/>
    <row r="251" ht="16.5" customHeight="1" s="50"/>
    <row r="252" ht="16.5" customHeight="1" s="50"/>
    <row r="253" ht="16.5" customHeight="1" s="50"/>
    <row r="254" ht="16.5" customHeight="1" s="50"/>
    <row r="255" ht="16.5" customHeight="1" s="50"/>
    <row r="256" ht="16.5" customHeight="1" s="50"/>
    <row r="257" ht="16.5" customHeight="1" s="50"/>
    <row r="258" ht="16.5" customHeight="1" s="50"/>
    <row r="259" ht="16.5" customHeight="1" s="50"/>
    <row r="260" ht="16.5" customHeight="1" s="50"/>
    <row r="261" ht="16.5" customHeight="1" s="50"/>
    <row r="262" ht="16.5" customHeight="1" s="50"/>
    <row r="263" ht="16.5" customHeight="1" s="50"/>
    <row r="264" ht="16.5" customHeight="1" s="50"/>
    <row r="265" ht="16.5" customHeight="1" s="50"/>
    <row r="266" ht="16.5" customHeight="1" s="50"/>
    <row r="267" ht="16.5" customHeight="1" s="50"/>
    <row r="268" ht="16.5" customHeight="1" s="50"/>
    <row r="269" ht="16.5" customHeight="1" s="50"/>
    <row r="270" ht="16.5" customHeight="1" s="50"/>
    <row r="271" ht="16.5" customHeight="1" s="50"/>
    <row r="272" ht="16.5" customHeight="1" s="50"/>
    <row r="273" ht="16.5" customHeight="1" s="50"/>
    <row r="274" ht="16.5" customHeight="1" s="50"/>
    <row r="275" ht="16.5" customHeight="1" s="50"/>
    <row r="276" ht="16.5" customHeight="1" s="50"/>
    <row r="277" ht="16.5" customHeight="1" s="50"/>
    <row r="278" ht="16.5" customHeight="1" s="50"/>
    <row r="279" ht="16.5" customHeight="1" s="50"/>
    <row r="280" ht="16.5" customHeight="1" s="50"/>
    <row r="281" ht="16.5" customHeight="1" s="50"/>
    <row r="282" ht="16.5" customHeight="1" s="50"/>
    <row r="283" ht="16.5" customHeight="1" s="50"/>
    <row r="284" ht="16.5" customHeight="1" s="50"/>
    <row r="285" ht="16.5" customHeight="1" s="50"/>
    <row r="286" ht="16.5" customHeight="1" s="50"/>
    <row r="287" ht="16.5" customHeight="1" s="50"/>
    <row r="288" ht="16.5" customHeight="1" s="50"/>
    <row r="289" ht="16.5" customHeight="1" s="50"/>
    <row r="290" ht="16.5" customHeight="1" s="50"/>
    <row r="291" ht="16.5" customHeight="1" s="50"/>
    <row r="292" ht="16.5" customHeight="1" s="50"/>
    <row r="293" ht="16.5" customHeight="1" s="50"/>
    <row r="294" ht="16.5" customHeight="1" s="50"/>
    <row r="295" ht="16.5" customHeight="1" s="50"/>
    <row r="296" ht="16.5" customHeight="1" s="50"/>
    <row r="297" ht="16.5" customHeight="1" s="50"/>
    <row r="298" ht="16.5" customHeight="1" s="50"/>
    <row r="299" ht="16.5" customHeight="1" s="50"/>
    <row r="300" ht="16.5" customHeight="1" s="50"/>
    <row r="301" ht="16.5" customHeight="1" s="50"/>
    <row r="302" ht="16.5" customHeight="1" s="50"/>
    <row r="303" ht="16.5" customHeight="1" s="50"/>
    <row r="304" ht="16.5" customHeight="1" s="50"/>
    <row r="305" ht="16.5" customHeight="1" s="50"/>
    <row r="306" ht="16.5" customHeight="1" s="50"/>
    <row r="307" ht="16.5" customHeight="1" s="50"/>
    <row r="308" ht="16.5" customHeight="1" s="50"/>
    <row r="309" ht="16.5" customHeight="1" s="50"/>
    <row r="310" ht="16.5" customHeight="1" s="50"/>
    <row r="311" ht="16.5" customHeight="1" s="50"/>
    <row r="312" ht="16.5" customHeight="1" s="50"/>
    <row r="313" ht="16.5" customHeight="1" s="50"/>
    <row r="314" ht="16.5" customHeight="1" s="50"/>
    <row r="315" ht="16.5" customHeight="1" s="50"/>
    <row r="316" ht="16.5" customHeight="1" s="50"/>
    <row r="317" ht="16.5" customHeight="1" s="50"/>
    <row r="318" ht="16.5" customHeight="1" s="50"/>
    <row r="319" ht="16.5" customHeight="1" s="50"/>
    <row r="320" ht="16.5" customHeight="1" s="50"/>
    <row r="321" ht="16.5" customHeight="1" s="50"/>
    <row r="322" ht="16.5" customHeight="1" s="50"/>
    <row r="323" ht="16.5" customHeight="1" s="50"/>
    <row r="324" ht="16.5" customHeight="1" s="50"/>
    <row r="325" ht="16.5" customHeight="1" s="50"/>
    <row r="326" ht="16.5" customHeight="1" s="50"/>
    <row r="327" ht="16.5" customHeight="1" s="50"/>
    <row r="328" ht="16.5" customHeight="1" s="50"/>
    <row r="329" ht="16.5" customHeight="1" s="50"/>
    <row r="330" ht="16.5" customHeight="1" s="50"/>
    <row r="331" ht="16.5" customHeight="1" s="50"/>
    <row r="332" ht="16.5" customHeight="1" s="50"/>
    <row r="333" ht="16.5" customHeight="1" s="50"/>
    <row r="334" ht="16.5" customHeight="1" s="50"/>
    <row r="335" ht="16.5" customHeight="1" s="50"/>
    <row r="336" ht="16.5" customHeight="1" s="50"/>
    <row r="337" ht="16.5" customHeight="1" s="50"/>
    <row r="338" ht="16.5" customHeight="1" s="50"/>
    <row r="339" ht="16.5" customHeight="1" s="50"/>
    <row r="340" ht="16.5" customHeight="1" s="50"/>
    <row r="341" ht="16.5" customHeight="1" s="50"/>
    <row r="342" ht="16.5" customHeight="1" s="50"/>
    <row r="343" ht="16.5" customHeight="1" s="50"/>
    <row r="344" ht="16.5" customHeight="1" s="50"/>
    <row r="345" ht="16.5" customHeight="1" s="50"/>
    <row r="346" ht="16.5" customHeight="1" s="50"/>
    <row r="347" ht="16.5" customHeight="1" s="50"/>
    <row r="348" ht="16.5" customHeight="1" s="50"/>
    <row r="349" ht="16.5" customHeight="1" s="50"/>
    <row r="350" ht="16.5" customHeight="1" s="50"/>
    <row r="351" ht="16.5" customHeight="1" s="50"/>
    <row r="352" ht="16.5" customHeight="1" s="50"/>
    <row r="353" ht="16.5" customHeight="1" s="50"/>
    <row r="354" ht="16.5" customHeight="1" s="50"/>
    <row r="355" ht="16.5" customHeight="1" s="50"/>
    <row r="356" ht="16.5" customHeight="1" s="50"/>
    <row r="357" ht="16.5" customHeight="1" s="50"/>
    <row r="358" ht="16.5" customHeight="1" s="50"/>
    <row r="359" ht="16.5" customHeight="1" s="50"/>
    <row r="360" ht="16.5" customHeight="1" s="50"/>
    <row r="361" ht="16.5" customHeight="1" s="50"/>
    <row r="362" ht="16.5" customHeight="1" s="50"/>
    <row r="363" ht="16.5" customHeight="1" s="50"/>
    <row r="364" ht="16.5" customHeight="1" s="50"/>
    <row r="365" ht="16.5" customHeight="1" s="50"/>
    <row r="366" ht="16.5" customHeight="1" s="50"/>
    <row r="367" ht="16.5" customHeight="1" s="50"/>
    <row r="368" ht="16.5" customHeight="1" s="50"/>
    <row r="369" ht="16.5" customHeight="1" s="50"/>
    <row r="370" ht="16.5" customHeight="1" s="50"/>
    <row r="371" ht="16.5" customHeight="1" s="50"/>
    <row r="372" ht="16.5" customHeight="1" s="50"/>
    <row r="373" ht="16.5" customHeight="1" s="50"/>
    <row r="374" ht="16.5" customHeight="1" s="50"/>
    <row r="375" ht="16.5" customHeight="1" s="50"/>
    <row r="376" ht="16.5" customHeight="1" s="50"/>
    <row r="377" ht="16.5" customHeight="1" s="50"/>
    <row r="378" ht="16.5" customHeight="1" s="50"/>
    <row r="379" ht="16.5" customHeight="1" s="50"/>
    <row r="380" ht="16.5" customHeight="1" s="50"/>
    <row r="381" ht="16.5" customHeight="1" s="50"/>
    <row r="382" ht="16.5" customHeight="1" s="50"/>
    <row r="383" ht="16.5" customHeight="1" s="50"/>
    <row r="384" ht="16.5" customHeight="1" s="50"/>
    <row r="385" ht="16.5" customHeight="1" s="50"/>
    <row r="386" ht="16.5" customHeight="1" s="50"/>
    <row r="387" ht="16.5" customHeight="1" s="50"/>
    <row r="388" ht="16.5" customHeight="1" s="50"/>
    <row r="389" ht="16.5" customHeight="1" s="50"/>
    <row r="390" ht="16.5" customHeight="1" s="50"/>
    <row r="391" ht="16.5" customHeight="1" s="50"/>
    <row r="392" ht="16.5" customHeight="1" s="50"/>
    <row r="393" ht="16.5" customHeight="1" s="50"/>
    <row r="394" ht="16.5" customHeight="1" s="50"/>
    <row r="395" ht="16.5" customHeight="1" s="50"/>
    <row r="396" ht="16.5" customHeight="1" s="50"/>
    <row r="397" ht="16.5" customHeight="1" s="50"/>
    <row r="398" ht="16.5" customHeight="1" s="50"/>
    <row r="399" ht="16.5" customHeight="1" s="50"/>
    <row r="400" ht="16.5" customHeight="1" s="50"/>
    <row r="401" ht="16.5" customHeight="1" s="50"/>
    <row r="402" ht="16.5" customHeight="1" s="50"/>
    <row r="403" ht="16.5" customHeight="1" s="50"/>
    <row r="404" ht="16.5" customHeight="1" s="50"/>
    <row r="405" ht="16.5" customHeight="1" s="50"/>
    <row r="406" ht="16.5" customHeight="1" s="50"/>
    <row r="407" ht="16.5" customHeight="1" s="50"/>
    <row r="408" ht="16.5" customHeight="1" s="50"/>
    <row r="409" ht="16.5" customHeight="1" s="50"/>
    <row r="410" ht="16.5" customHeight="1" s="50"/>
    <row r="411" ht="16.5" customHeight="1" s="50"/>
    <row r="412" ht="16.5" customHeight="1" s="50"/>
    <row r="413" ht="16.5" customHeight="1" s="50"/>
    <row r="414" ht="16.5" customHeight="1" s="50"/>
    <row r="415" ht="16.5" customHeight="1" s="50"/>
    <row r="416" ht="16.5" customHeight="1" s="50"/>
    <row r="417" ht="16.5" customHeight="1" s="50"/>
    <row r="418" ht="16.5" customHeight="1" s="50"/>
    <row r="419" ht="16.5" customHeight="1" s="50"/>
    <row r="420" ht="16.5" customHeight="1" s="50"/>
    <row r="421" ht="16.5" customHeight="1" s="50"/>
    <row r="422" ht="16.5" customHeight="1" s="50"/>
    <row r="423" ht="16.5" customHeight="1" s="50"/>
    <row r="424" ht="16.5" customHeight="1" s="50"/>
    <row r="425" ht="16.5" customHeight="1" s="50"/>
    <row r="426" ht="16.5" customHeight="1" s="50"/>
    <row r="427" ht="16.5" customHeight="1" s="50"/>
    <row r="428" ht="16.5" customHeight="1" s="50"/>
    <row r="429" ht="16.5" customHeight="1" s="50"/>
    <row r="430" ht="16.5" customHeight="1" s="50"/>
    <row r="431" ht="16.5" customHeight="1" s="50"/>
    <row r="432" ht="16.5" customHeight="1" s="50"/>
    <row r="433" ht="16.5" customHeight="1" s="50"/>
    <row r="434" ht="16.5" customHeight="1" s="50"/>
    <row r="435" ht="16.5" customHeight="1" s="50"/>
    <row r="436" ht="16.5" customHeight="1" s="50"/>
    <row r="437" ht="16.5" customHeight="1" s="50"/>
    <row r="438" ht="16.5" customHeight="1" s="50"/>
    <row r="439" ht="16.5" customHeight="1" s="50"/>
    <row r="440" ht="16.5" customHeight="1" s="50"/>
    <row r="441" ht="16.5" customHeight="1" s="50"/>
    <row r="442" ht="16.5" customHeight="1" s="50"/>
    <row r="443" ht="16.5" customHeight="1" s="50"/>
    <row r="444" ht="16.5" customHeight="1" s="50"/>
    <row r="445" ht="16.5" customHeight="1" s="50"/>
    <row r="446" ht="16.5" customHeight="1" s="50"/>
    <row r="447" ht="16.5" customHeight="1" s="50"/>
    <row r="448" ht="16.5" customHeight="1" s="50"/>
    <row r="449" ht="16.5" customHeight="1" s="50"/>
    <row r="450" ht="16.5" customHeight="1" s="50"/>
    <row r="451" ht="16.5" customHeight="1" s="50"/>
    <row r="452" ht="16.5" customHeight="1" s="50"/>
    <row r="453" ht="16.5" customHeight="1" s="50"/>
    <row r="454" ht="16.5" customHeight="1" s="50"/>
    <row r="455" ht="16.5" customHeight="1" s="50"/>
    <row r="456" ht="16.5" customHeight="1" s="50"/>
    <row r="457" ht="16.5" customHeight="1" s="50"/>
    <row r="458" ht="16.5" customHeight="1" s="50"/>
    <row r="459" ht="16.5" customHeight="1" s="50"/>
    <row r="460" ht="16.5" customHeight="1" s="50"/>
    <row r="461" ht="16.5" customHeight="1" s="50"/>
    <row r="462" ht="16.5" customHeight="1" s="50"/>
    <row r="463" ht="16.5" customHeight="1" s="50"/>
    <row r="464" ht="16.5" customHeight="1" s="50"/>
    <row r="465" ht="16.5" customHeight="1" s="50"/>
    <row r="466" ht="16.5" customHeight="1" s="50"/>
    <row r="467" ht="16.5" customHeight="1" s="50"/>
    <row r="468" ht="16.5" customHeight="1" s="50"/>
    <row r="469" ht="16.5" customHeight="1" s="50"/>
    <row r="470" ht="16.5" customHeight="1" s="50"/>
    <row r="471" ht="16.5" customHeight="1" s="50"/>
    <row r="472" ht="16.5" customHeight="1" s="50"/>
    <row r="473" ht="16.5" customHeight="1" s="50"/>
    <row r="474" ht="16.5" customHeight="1" s="50"/>
    <row r="475" ht="16.5" customHeight="1" s="50"/>
    <row r="476" ht="16.5" customHeight="1" s="50"/>
    <row r="477" ht="16.5" customHeight="1" s="50"/>
    <row r="478" ht="16.5" customHeight="1" s="50"/>
    <row r="479" ht="16.5" customHeight="1" s="50"/>
    <row r="480" ht="16.5" customHeight="1" s="50"/>
    <row r="481" ht="16.5" customHeight="1" s="50"/>
    <row r="482" ht="16.5" customHeight="1" s="50"/>
    <row r="483" ht="16.5" customHeight="1" s="50"/>
    <row r="484" ht="16.5" customHeight="1" s="50"/>
    <row r="485" ht="16.5" customHeight="1" s="50"/>
    <row r="486" ht="16.5" customHeight="1" s="50"/>
    <row r="487" ht="16.5" customHeight="1" s="50"/>
    <row r="488" ht="16.5" customHeight="1" s="50"/>
    <row r="489" ht="16.5" customHeight="1" s="50"/>
    <row r="490" ht="16.5" customHeight="1" s="50"/>
    <row r="491" ht="16.5" customHeight="1" s="50"/>
    <row r="492" ht="16.5" customHeight="1" s="50"/>
    <row r="493" ht="16.5" customHeight="1" s="50"/>
    <row r="494" ht="16.5" customHeight="1" s="50"/>
    <row r="495" ht="16.5" customHeight="1" s="50"/>
    <row r="496" ht="16.5" customHeight="1" s="50"/>
    <row r="497" ht="16.5" customHeight="1" s="50"/>
    <row r="498" ht="16.5" customHeight="1" s="50"/>
    <row r="499" ht="16.5" customHeight="1" s="50"/>
    <row r="500" ht="16.5" customHeight="1" s="50"/>
    <row r="501" ht="16.5" customHeight="1" s="50"/>
    <row r="502" ht="16.5" customHeight="1" s="50"/>
    <row r="503" ht="16.5" customHeight="1" s="50"/>
    <row r="504" ht="16.5" customHeight="1" s="50"/>
    <row r="505" ht="16.5" customHeight="1" s="50"/>
    <row r="506" ht="16.5" customHeight="1" s="50"/>
    <row r="507" ht="16.5" customHeight="1" s="50"/>
    <row r="508" ht="16.5" customHeight="1" s="50"/>
    <row r="509" ht="16.5" customHeight="1" s="50"/>
    <row r="510" ht="16.5" customHeight="1" s="50"/>
    <row r="511" ht="16.5" customHeight="1" s="50"/>
    <row r="512" ht="16.5" customHeight="1" s="50"/>
    <row r="513" ht="16.5" customHeight="1" s="50"/>
    <row r="514" ht="16.5" customHeight="1" s="50"/>
    <row r="515" ht="16.5" customHeight="1" s="50"/>
    <row r="516" ht="16.5" customHeight="1" s="50"/>
    <row r="517" ht="16.5" customHeight="1" s="50"/>
    <row r="518" ht="16.5" customHeight="1" s="50"/>
    <row r="519" ht="16.5" customHeight="1" s="50"/>
    <row r="520" ht="16.5" customHeight="1" s="50"/>
    <row r="521" ht="16.5" customHeight="1" s="50"/>
    <row r="522" ht="16.5" customHeight="1" s="50"/>
    <row r="523" ht="16.5" customHeight="1" s="50"/>
    <row r="524" ht="16.5" customHeight="1" s="50"/>
    <row r="525" ht="16.5" customHeight="1" s="50"/>
    <row r="526" ht="16.5" customHeight="1" s="50"/>
    <row r="527" ht="16.5" customHeight="1" s="50"/>
    <row r="528" ht="16.5" customHeight="1" s="50"/>
    <row r="529" ht="16.5" customHeight="1" s="50"/>
    <row r="530" ht="16.5" customHeight="1" s="50"/>
    <row r="531" ht="16.5" customHeight="1" s="50"/>
    <row r="532" ht="16.5" customHeight="1" s="50"/>
    <row r="533" ht="16.5" customHeight="1" s="50"/>
    <row r="534" ht="16.5" customHeight="1" s="50"/>
    <row r="535" ht="16.5" customHeight="1" s="50"/>
    <row r="536" ht="16.5" customHeight="1" s="50"/>
    <row r="537" ht="16.5" customHeight="1" s="50"/>
    <row r="538" ht="16.5" customHeight="1" s="50"/>
    <row r="539" ht="16.5" customHeight="1" s="50"/>
    <row r="540" ht="16.5" customHeight="1" s="50"/>
    <row r="541" ht="16.5" customHeight="1" s="50"/>
    <row r="542" ht="16.5" customHeight="1" s="50"/>
    <row r="543" ht="16.5" customHeight="1" s="50"/>
    <row r="544" ht="16.5" customHeight="1" s="50"/>
    <row r="545" ht="16.5" customHeight="1" s="50"/>
    <row r="546" ht="16.5" customHeight="1" s="50"/>
    <row r="547" ht="16.5" customHeight="1" s="50"/>
    <row r="548" ht="16.5" customHeight="1" s="50"/>
    <row r="549" ht="16.5" customHeight="1" s="50"/>
    <row r="550" ht="16.5" customHeight="1" s="50"/>
    <row r="551" ht="16.5" customHeight="1" s="50"/>
    <row r="552" ht="16.5" customHeight="1" s="50"/>
    <row r="553" ht="16.5" customHeight="1" s="50"/>
    <row r="554" ht="16.5" customHeight="1" s="50"/>
    <row r="555" ht="16.5" customHeight="1" s="50"/>
    <row r="556" ht="16.5" customHeight="1" s="50"/>
    <row r="557" ht="16.5" customHeight="1" s="50"/>
    <row r="558" ht="16.5" customHeight="1" s="50"/>
    <row r="559" ht="16.5" customHeight="1" s="50"/>
    <row r="560" ht="16.5" customHeight="1" s="50"/>
    <row r="561" ht="16.5" customHeight="1" s="50"/>
    <row r="562" ht="16.5" customHeight="1" s="50"/>
    <row r="563" ht="16.5" customHeight="1" s="50"/>
    <row r="564" ht="16.5" customHeight="1" s="50"/>
    <row r="565" ht="16.5" customHeight="1" s="50"/>
    <row r="566" ht="16.5" customHeight="1" s="50"/>
    <row r="567" ht="16.5" customHeight="1" s="50"/>
    <row r="568" ht="16.5" customHeight="1" s="50"/>
    <row r="569" ht="16.5" customHeight="1" s="50"/>
    <row r="570" ht="16.5" customHeight="1" s="50"/>
    <row r="571" ht="16.5" customHeight="1" s="50"/>
    <row r="572" ht="16.5" customHeight="1" s="50"/>
    <row r="573" ht="16.5" customHeight="1" s="50"/>
    <row r="574" ht="16.5" customHeight="1" s="50"/>
    <row r="575" ht="16.5" customHeight="1" s="50"/>
    <row r="576" ht="16.5" customHeight="1" s="50"/>
    <row r="577" ht="16.5" customHeight="1" s="50"/>
    <row r="578" ht="16.5" customHeight="1" s="50"/>
    <row r="579" ht="16.5" customHeight="1" s="50"/>
    <row r="580" ht="16.5" customHeight="1" s="50"/>
    <row r="581" ht="16.5" customHeight="1" s="50"/>
    <row r="582" ht="16.5" customHeight="1" s="50"/>
    <row r="583" ht="16.5" customHeight="1" s="50"/>
    <row r="584" ht="16.5" customHeight="1" s="50"/>
    <row r="585" ht="16.5" customHeight="1" s="50"/>
    <row r="586" ht="16.5" customHeight="1" s="50"/>
    <row r="587" ht="16.5" customHeight="1" s="50"/>
    <row r="588" ht="16.5" customHeight="1" s="50"/>
    <row r="589" ht="16.5" customHeight="1" s="50"/>
    <row r="590" ht="16.5" customHeight="1" s="50"/>
    <row r="591" ht="16.5" customHeight="1" s="50"/>
    <row r="592" ht="16.5" customHeight="1" s="50"/>
    <row r="593" ht="16.5" customHeight="1" s="50"/>
    <row r="594" ht="16.5" customHeight="1" s="50"/>
    <row r="595" ht="16.5" customHeight="1" s="50"/>
    <row r="596" ht="16.5" customHeight="1" s="50"/>
    <row r="597" ht="16.5" customHeight="1" s="50"/>
    <row r="598" ht="16.5" customHeight="1" s="50"/>
    <row r="599" ht="16.5" customHeight="1" s="50"/>
    <row r="600" ht="16.5" customHeight="1" s="50"/>
    <row r="601" ht="16.5" customHeight="1" s="50"/>
    <row r="602" ht="16.5" customHeight="1" s="50"/>
    <row r="603" ht="16.5" customHeight="1" s="50"/>
    <row r="604" ht="16.5" customHeight="1" s="50"/>
    <row r="605" ht="16.5" customHeight="1" s="50"/>
    <row r="606" ht="16.5" customHeight="1" s="50"/>
    <row r="607" ht="16.5" customHeight="1" s="50"/>
    <row r="608" ht="16.5" customHeight="1" s="50"/>
    <row r="609" ht="16.5" customHeight="1" s="50"/>
    <row r="610" ht="16.5" customHeight="1" s="50"/>
    <row r="611" ht="16.5" customHeight="1" s="50"/>
    <row r="612" ht="16.5" customHeight="1" s="50"/>
    <row r="613" ht="16.5" customHeight="1" s="50"/>
    <row r="614" ht="16.5" customHeight="1" s="50"/>
    <row r="615" ht="16.5" customHeight="1" s="50"/>
    <row r="616" ht="16.5" customHeight="1" s="50"/>
    <row r="617" ht="16.5" customHeight="1" s="50"/>
    <row r="618" ht="16.5" customHeight="1" s="50"/>
    <row r="619" ht="16.5" customHeight="1" s="50"/>
    <row r="620" ht="16.5" customHeight="1" s="50"/>
    <row r="621" ht="16.5" customHeight="1" s="50"/>
    <row r="622" ht="16.5" customHeight="1" s="50"/>
    <row r="623" ht="16.5" customHeight="1" s="50"/>
    <row r="624" ht="16.5" customHeight="1" s="50"/>
    <row r="625" ht="16.5" customHeight="1" s="50"/>
    <row r="626" ht="16.5" customHeight="1" s="50"/>
    <row r="627" ht="16.5" customHeight="1" s="50"/>
    <row r="628" ht="16.5" customHeight="1" s="50"/>
    <row r="629" ht="16.5" customHeight="1" s="50"/>
    <row r="630" ht="16.5" customHeight="1" s="50"/>
    <row r="631" ht="16.5" customHeight="1" s="50"/>
    <row r="632" ht="16.5" customHeight="1" s="50"/>
    <row r="633" ht="16.5" customHeight="1" s="50"/>
    <row r="634" ht="16.5" customHeight="1" s="50"/>
    <row r="635" ht="16.5" customHeight="1" s="50"/>
    <row r="636" ht="16.5" customHeight="1" s="50"/>
    <row r="637" ht="16.5" customHeight="1" s="50"/>
    <row r="638" ht="16.5" customHeight="1" s="50"/>
    <row r="639" ht="16.5" customHeight="1" s="50"/>
    <row r="640" ht="16.5" customHeight="1" s="50"/>
    <row r="641" ht="16.5" customHeight="1" s="50"/>
    <row r="642" ht="16.5" customHeight="1" s="50"/>
    <row r="643" ht="16.5" customHeight="1" s="50"/>
    <row r="644" ht="16.5" customHeight="1" s="50"/>
    <row r="645" ht="16.5" customHeight="1" s="50"/>
    <row r="646" ht="16.5" customHeight="1" s="50"/>
    <row r="647" ht="16.5" customHeight="1" s="50"/>
    <row r="648" ht="16.5" customHeight="1" s="50"/>
    <row r="649" ht="16.5" customHeight="1" s="50"/>
    <row r="650" ht="16.5" customHeight="1" s="50"/>
    <row r="651" ht="16.5" customHeight="1" s="50"/>
    <row r="652" ht="16.5" customHeight="1" s="50"/>
    <row r="653" ht="16.5" customHeight="1" s="50"/>
    <row r="654" ht="16.5" customHeight="1" s="50"/>
    <row r="655" ht="16.5" customHeight="1" s="50"/>
    <row r="656" ht="16.5" customHeight="1" s="50"/>
    <row r="657" ht="16.5" customHeight="1" s="50"/>
    <row r="658" ht="16.5" customHeight="1" s="50"/>
    <row r="659" ht="16.5" customHeight="1" s="50"/>
    <row r="660" ht="16.5" customHeight="1" s="50"/>
    <row r="661" ht="16.5" customHeight="1" s="50"/>
    <row r="662" ht="16.5" customHeight="1" s="50"/>
    <row r="663" ht="16.5" customHeight="1" s="50"/>
    <row r="664" ht="16.5" customHeight="1" s="50"/>
    <row r="665" ht="16.5" customHeight="1" s="50"/>
    <row r="666" ht="16.5" customHeight="1" s="50"/>
    <row r="667" ht="16.5" customHeight="1" s="50"/>
    <row r="668" ht="16.5" customHeight="1" s="50"/>
    <row r="669" ht="16.5" customHeight="1" s="50"/>
    <row r="670" ht="16.5" customHeight="1" s="50"/>
    <row r="671" ht="16.5" customHeight="1" s="50"/>
    <row r="672" ht="16.5" customHeight="1" s="50"/>
    <row r="673" ht="16.5" customHeight="1" s="50"/>
    <row r="674" ht="16.5" customHeight="1" s="50"/>
    <row r="675" ht="16.5" customHeight="1" s="50"/>
    <row r="676" ht="16.5" customHeight="1" s="50"/>
    <row r="677" ht="16.5" customHeight="1" s="50"/>
    <row r="678" ht="16.5" customHeight="1" s="50"/>
    <row r="679" ht="16.5" customHeight="1" s="50"/>
    <row r="680" ht="16.5" customHeight="1" s="50"/>
    <row r="681" ht="16.5" customHeight="1" s="50"/>
    <row r="682" ht="16.5" customHeight="1" s="50"/>
    <row r="683" ht="16.5" customHeight="1" s="50"/>
    <row r="684" ht="16.5" customHeight="1" s="50"/>
    <row r="685" ht="16.5" customHeight="1" s="50"/>
    <row r="686" ht="16.5" customHeight="1" s="50"/>
    <row r="687" ht="16.5" customHeight="1" s="50"/>
    <row r="688" ht="16.5" customHeight="1" s="50"/>
    <row r="689" ht="16.5" customHeight="1" s="50"/>
    <row r="690" ht="16.5" customHeight="1" s="50"/>
    <row r="691" ht="16.5" customHeight="1" s="50"/>
    <row r="692" ht="16.5" customHeight="1" s="50"/>
    <row r="693" ht="16.5" customHeight="1" s="50"/>
    <row r="694" ht="16.5" customHeight="1" s="50"/>
    <row r="695" ht="16.5" customHeight="1" s="50"/>
    <row r="696" ht="16.5" customHeight="1" s="50"/>
    <row r="697" ht="16.5" customHeight="1" s="50"/>
    <row r="698" ht="16.5" customHeight="1" s="50"/>
    <row r="699" ht="16.5" customHeight="1" s="50"/>
    <row r="700" ht="16.5" customHeight="1" s="50"/>
    <row r="701" ht="16.5" customHeight="1" s="50"/>
    <row r="702" ht="16.5" customHeight="1" s="50"/>
    <row r="703" ht="16.5" customHeight="1" s="50"/>
    <row r="704" ht="16.5" customHeight="1" s="50"/>
    <row r="705" ht="16.5" customHeight="1" s="50"/>
    <row r="706" ht="16.5" customHeight="1" s="50"/>
    <row r="707" ht="16.5" customHeight="1" s="50"/>
    <row r="708" ht="16.5" customHeight="1" s="50"/>
    <row r="709" ht="16.5" customHeight="1" s="50"/>
    <row r="710" ht="16.5" customHeight="1" s="50"/>
    <row r="711" ht="16.5" customHeight="1" s="50"/>
    <row r="712" ht="16.5" customHeight="1" s="50"/>
    <row r="713" ht="16.5" customHeight="1" s="50"/>
    <row r="714" ht="16.5" customHeight="1" s="50"/>
    <row r="715" ht="16.5" customHeight="1" s="50"/>
    <row r="716" ht="16.5" customHeight="1" s="50"/>
    <row r="717" ht="16.5" customHeight="1" s="50"/>
    <row r="718" ht="16.5" customHeight="1" s="50"/>
    <row r="719" ht="16.5" customHeight="1" s="50"/>
    <row r="720" ht="16.5" customHeight="1" s="50"/>
    <row r="721" ht="16.5" customHeight="1" s="50"/>
    <row r="722" ht="16.5" customHeight="1" s="50"/>
    <row r="723" ht="16.5" customHeight="1" s="50"/>
    <row r="724" ht="16.5" customHeight="1" s="50"/>
    <row r="725" ht="16.5" customHeight="1" s="50"/>
    <row r="726" ht="16.5" customHeight="1" s="50"/>
    <row r="727" ht="16.5" customHeight="1" s="50"/>
    <row r="728" ht="16.5" customHeight="1" s="50"/>
    <row r="729" ht="16.5" customHeight="1" s="50"/>
    <row r="730" ht="16.5" customHeight="1" s="50"/>
    <row r="731" ht="16.5" customHeight="1" s="50"/>
    <row r="732" ht="16.5" customHeight="1" s="50"/>
    <row r="733" ht="16.5" customHeight="1" s="50"/>
    <row r="734" ht="16.5" customHeight="1" s="50"/>
    <row r="735" ht="16.5" customHeight="1" s="50"/>
    <row r="736" ht="16.5" customHeight="1" s="50"/>
    <row r="737" ht="16.5" customHeight="1" s="50"/>
    <row r="738" ht="16.5" customHeight="1" s="50"/>
    <row r="739" ht="16.5" customHeight="1" s="50"/>
    <row r="740" ht="16.5" customHeight="1" s="50"/>
    <row r="741" ht="16.5" customHeight="1" s="50"/>
    <row r="742" ht="16.5" customHeight="1" s="50"/>
    <row r="743" ht="16.5" customHeight="1" s="50"/>
    <row r="744" ht="16.5" customHeight="1" s="50"/>
    <row r="745" ht="16.5" customHeight="1" s="50"/>
    <row r="746" ht="16.5" customHeight="1" s="50"/>
    <row r="747" ht="16.5" customHeight="1" s="50"/>
    <row r="748" ht="16.5" customHeight="1" s="50"/>
    <row r="749" ht="16.5" customHeight="1" s="50"/>
    <row r="750" ht="16.5" customHeight="1" s="50"/>
    <row r="751" ht="16.5" customHeight="1" s="50"/>
    <row r="752" ht="16.5" customHeight="1" s="50"/>
    <row r="753" ht="16.5" customHeight="1" s="50"/>
    <row r="754" ht="16.5" customHeight="1" s="50"/>
    <row r="755" ht="16.5" customHeight="1" s="50"/>
    <row r="756" ht="16.5" customHeight="1" s="50"/>
    <row r="757" ht="16.5" customHeight="1" s="50"/>
    <row r="758" ht="16.5" customHeight="1" s="50"/>
    <row r="759" ht="16.5" customHeight="1" s="50"/>
    <row r="760" ht="16.5" customHeight="1" s="50"/>
    <row r="761" ht="16.5" customHeight="1" s="50"/>
    <row r="762" ht="16.5" customHeight="1" s="50"/>
    <row r="763" ht="16.5" customHeight="1" s="50"/>
    <row r="764" ht="16.5" customHeight="1" s="50"/>
    <row r="765" ht="16.5" customHeight="1" s="50"/>
    <row r="766" ht="16.5" customHeight="1" s="50"/>
    <row r="767" ht="16.5" customHeight="1" s="50"/>
    <row r="768" ht="16.5" customHeight="1" s="50"/>
    <row r="769" ht="16.5" customHeight="1" s="50"/>
    <row r="770" ht="16.5" customHeight="1" s="50"/>
    <row r="771" ht="16.5" customHeight="1" s="50"/>
    <row r="772" ht="16.5" customHeight="1" s="50"/>
    <row r="773" ht="16.5" customHeight="1" s="50"/>
    <row r="774" ht="16.5" customHeight="1" s="50"/>
    <row r="775" ht="16.5" customHeight="1" s="50"/>
    <row r="776" ht="16.5" customHeight="1" s="50"/>
    <row r="777" ht="16.5" customHeight="1" s="50"/>
    <row r="778" ht="16.5" customHeight="1" s="50"/>
    <row r="779" ht="16.5" customHeight="1" s="50"/>
    <row r="780" ht="16.5" customHeight="1" s="50"/>
    <row r="781" ht="16.5" customHeight="1" s="50"/>
    <row r="782" ht="16.5" customHeight="1" s="50"/>
    <row r="783" ht="16.5" customHeight="1" s="50"/>
    <row r="784" ht="16.5" customHeight="1" s="50"/>
    <row r="785" ht="16.5" customHeight="1" s="50"/>
    <row r="786" ht="16.5" customHeight="1" s="50"/>
    <row r="787" ht="16.5" customHeight="1" s="50"/>
    <row r="788" ht="16.5" customHeight="1" s="50"/>
    <row r="789" ht="16.5" customHeight="1" s="50"/>
    <row r="790" ht="16.5" customHeight="1" s="50"/>
    <row r="791" ht="16.5" customHeight="1" s="50"/>
    <row r="792" ht="16.5" customHeight="1" s="50"/>
    <row r="793" ht="16.5" customHeight="1" s="50"/>
    <row r="794" ht="16.5" customHeight="1" s="50"/>
    <row r="795" ht="16.5" customHeight="1" s="50"/>
    <row r="796" ht="16.5" customHeight="1" s="50"/>
    <row r="797" ht="16.5" customHeight="1" s="50"/>
    <row r="798" ht="16.5" customHeight="1" s="50"/>
    <row r="799" ht="16.5" customHeight="1" s="50"/>
    <row r="800" ht="16.5" customHeight="1" s="50"/>
    <row r="801" ht="16.5" customHeight="1" s="50"/>
    <row r="802" ht="16.5" customHeight="1" s="50"/>
    <row r="803" ht="16.5" customHeight="1" s="50"/>
    <row r="804" ht="16.5" customHeight="1" s="50"/>
    <row r="805" ht="16.5" customHeight="1" s="50"/>
    <row r="806" ht="16.5" customHeight="1" s="50"/>
    <row r="807" ht="16.5" customHeight="1" s="50"/>
    <row r="808" ht="16.5" customHeight="1" s="50"/>
    <row r="809" ht="16.5" customHeight="1" s="50"/>
    <row r="810" ht="16.5" customHeight="1" s="50"/>
    <row r="811" ht="16.5" customHeight="1" s="50"/>
    <row r="812" ht="16.5" customHeight="1" s="50"/>
    <row r="813" ht="16.5" customHeight="1" s="50"/>
    <row r="814" ht="16.5" customHeight="1" s="50"/>
    <row r="815" ht="16.5" customHeight="1" s="50"/>
    <row r="816" ht="16.5" customHeight="1" s="50"/>
    <row r="817" ht="16.5" customHeight="1" s="50"/>
    <row r="818" ht="16.5" customHeight="1" s="50"/>
    <row r="819" ht="16.5" customHeight="1" s="50"/>
    <row r="820" ht="16.5" customHeight="1" s="50"/>
    <row r="821" ht="16.5" customHeight="1" s="50"/>
    <row r="822" ht="16.5" customHeight="1" s="50"/>
    <row r="823" ht="16.5" customHeight="1" s="50"/>
    <row r="824" ht="16.5" customHeight="1" s="50"/>
    <row r="825" ht="16.5" customHeight="1" s="50"/>
    <row r="826" ht="16.5" customHeight="1" s="50"/>
    <row r="827" ht="16.5" customHeight="1" s="50"/>
    <row r="828" ht="16.5" customHeight="1" s="50"/>
    <row r="829" ht="16.5" customHeight="1" s="50"/>
    <row r="830" ht="16.5" customHeight="1" s="50"/>
    <row r="831" ht="16.5" customHeight="1" s="50"/>
    <row r="832" ht="16.5" customHeight="1" s="50"/>
    <row r="833" ht="16.5" customHeight="1" s="50"/>
    <row r="834" ht="16.5" customHeight="1" s="50"/>
    <row r="835" ht="16.5" customHeight="1" s="50"/>
    <row r="836" ht="16.5" customHeight="1" s="50"/>
    <row r="837" ht="16.5" customHeight="1" s="50"/>
    <row r="838" ht="16.5" customHeight="1" s="50"/>
    <row r="839" ht="16.5" customHeight="1" s="50"/>
    <row r="840" ht="16.5" customHeight="1" s="50"/>
    <row r="841" ht="16.5" customHeight="1" s="50"/>
    <row r="842" ht="16.5" customHeight="1" s="50"/>
    <row r="843" ht="16.5" customHeight="1" s="50"/>
    <row r="844" ht="16.5" customHeight="1" s="50"/>
    <row r="845" ht="16.5" customHeight="1" s="50"/>
    <row r="846" ht="16.5" customHeight="1" s="50"/>
    <row r="847" ht="16.5" customHeight="1" s="50"/>
    <row r="848" ht="16.5" customHeight="1" s="50"/>
    <row r="849" ht="16.5" customHeight="1" s="50"/>
    <row r="850" ht="16.5" customHeight="1" s="50"/>
    <row r="851" ht="16.5" customHeight="1" s="50"/>
    <row r="852" ht="16.5" customHeight="1" s="50"/>
    <row r="853" ht="16.5" customHeight="1" s="50"/>
    <row r="854" ht="16.5" customHeight="1" s="50"/>
    <row r="855" ht="16.5" customHeight="1" s="50"/>
    <row r="856" ht="16.5" customHeight="1" s="50"/>
    <row r="857" ht="16.5" customHeight="1" s="50"/>
    <row r="858" ht="16.5" customHeight="1" s="50"/>
    <row r="859" ht="16.5" customHeight="1" s="50"/>
    <row r="860" ht="16.5" customHeight="1" s="50"/>
    <row r="861" ht="16.5" customHeight="1" s="50"/>
    <row r="862" ht="16.5" customHeight="1" s="50"/>
    <row r="863" ht="16.5" customHeight="1" s="50"/>
    <row r="864" ht="16.5" customHeight="1" s="50"/>
    <row r="865" ht="16.5" customHeight="1" s="50"/>
    <row r="866" ht="16.5" customHeight="1" s="50"/>
    <row r="867" ht="16.5" customHeight="1" s="50"/>
    <row r="868" ht="16.5" customHeight="1" s="50"/>
    <row r="869" ht="16.5" customHeight="1" s="50"/>
    <row r="870" ht="16.5" customHeight="1" s="50"/>
    <row r="871" ht="16.5" customHeight="1" s="50"/>
    <row r="872" ht="16.5" customHeight="1" s="50"/>
    <row r="873" ht="16.5" customHeight="1" s="50"/>
    <row r="874" ht="16.5" customHeight="1" s="50"/>
    <row r="875" ht="16.5" customHeight="1" s="50"/>
    <row r="876" ht="16.5" customHeight="1" s="50"/>
    <row r="877" ht="16.5" customHeight="1" s="50"/>
    <row r="878" ht="16.5" customHeight="1" s="50"/>
    <row r="879" ht="16.5" customHeight="1" s="50"/>
    <row r="880" ht="16.5" customHeight="1" s="50"/>
    <row r="881" ht="16.5" customHeight="1" s="50"/>
    <row r="882" ht="16.5" customHeight="1" s="50"/>
    <row r="883" ht="16.5" customHeight="1" s="50"/>
    <row r="884" ht="16.5" customHeight="1" s="50"/>
    <row r="885" ht="16.5" customHeight="1" s="50"/>
    <row r="886" ht="16.5" customHeight="1" s="50"/>
    <row r="887" ht="16.5" customHeight="1" s="50"/>
    <row r="888" ht="16.5" customHeight="1" s="50"/>
    <row r="889" ht="16.5" customHeight="1" s="50"/>
    <row r="890" ht="16.5" customHeight="1" s="50"/>
    <row r="891" ht="16.5" customHeight="1" s="50"/>
    <row r="892" ht="16.5" customHeight="1" s="50"/>
    <row r="893" ht="16.5" customHeight="1" s="50"/>
    <row r="894" ht="16.5" customHeight="1" s="50"/>
    <row r="895" ht="16.5" customHeight="1" s="50"/>
    <row r="896" ht="16.5" customHeight="1" s="50"/>
    <row r="897" ht="16.5" customHeight="1" s="50"/>
    <row r="898" ht="16.5" customHeight="1" s="50"/>
    <row r="899" ht="16.5" customHeight="1" s="50"/>
    <row r="900" ht="16.5" customHeight="1" s="50"/>
    <row r="901" ht="16.5" customHeight="1" s="50"/>
    <row r="902" ht="16.5" customHeight="1" s="50"/>
    <row r="903" ht="16.5" customHeight="1" s="50"/>
    <row r="904" ht="16.5" customHeight="1" s="50"/>
    <row r="905" ht="16.5" customHeight="1" s="50"/>
    <row r="906" ht="16.5" customHeight="1" s="50"/>
    <row r="907" ht="16.5" customHeight="1" s="50"/>
    <row r="908" ht="16.5" customHeight="1" s="50"/>
    <row r="909" ht="16.5" customHeight="1" s="50"/>
    <row r="910" ht="16.5" customHeight="1" s="50"/>
    <row r="911" ht="16.5" customHeight="1" s="50"/>
    <row r="912" ht="16.5" customHeight="1" s="50"/>
    <row r="913" ht="16.5" customHeight="1" s="50"/>
    <row r="914" ht="16.5" customHeight="1" s="50"/>
    <row r="915" ht="16.5" customHeight="1" s="50"/>
    <row r="916" ht="16.5" customHeight="1" s="50"/>
    <row r="917" ht="16.5" customHeight="1" s="50"/>
    <row r="918" ht="16.5" customHeight="1" s="50"/>
    <row r="919" ht="16.5" customHeight="1" s="50"/>
    <row r="920" ht="16.5" customHeight="1" s="50"/>
    <row r="921" ht="16.5" customHeight="1" s="50"/>
    <row r="922" ht="16.5" customHeight="1" s="50"/>
    <row r="923" ht="16.5" customHeight="1" s="50"/>
    <row r="924" ht="16.5" customHeight="1" s="50"/>
    <row r="925" ht="16.5" customHeight="1" s="50"/>
    <row r="926" ht="16.5" customHeight="1" s="50"/>
    <row r="927" ht="16.5" customHeight="1" s="50"/>
    <row r="928" ht="16.5" customHeight="1" s="50"/>
    <row r="929" ht="16.5" customHeight="1" s="50"/>
    <row r="930" ht="16.5" customHeight="1" s="50"/>
    <row r="931" ht="16.5" customHeight="1" s="50"/>
    <row r="932" ht="16.5" customHeight="1" s="50"/>
    <row r="933" ht="16.5" customHeight="1" s="50"/>
    <row r="934" ht="16.5" customHeight="1" s="50"/>
    <row r="935" ht="16.5" customHeight="1" s="50"/>
    <row r="936" ht="16.5" customHeight="1" s="50"/>
    <row r="937" ht="16.5" customHeight="1" s="50"/>
    <row r="938" ht="16.5" customHeight="1" s="50"/>
    <row r="939" ht="16.5" customHeight="1" s="50"/>
    <row r="940" ht="16.5" customHeight="1" s="50"/>
    <row r="941" ht="16.5" customHeight="1" s="50"/>
    <row r="942" ht="16.5" customHeight="1" s="50"/>
    <row r="943" ht="16.5" customHeight="1" s="50"/>
    <row r="944" ht="16.5" customHeight="1" s="50"/>
    <row r="945" ht="16.5" customHeight="1" s="50"/>
    <row r="946" ht="16.5" customHeight="1" s="50"/>
    <row r="947" ht="16.5" customHeight="1" s="50"/>
    <row r="948" ht="16.5" customHeight="1" s="50"/>
    <row r="949" ht="16.5" customHeight="1" s="50"/>
    <row r="950" ht="16.5" customHeight="1" s="50"/>
    <row r="951" ht="16.5" customHeight="1" s="50"/>
    <row r="952" ht="16.5" customHeight="1" s="50"/>
    <row r="953" ht="16.5" customHeight="1" s="50"/>
    <row r="954" ht="16.5" customHeight="1" s="50"/>
    <row r="955" ht="16.5" customHeight="1" s="50"/>
    <row r="956" ht="16.5" customHeight="1" s="50"/>
    <row r="957" ht="16.5" customHeight="1" s="50"/>
    <row r="958" ht="16.5" customHeight="1" s="50"/>
    <row r="959" ht="16.5" customHeight="1" s="50"/>
    <row r="960" ht="16.5" customHeight="1" s="50"/>
    <row r="961" ht="16.5" customHeight="1" s="50"/>
    <row r="962" ht="16.5" customHeight="1" s="50"/>
    <row r="963" ht="16.5" customHeight="1" s="50"/>
    <row r="964" ht="16.5" customHeight="1" s="50"/>
    <row r="965" ht="16.5" customHeight="1" s="50"/>
    <row r="966" ht="16.5" customHeight="1" s="50"/>
    <row r="967" ht="16.5" customHeight="1" s="50"/>
    <row r="968" ht="16.5" customHeight="1" s="50"/>
    <row r="969" ht="16.5" customHeight="1" s="50"/>
    <row r="970" ht="16.5" customHeight="1" s="50"/>
    <row r="971" ht="16.5" customHeight="1" s="50"/>
    <row r="972" ht="16.5" customHeight="1" s="50"/>
    <row r="973" ht="16.5" customHeight="1" s="50"/>
    <row r="974" ht="16.5" customHeight="1" s="50"/>
    <row r="975" ht="16.5" customHeight="1" s="50"/>
    <row r="976" ht="16.5" customHeight="1" s="50"/>
    <row r="977" ht="16.5" customHeight="1" s="50"/>
    <row r="978" ht="16.5" customHeight="1" s="50"/>
    <row r="979" ht="16.5" customHeight="1" s="50"/>
    <row r="980" ht="16.5" customHeight="1" s="50"/>
    <row r="981" ht="16.5" customHeight="1" s="50"/>
    <row r="982" ht="16.5" customHeight="1" s="50"/>
    <row r="983" ht="16.5" customHeight="1" s="50"/>
    <row r="984" ht="16.5" customHeight="1" s="50"/>
    <row r="985" ht="16.5" customHeight="1" s="50"/>
    <row r="986" ht="16.5" customHeight="1" s="50"/>
    <row r="987" ht="16.5" customHeight="1" s="50"/>
    <row r="988" ht="16.5" customHeight="1" s="50"/>
    <row r="989" ht="16.5" customHeight="1" s="50"/>
    <row r="990" ht="16.5" customHeight="1" s="50"/>
    <row r="991" ht="16.5" customHeight="1" s="50"/>
    <row r="992" ht="16.5" customHeight="1" s="50"/>
    <row r="993" ht="16.5" customHeight="1" s="50"/>
    <row r="994" ht="16.5" customHeight="1" s="50"/>
    <row r="995" ht="16.5" customHeight="1" s="50"/>
    <row r="996" ht="16.5" customHeight="1" s="50"/>
    <row r="997" ht="16.5" customHeight="1" s="50"/>
    <row r="998" ht="16.5" customHeight="1" s="50"/>
    <row r="999" ht="16.5" customHeight="1" s="50"/>
  </sheetData>
  <conditionalFormatting sqref="D28">
    <cfRule type="cellIs" priority="1" operator="greaterThan" dxfId="0">
      <formula>0</formula>
    </cfRule>
  </conditionalFormatting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4.43" defaultRowHeight="15" customHeight="1"/>
  <cols>
    <col width="26.86" customWidth="1" style="50" min="1" max="1"/>
    <col width="51.71" customWidth="1" style="50" min="2" max="2"/>
    <col width="8" customWidth="1" style="50" min="3" max="3"/>
    <col width="10" customWidth="1" style="50" min="4" max="4"/>
    <col width="12" customWidth="1" style="50" min="5" max="6"/>
    <col width="9" customWidth="1" style="50" min="7" max="7"/>
    <col width="11" customWidth="1" style="50" min="8" max="8"/>
    <col width="22" customWidth="1" style="50" min="9" max="9"/>
    <col width="9" customWidth="1" style="50" min="10" max="25"/>
  </cols>
  <sheetData>
    <row r="1" ht="24" customHeight="1" s="50">
      <c r="A1" s="19" t="n"/>
    </row>
    <row r="2" ht="21.75" customHeight="1" s="50">
      <c r="A2" s="20" t="inlineStr">
        <is>
          <t>项目条线</t>
        </is>
      </c>
      <c r="B2" s="20" t="inlineStr">
        <is>
          <t>任务内容</t>
        </is>
      </c>
      <c r="C2" s="20" t="inlineStr">
        <is>
          <t>优先级</t>
        </is>
      </c>
      <c r="D2" s="20" t="inlineStr">
        <is>
          <t>状态</t>
        </is>
      </c>
      <c r="E2" s="20" t="inlineStr">
        <is>
          <t>计划完成日</t>
        </is>
      </c>
      <c r="F2" s="20" t="inlineStr">
        <is>
          <t>实际完成日</t>
        </is>
      </c>
      <c r="G2" s="20" t="inlineStr">
        <is>
          <t>是否延期</t>
        </is>
      </c>
      <c r="H2" s="20" t="inlineStr">
        <is>
          <t>关联/协作</t>
        </is>
      </c>
      <c r="I2" s="20" t="inlineStr">
        <is>
          <t>备注</t>
        </is>
      </c>
    </row>
    <row r="3" ht="16.5" customHeight="1" s="50">
      <c r="A3" s="26" t="inlineStr">
        <is>
          <t>其他</t>
        </is>
      </c>
      <c r="B3" s="25" t="inlineStr">
        <is>
          <t>协助香港方外包装设计修改</t>
        </is>
      </c>
      <c r="C3" s="26" t="inlineStr">
        <is>
          <t>低</t>
        </is>
      </c>
      <c r="D3" s="26" t="inlineStr">
        <is>
          <t>已完成</t>
        </is>
      </c>
      <c r="E3" s="51" t="n">
        <v>46239</v>
      </c>
      <c r="F3" s="51" t="n">
        <v>46241</v>
      </c>
      <c r="G3" s="27">
        <f>IF(AND(D3&lt;&gt;"已完成",D3&lt;&gt;"",E3&lt;&gt;"",E3&lt;TODAY()),"⚠️延期","")</f>
        <v/>
      </c>
      <c r="H3" s="26" t="inlineStr">
        <is>
          <t>小杨</t>
        </is>
      </c>
      <c r="I3" s="25" t="n"/>
    </row>
    <row r="4" ht="16.5" customHeight="1" s="50">
      <c r="A4" s="26" t="inlineStr">
        <is>
          <t>babubabu</t>
        </is>
      </c>
      <c r="B4" s="25" t="inlineStr">
        <is>
          <t>规划一下babubabu的笔记方向</t>
        </is>
      </c>
      <c r="C4" s="26" t="inlineStr">
        <is>
          <t>中</t>
        </is>
      </c>
      <c r="D4" s="26" t="inlineStr">
        <is>
          <t>已完成</t>
        </is>
      </c>
      <c r="E4" s="51" t="n">
        <v>46240</v>
      </c>
      <c r="F4" s="51" t="n"/>
      <c r="G4" s="27">
        <f>IF(AND(D4&lt;&gt;"已完成",D4&lt;&gt;"",E4&lt;&gt;"",E4&lt;TODAY()),"⚠️延期","")</f>
        <v/>
      </c>
      <c r="H4" s="26" t="inlineStr">
        <is>
          <t>（无）</t>
        </is>
      </c>
      <c r="I4" s="25" t="n"/>
    </row>
    <row r="5" ht="16.5" customHeight="1" s="50">
      <c r="A5" s="26" t="inlineStr">
        <is>
          <t>Sakuranomori</t>
        </is>
      </c>
      <c r="B5" s="25" t="inlineStr">
        <is>
          <t>素人笔记护眼丸5-7月的留存率</t>
        </is>
      </c>
      <c r="C5" s="26" t="inlineStr">
        <is>
          <t>中</t>
        </is>
      </c>
      <c r="D5" s="26" t="inlineStr">
        <is>
          <t>未开始</t>
        </is>
      </c>
      <c r="E5" s="51" t="n">
        <v>46240</v>
      </c>
      <c r="F5" s="51" t="n"/>
      <c r="G5" s="27">
        <f>IF(AND(D5&lt;&gt;"已完成",D5&lt;&gt;"",E5&lt;&gt;"",E5&lt;TODAY()),"⚠️延期","")</f>
        <v/>
      </c>
      <c r="H5" s="26" t="n"/>
      <c r="I5" s="25" t="n"/>
    </row>
    <row r="6" ht="16.5" customHeight="1" s="50">
      <c r="A6" s="26" t="inlineStr">
        <is>
          <t>Quality1st</t>
        </is>
      </c>
      <c r="B6" s="25" t="inlineStr">
        <is>
          <t>8月份要货量</t>
        </is>
      </c>
      <c r="C6" s="26" t="inlineStr">
        <is>
          <t>高</t>
        </is>
      </c>
      <c r="D6" s="26" t="inlineStr">
        <is>
          <t>已完成</t>
        </is>
      </c>
      <c r="E6" s="51" t="n">
        <v>46240</v>
      </c>
      <c r="F6" s="51" t="n">
        <v>46240</v>
      </c>
      <c r="G6" s="27">
        <f>IF(AND(D6&lt;&gt;"已完成",D6&lt;&gt;"",E6&lt;&gt;"",E6&lt;TODAY()),"⚠️延期","")</f>
        <v/>
      </c>
      <c r="H6" s="26" t="inlineStr">
        <is>
          <t>楠楠</t>
        </is>
      </c>
      <c r="I6" s="25" t="n"/>
    </row>
    <row r="7" ht="16.5" customHeight="1" s="50">
      <c r="A7" s="26" t="inlineStr">
        <is>
          <t>Sakuranomori</t>
        </is>
      </c>
      <c r="B7" s="25" t="inlineStr">
        <is>
          <t>思考一下补铁片护肝片的笔记方向，结合天猫</t>
        </is>
      </c>
      <c r="C7" s="26" t="inlineStr">
        <is>
          <t>高</t>
        </is>
      </c>
      <c r="D7" s="26" t="inlineStr">
        <is>
          <t>未开始</t>
        </is>
      </c>
      <c r="E7" s="51" t="n"/>
      <c r="F7" s="51" t="n"/>
      <c r="G7" s="27">
        <f>IF(AND(D7&lt;&gt;"已完成",D7&lt;&gt;"",E7&lt;&gt;"",E7&lt;TODAY()),"⚠️延期","")</f>
        <v/>
      </c>
      <c r="H7" s="26" t="inlineStr">
        <is>
          <t>（无）</t>
        </is>
      </c>
      <c r="I7" s="25" t="n"/>
    </row>
    <row r="8" ht="22.5" customHeight="1" s="50">
      <c r="A8" s="26" t="inlineStr">
        <is>
          <t>Quality1st</t>
        </is>
      </c>
      <c r="B8" s="25" t="inlineStr">
        <is>
          <t>关于Q1预算的调整</t>
        </is>
      </c>
      <c r="C8" s="26" t="inlineStr">
        <is>
          <t>中</t>
        </is>
      </c>
      <c r="D8" s="26" t="inlineStr">
        <is>
          <t>已完成</t>
        </is>
      </c>
      <c r="E8" s="51" t="n">
        <v>46240</v>
      </c>
      <c r="F8" s="51" t="n">
        <v>46240</v>
      </c>
      <c r="G8" s="27">
        <f>IF(AND(D8&lt;&gt;"已完成",D8&lt;&gt;"",E8&lt;&gt;"",E8&lt;TODAY()),"⚠️延期","")</f>
        <v/>
      </c>
      <c r="H8" s="26" t="inlineStr">
        <is>
          <t>小裴</t>
        </is>
      </c>
      <c r="I8" s="25" t="n"/>
    </row>
    <row r="9" ht="16.5" customHeight="1" s="50">
      <c r="A9" s="26" t="inlineStr">
        <is>
          <t>Sakuranomori</t>
        </is>
      </c>
      <c r="B9" s="25" t="inlineStr">
        <is>
          <t>护眼丸视频达人筛选2位添加下单</t>
        </is>
      </c>
      <c r="C9" s="26" t="inlineStr">
        <is>
          <t>高</t>
        </is>
      </c>
      <c r="D9" s="26" t="inlineStr">
        <is>
          <t>未开始</t>
        </is>
      </c>
      <c r="E9" s="51" t="n">
        <v>46241</v>
      </c>
      <c r="F9" s="51" t="n"/>
      <c r="G9" s="27">
        <f>IF(AND(D9&lt;&gt;"已完成",D9&lt;&gt;"",E9&lt;&gt;"",E9&lt;TODAY()),"⚠️延期","")</f>
        <v/>
      </c>
      <c r="H9" s="26" t="inlineStr">
        <is>
          <t>（无）</t>
        </is>
      </c>
      <c r="I9" s="25" t="n"/>
    </row>
    <row r="10" ht="16.5" customHeight="1" s="50">
      <c r="A10" s="26" t="inlineStr">
        <is>
          <t>Quality1st</t>
        </is>
      </c>
      <c r="B10" s="25" t="inlineStr">
        <is>
          <t>Q1专业后台的审核以及后台金额的下单2位</t>
        </is>
      </c>
      <c r="C10" s="26" t="inlineStr">
        <is>
          <t>高</t>
        </is>
      </c>
      <c r="D10" s="26" t="inlineStr">
        <is>
          <t>已完成</t>
        </is>
      </c>
      <c r="E10" s="51" t="n">
        <v>46241</v>
      </c>
      <c r="F10" s="51" t="n"/>
      <c r="G10" s="27">
        <f>IF(AND(D10&lt;&gt;"已完成",D10&lt;&gt;"",E10&lt;&gt;"",E10&lt;TODAY()),"⚠️延期","")</f>
        <v/>
      </c>
      <c r="H10" s="26" t="inlineStr">
        <is>
          <t>（无）</t>
        </is>
      </c>
      <c r="I10" s="25" t="n"/>
    </row>
    <row r="11" ht="16.5" customHeight="1" s="50">
      <c r="A11" s="26" t="inlineStr">
        <is>
          <t>Quality1st</t>
        </is>
      </c>
      <c r="B11" s="25" t="inlineStr">
        <is>
          <t>客服后台话术的整理</t>
        </is>
      </c>
      <c r="C11" s="26" t="inlineStr">
        <is>
          <t>低</t>
        </is>
      </c>
      <c r="D11" s="26" t="inlineStr">
        <is>
          <t>未开始</t>
        </is>
      </c>
      <c r="E11" s="51" t="n">
        <v>46246</v>
      </c>
      <c r="F11" s="51" t="n"/>
      <c r="G11" s="27">
        <f>IF(AND(D11&lt;&gt;"已完成",D11&lt;&gt;"",E11&lt;&gt;"",E11&lt;TODAY()),"⚠️延期","")</f>
        <v/>
      </c>
      <c r="H11" s="26" t="n"/>
      <c r="I11" s="25" t="n"/>
    </row>
    <row r="12" ht="16.5" customHeight="1" s="50">
      <c r="A12" s="26" t="inlineStr">
        <is>
          <t>Sakuranomori</t>
        </is>
      </c>
      <c r="B12" s="25" t="inlineStr">
        <is>
          <t>观测天猫后台关于补铁片的关键词，做小红书笔记方向计划</t>
        </is>
      </c>
      <c r="C12" s="26" t="inlineStr">
        <is>
          <t>高</t>
        </is>
      </c>
      <c r="D12" s="26" t="inlineStr">
        <is>
          <t>未开始</t>
        </is>
      </c>
      <c r="E12" s="51" t="n">
        <v>46248</v>
      </c>
      <c r="F12" s="51" t="n"/>
      <c r="G12" s="27">
        <f>IF(AND(D12&lt;&gt;"已完成",D12&lt;&gt;"",E12&lt;&gt;"",E12&lt;TODAY()),"⚠️延期","")</f>
        <v/>
      </c>
      <c r="H12" s="26" t="n"/>
      <c r="I12" s="25" t="n"/>
    </row>
    <row r="13" ht="16.5" customHeight="1" s="50">
      <c r="A13" s="26" t="inlineStr">
        <is>
          <t>Quality1st</t>
        </is>
      </c>
      <c r="B13" s="25" t="inlineStr">
        <is>
          <t>小红星后台注册</t>
        </is>
      </c>
      <c r="C13" s="26" t="inlineStr">
        <is>
          <t>高</t>
        </is>
      </c>
      <c r="D13" s="26" t="inlineStr">
        <is>
          <t>已完成</t>
        </is>
      </c>
      <c r="E13" s="51" t="n">
        <v>46241</v>
      </c>
      <c r="F13" s="51" t="n">
        <v>46245</v>
      </c>
      <c r="G13" s="27">
        <f>IF(AND(D13&lt;&gt;"已完成",D13&lt;&gt;"",E13&lt;&gt;"",E13&lt;TODAY()),"⚠️延期","")</f>
        <v/>
      </c>
      <c r="H13" s="26" t="n"/>
      <c r="I13" s="25" t="inlineStr">
        <is>
          <t>已提交，7日审核</t>
        </is>
      </c>
    </row>
    <row r="14" ht="16.5" customHeight="1" s="50">
      <c r="A14" s="26" t="inlineStr">
        <is>
          <t>Quality1st</t>
        </is>
      </c>
      <c r="B14" s="25" t="inlineStr">
        <is>
          <t>产品spu的设定，关键词</t>
        </is>
      </c>
      <c r="C14" s="26" t="inlineStr">
        <is>
          <t>高</t>
        </is>
      </c>
      <c r="D14" s="26" t="inlineStr">
        <is>
          <t>已完成</t>
        </is>
      </c>
      <c r="E14" s="51" t="n">
        <v>46244</v>
      </c>
      <c r="F14" s="51" t="n"/>
      <c r="G14" s="27">
        <f>IF(AND(D14&lt;&gt;"已完成",D14&lt;&gt;"",E14&lt;&gt;"",E14&lt;TODAY()),"⚠️延期","")</f>
        <v/>
      </c>
      <c r="H14" s="26" t="n"/>
      <c r="I14" s="25" t="inlineStr">
        <is>
          <t>审核中</t>
        </is>
      </c>
    </row>
    <row r="15" ht="16.5" customHeight="1" s="50">
      <c r="A15" s="26" t="inlineStr">
        <is>
          <t>Quality1st</t>
        </is>
      </c>
      <c r="B15" s="25" t="inlineStr">
        <is>
          <t>笔记brief的优化</t>
        </is>
      </c>
      <c r="C15" s="26" t="inlineStr">
        <is>
          <t>高</t>
        </is>
      </c>
      <c r="D15" s="26" t="inlineStr">
        <is>
          <t>已完成</t>
        </is>
      </c>
      <c r="E15" s="51" t="n">
        <v>46254</v>
      </c>
      <c r="F15" s="51" t="n"/>
      <c r="G15" s="27">
        <f>IF(AND(D15&lt;&gt;"已完成",D15&lt;&gt;"",E15&lt;&gt;"",E15&lt;TODAY()),"⚠️延期","")</f>
        <v/>
      </c>
      <c r="H15" s="26" t="n"/>
      <c r="I15" s="25" t="n"/>
    </row>
    <row r="16" ht="16.5" customHeight="1" s="50">
      <c r="A16" s="26" t="inlineStr">
        <is>
          <t>Quality1st</t>
        </is>
      </c>
      <c r="B16" s="25" t="inlineStr">
        <is>
          <t>笔记内容方向</t>
        </is>
      </c>
      <c r="C16" s="26" t="inlineStr">
        <is>
          <t>高</t>
        </is>
      </c>
      <c r="D16" s="26" t="inlineStr">
        <is>
          <t>已完成</t>
        </is>
      </c>
      <c r="E16" s="51" t="n">
        <v>46241</v>
      </c>
      <c r="F16" s="51" t="n"/>
      <c r="G16" s="27">
        <f>IF(AND(D16&lt;&gt;"已完成",D16&lt;&gt;"",E16&lt;&gt;"",E16&lt;TODAY()),"⚠️延期","")</f>
        <v/>
      </c>
      <c r="H16" s="26" t="n"/>
      <c r="I16" s="25" t="n"/>
    </row>
    <row r="17" ht="16.5" customHeight="1" s="50">
      <c r="A17" s="26" t="inlineStr">
        <is>
          <t>Sakuranomori</t>
        </is>
      </c>
      <c r="B17" s="25" t="inlineStr">
        <is>
          <t>七夕活动改价报名，商家承担12%起</t>
        </is>
      </c>
      <c r="C17" s="26" t="inlineStr">
        <is>
          <t>高</t>
        </is>
      </c>
      <c r="D17" s="26" t="inlineStr">
        <is>
          <t>已完成</t>
        </is>
      </c>
      <c r="E17" s="51" t="n">
        <v>46241</v>
      </c>
      <c r="F17" s="51" t="n">
        <v>46241</v>
      </c>
      <c r="G17" s="27">
        <f>IF(AND(D17&lt;&gt;"已完成",D17&lt;&gt;"",E17&lt;&gt;"",E17&lt;TODAY()),"⚠️延期","")</f>
        <v/>
      </c>
      <c r="H17" s="26" t="inlineStr">
        <is>
          <t>（无）</t>
        </is>
      </c>
      <c r="I17" s="25" t="n"/>
    </row>
    <row r="18" ht="16.5" customHeight="1" s="50">
      <c r="A18" s="26" t="inlineStr">
        <is>
          <t>babubabu</t>
        </is>
      </c>
      <c r="B18" s="25" t="inlineStr">
        <is>
          <t>天猫后台数据的分析，小红书美护上下游词的整理</t>
        </is>
      </c>
      <c r="C18" s="26" t="inlineStr">
        <is>
          <t>中</t>
        </is>
      </c>
      <c r="D18" s="26" t="inlineStr">
        <is>
          <t>未开始</t>
        </is>
      </c>
      <c r="E18" s="51" t="n"/>
      <c r="F18" s="51" t="n"/>
      <c r="G18" s="27">
        <f>IF(AND(D18&lt;&gt;"已完成",D18&lt;&gt;"",E18&lt;&gt;"",E18&lt;TODAY()),"⚠️延期","")</f>
        <v/>
      </c>
      <c r="H18" s="26" t="n"/>
      <c r="I18" s="25" t="n"/>
    </row>
    <row r="19" ht="16.5" customHeight="1" s="50">
      <c r="A19" s="32" t="inlineStr">
        <is>
          <t>Quality1st</t>
        </is>
      </c>
      <c r="B19" s="33" t="inlineStr">
        <is>
          <t>小红书蒲公英后台组建设置</t>
        </is>
      </c>
      <c r="C19" s="32" t="inlineStr">
        <is>
          <t>高</t>
        </is>
      </c>
      <c r="D19" s="32" t="inlineStr">
        <is>
          <t>已完成</t>
        </is>
      </c>
      <c r="E19" s="52" t="n">
        <v>46247</v>
      </c>
      <c r="F19" s="52" t="n">
        <v>46250</v>
      </c>
      <c r="G19" s="31">
        <f>IF(AND(D19&lt;&gt;"已完成",D19&lt;&gt;"",E19&lt;&gt;"",E19&lt;TODAY()),"⚠️延期","")</f>
        <v/>
      </c>
      <c r="H19" s="32" t="n"/>
      <c r="I19" s="33" t="n"/>
    </row>
    <row r="20" ht="16.5" customHeight="1" s="50">
      <c r="A20" s="39" t="inlineStr">
        <is>
          <t>Sakuranomori</t>
        </is>
      </c>
      <c r="B20" s="38" t="inlineStr">
        <is>
          <t>9-12月份库存</t>
        </is>
      </c>
      <c r="C20" s="39" t="inlineStr">
        <is>
          <t>高</t>
        </is>
      </c>
      <c r="D20" s="39" t="inlineStr">
        <is>
          <t>已完成</t>
        </is>
      </c>
      <c r="E20" s="53" t="n">
        <v>46244</v>
      </c>
      <c r="F20" s="53" t="n">
        <v>46244</v>
      </c>
      <c r="G20" s="37">
        <f>IF(AND(D20&lt;&gt;"已完成",D20&lt;&gt;"",E20&lt;&gt;"",E20&lt;TODAY()),"⚠️延期","")</f>
        <v/>
      </c>
      <c r="H20" s="39" t="inlineStr">
        <is>
          <t>天猫</t>
        </is>
      </c>
      <c r="I20" s="38" t="n"/>
    </row>
    <row r="21" ht="16.5" customHeight="1" s="50">
      <c r="A21" s="39" t="inlineStr">
        <is>
          <t>Sakuranomori</t>
        </is>
      </c>
      <c r="B21" s="38" t="inlineStr">
        <is>
          <t>koc笔记审核</t>
        </is>
      </c>
      <c r="C21" s="39" t="inlineStr">
        <is>
          <t>高</t>
        </is>
      </c>
      <c r="D21" s="39" t="inlineStr">
        <is>
          <t>已完成</t>
        </is>
      </c>
      <c r="E21" s="53" t="n"/>
      <c r="F21" s="53" t="n"/>
      <c r="G21" s="37">
        <f>IF(AND(D21&lt;&gt;"已完成",D21&lt;&gt;"",E21&lt;&gt;"",E21&lt;TODAY()),"⚠️延期","")</f>
        <v/>
      </c>
      <c r="H21" s="39" t="n"/>
      <c r="I21" s="38" t="n"/>
    </row>
    <row r="22" ht="16.5" customHeight="1" s="50">
      <c r="A22" s="39" t="n"/>
      <c r="B22" s="38" t="n"/>
      <c r="C22" s="39" t="n"/>
      <c r="D22" s="39" t="n"/>
      <c r="E22" s="53" t="n"/>
      <c r="F22" s="53" t="n"/>
      <c r="G22" s="37">
        <f>IF(AND(D22&lt;&gt;"已完成",D22&lt;&gt;"",E22&lt;&gt;"",E22&lt;TODAY()),"⚠️延期","")</f>
        <v/>
      </c>
      <c r="H22" s="39" t="n"/>
      <c r="I22" s="38" t="n"/>
    </row>
    <row r="23" ht="16.5" customHeight="1" s="50">
      <c r="A23" s="39" t="n"/>
      <c r="B23" s="38" t="n"/>
      <c r="C23" s="39" t="n"/>
      <c r="D23" s="39" t="n"/>
      <c r="E23" s="53" t="n"/>
      <c r="F23" s="53" t="n"/>
      <c r="G23" s="37">
        <f>IF(AND(D23&lt;&gt;"已完成",D23&lt;&gt;"",E23&lt;&gt;"",E23&lt;TODAY()),"⚠️延期","")</f>
        <v/>
      </c>
      <c r="H23" s="39" t="n"/>
      <c r="I23" s="38" t="n"/>
    </row>
    <row r="24" ht="16.5" customHeight="1" s="50">
      <c r="A24" s="39" t="n"/>
      <c r="B24" s="38" t="n"/>
      <c r="C24" s="39" t="n"/>
      <c r="D24" s="39" t="n"/>
      <c r="E24" s="53" t="n"/>
      <c r="F24" s="53" t="n"/>
      <c r="G24" s="37">
        <f>IF(AND(D24&lt;&gt;"已完成",D24&lt;&gt;"",E24&lt;&gt;"",E24&lt;TODAY()),"⚠️延期","")</f>
        <v/>
      </c>
      <c r="H24" s="39" t="n"/>
      <c r="I24" s="38" t="n"/>
    </row>
    <row r="25" ht="16.5" customHeight="1" s="50">
      <c r="A25" s="39" t="n"/>
      <c r="B25" s="38" t="n"/>
      <c r="C25" s="39" t="n"/>
      <c r="D25" s="39" t="n"/>
      <c r="E25" s="53" t="n"/>
      <c r="F25" s="53" t="n"/>
      <c r="G25" s="37">
        <f>IF(AND(D25&lt;&gt;"已完成",D25&lt;&gt;"",E25&lt;&gt;"",E25&lt;TODAY()),"⚠️延期","")</f>
        <v/>
      </c>
      <c r="H25" s="39" t="n"/>
      <c r="I25" s="38" t="n"/>
    </row>
    <row r="26" ht="16.5" customHeight="1" s="50">
      <c r="A26" s="39" t="n"/>
      <c r="B26" s="38" t="n"/>
      <c r="C26" s="39" t="n"/>
      <c r="D26" s="39" t="n"/>
      <c r="E26" s="53" t="n"/>
      <c r="F26" s="53" t="n"/>
      <c r="G26" s="37">
        <f>IF(AND(D26&lt;&gt;"已完成",D26&lt;&gt;"",E26&lt;&gt;"",E26&lt;TODAY()),"⚠️延期","")</f>
        <v/>
      </c>
      <c r="H26" s="39" t="n"/>
      <c r="I26" s="38" t="n"/>
    </row>
    <row r="27" ht="16.5" customHeight="1" s="50">
      <c r="A27" s="39" t="n"/>
      <c r="B27" s="38" t="n"/>
      <c r="C27" s="39" t="n"/>
      <c r="D27" s="39" t="n"/>
      <c r="E27" s="53" t="n"/>
      <c r="F27" s="53" t="n"/>
      <c r="G27" s="37">
        <f>IF(AND(D27&lt;&gt;"已完成",D27&lt;&gt;"",E27&lt;&gt;"",E27&lt;TODAY()),"⚠️延期","")</f>
        <v/>
      </c>
      <c r="H27" s="39" t="n"/>
      <c r="I27" s="38" t="n"/>
    </row>
    <row r="28" ht="16.5" customHeight="1" s="50">
      <c r="A28" s="39" t="n"/>
      <c r="B28" s="38" t="n"/>
      <c r="C28" s="39" t="n"/>
      <c r="D28" s="39" t="n"/>
      <c r="E28" s="53" t="n"/>
      <c r="F28" s="53" t="n"/>
      <c r="G28" s="37">
        <f>IF(AND(D28&lt;&gt;"已完成",D28&lt;&gt;"",E28&lt;&gt;"",E28&lt;TODAY()),"⚠️延期","")</f>
        <v/>
      </c>
      <c r="H28" s="39" t="n"/>
      <c r="I28" s="38" t="n"/>
    </row>
    <row r="29" ht="16.5" customHeight="1" s="50">
      <c r="A29" s="39" t="n"/>
      <c r="B29" s="38" t="n"/>
      <c r="C29" s="39" t="n"/>
      <c r="D29" s="39" t="n"/>
      <c r="E29" s="53" t="n"/>
      <c r="F29" s="53" t="n"/>
      <c r="G29" s="37">
        <f>IF(AND(D29&lt;&gt;"已完成",D29&lt;&gt;"",E29&lt;&gt;"",E29&lt;TODAY()),"⚠️延期","")</f>
        <v/>
      </c>
      <c r="H29" s="39" t="n"/>
      <c r="I29" s="38" t="n"/>
    </row>
    <row r="30" ht="16.5" customHeight="1" s="50">
      <c r="A30" s="39" t="n"/>
      <c r="B30" s="38" t="n"/>
      <c r="C30" s="39" t="n"/>
      <c r="D30" s="39" t="n"/>
      <c r="E30" s="53" t="n"/>
      <c r="F30" s="53" t="n"/>
      <c r="G30" s="37">
        <f>IF(AND(D30&lt;&gt;"已完成",D30&lt;&gt;"",E30&lt;&gt;"",E30&lt;TODAY()),"⚠️延期","")</f>
        <v/>
      </c>
      <c r="H30" s="39" t="n"/>
      <c r="I30" s="38" t="n"/>
    </row>
    <row r="31" ht="16.5" customHeight="1" s="50">
      <c r="A31" s="39" t="n"/>
      <c r="B31" s="38" t="n"/>
      <c r="C31" s="39" t="n"/>
      <c r="D31" s="39" t="n"/>
      <c r="E31" s="53" t="n"/>
      <c r="F31" s="53" t="n"/>
      <c r="G31" s="37">
        <f>IF(AND(D31&lt;&gt;"已完成",D31&lt;&gt;"",E31&lt;&gt;"",E31&lt;TODAY()),"⚠️延期","")</f>
        <v/>
      </c>
      <c r="H31" s="39" t="n"/>
      <c r="I31" s="38" t="n"/>
    </row>
    <row r="32" ht="16.5" customHeight="1" s="50">
      <c r="A32" s="39" t="n"/>
      <c r="B32" s="38" t="n"/>
      <c r="C32" s="39" t="n"/>
      <c r="D32" s="39" t="n"/>
      <c r="E32" s="53" t="n"/>
      <c r="F32" s="53" t="n"/>
      <c r="G32" s="37">
        <f>IF(AND(D32&lt;&gt;"已完成",D32&lt;&gt;"",E32&lt;&gt;"",E32&lt;TODAY()),"⚠️延期","")</f>
        <v/>
      </c>
      <c r="H32" s="39" t="n"/>
      <c r="I32" s="38" t="n"/>
    </row>
    <row r="33" ht="16.5" customHeight="1" s="50">
      <c r="A33" s="39" t="n"/>
      <c r="B33" s="38" t="n"/>
      <c r="C33" s="39" t="n"/>
      <c r="D33" s="39" t="n"/>
      <c r="E33" s="53" t="n"/>
      <c r="F33" s="53" t="n"/>
      <c r="G33" s="37">
        <f>IF(AND(D33&lt;&gt;"已完成",D33&lt;&gt;"",E33&lt;&gt;"",E33&lt;TODAY()),"⚠️延期","")</f>
        <v/>
      </c>
      <c r="H33" s="39" t="n"/>
      <c r="I33" s="38" t="n"/>
    </row>
    <row r="34" ht="16.5" customHeight="1" s="50">
      <c r="A34" s="39" t="n"/>
      <c r="B34" s="38" t="n"/>
      <c r="C34" s="39" t="n"/>
      <c r="D34" s="39" t="n"/>
      <c r="E34" s="53" t="n"/>
      <c r="F34" s="53" t="n"/>
      <c r="G34" s="37">
        <f>IF(AND(D34&lt;&gt;"已完成",D34&lt;&gt;"",E34&lt;&gt;"",E34&lt;TODAY()),"⚠️延期","")</f>
        <v/>
      </c>
      <c r="H34" s="39" t="n"/>
      <c r="I34" s="38" t="n"/>
    </row>
    <row r="35" ht="16.5" customHeight="1" s="50">
      <c r="A35" s="39" t="n"/>
      <c r="B35" s="38" t="n"/>
      <c r="C35" s="39" t="n"/>
      <c r="D35" s="39" t="n"/>
      <c r="E35" s="53" t="n"/>
      <c r="F35" s="53" t="n"/>
      <c r="G35" s="37">
        <f>IF(AND(D35&lt;&gt;"已完成",D35&lt;&gt;"",E35&lt;&gt;"",E35&lt;TODAY()),"⚠️延期","")</f>
        <v/>
      </c>
      <c r="H35" s="39" t="n"/>
      <c r="I35" s="38" t="n"/>
    </row>
    <row r="36" ht="16.5" customHeight="1" s="50">
      <c r="A36" s="39" t="n"/>
      <c r="B36" s="38" t="n"/>
      <c r="C36" s="39" t="n"/>
      <c r="D36" s="39" t="n"/>
      <c r="E36" s="53" t="n"/>
      <c r="F36" s="53" t="n"/>
      <c r="G36" s="37">
        <f>IF(AND(D36&lt;&gt;"已完成",D36&lt;&gt;"",E36&lt;&gt;"",E36&lt;TODAY()),"⚠️延期","")</f>
        <v/>
      </c>
      <c r="H36" s="39" t="n"/>
      <c r="I36" s="38" t="n"/>
    </row>
    <row r="37" ht="16.5" customHeight="1" s="50">
      <c r="A37" s="39" t="n"/>
      <c r="B37" s="38" t="n"/>
      <c r="C37" s="39" t="n"/>
      <c r="D37" s="39" t="n"/>
      <c r="E37" s="53" t="n"/>
      <c r="F37" s="53" t="n"/>
      <c r="G37" s="37">
        <f>IF(AND(D37&lt;&gt;"已完成",D37&lt;&gt;"",E37&lt;&gt;"",E37&lt;TODAY()),"⚠️延期","")</f>
        <v/>
      </c>
      <c r="H37" s="39" t="n"/>
      <c r="I37" s="38" t="n"/>
    </row>
    <row r="38" ht="16.5" customHeight="1" s="50">
      <c r="A38" s="39" t="n"/>
      <c r="B38" s="38" t="n"/>
      <c r="C38" s="39" t="n"/>
      <c r="D38" s="39" t="n"/>
      <c r="E38" s="53" t="n"/>
      <c r="F38" s="53" t="n"/>
      <c r="G38" s="37">
        <f>IF(AND(D38&lt;&gt;"已完成",D38&lt;&gt;"",E38&lt;&gt;"",E38&lt;TODAY()),"⚠️延期","")</f>
        <v/>
      </c>
      <c r="H38" s="39" t="n"/>
      <c r="I38" s="38" t="n"/>
    </row>
    <row r="39" ht="16.5" customHeight="1" s="50">
      <c r="A39" s="39" t="n"/>
      <c r="B39" s="38" t="n"/>
      <c r="C39" s="39" t="n"/>
      <c r="D39" s="39" t="n"/>
      <c r="E39" s="53" t="n"/>
      <c r="F39" s="53" t="n"/>
      <c r="G39" s="37">
        <f>IF(AND(D39&lt;&gt;"已完成",D39&lt;&gt;"",E39&lt;&gt;"",E39&lt;TODAY()),"⚠️延期","")</f>
        <v/>
      </c>
      <c r="H39" s="39" t="n"/>
      <c r="I39" s="38" t="n"/>
    </row>
    <row r="40" ht="16.5" customHeight="1" s="50">
      <c r="A40" s="39" t="n"/>
      <c r="B40" s="38" t="n"/>
      <c r="C40" s="39" t="n"/>
      <c r="D40" s="39" t="n"/>
      <c r="E40" s="53" t="n"/>
      <c r="F40" s="53" t="n"/>
      <c r="G40" s="37">
        <f>IF(AND(D40&lt;&gt;"已完成",D40&lt;&gt;"",E40&lt;&gt;"",E40&lt;TODAY()),"⚠️延期","")</f>
        <v/>
      </c>
      <c r="H40" s="39" t="n"/>
      <c r="I40" s="38" t="n"/>
    </row>
    <row r="41" ht="16.5" customHeight="1" s="50">
      <c r="A41" s="39" t="n"/>
      <c r="B41" s="38" t="n"/>
      <c r="C41" s="39" t="n"/>
      <c r="D41" s="39" t="n"/>
      <c r="E41" s="53" t="n"/>
      <c r="F41" s="53" t="n"/>
      <c r="G41" s="37">
        <f>IF(AND(D41&lt;&gt;"已完成",D41&lt;&gt;"",E41&lt;&gt;"",E41&lt;TODAY()),"⚠️延期","")</f>
        <v/>
      </c>
      <c r="H41" s="39" t="n"/>
      <c r="I41" s="38" t="n"/>
    </row>
    <row r="42" ht="16.5" customHeight="1" s="50">
      <c r="A42" s="39" t="n"/>
      <c r="B42" s="38" t="n"/>
      <c r="C42" s="39" t="n"/>
      <c r="D42" s="39" t="n"/>
      <c r="E42" s="53" t="n"/>
      <c r="F42" s="53" t="n"/>
      <c r="G42" s="37">
        <f>IF(AND(D42&lt;&gt;"已完成",D42&lt;&gt;"",E42&lt;&gt;"",E42&lt;TODAY()),"⚠️延期","")</f>
        <v/>
      </c>
      <c r="H42" s="39" t="n"/>
      <c r="I42" s="38" t="n"/>
    </row>
    <row r="43" ht="16.5" customHeight="1" s="50">
      <c r="A43" s="39" t="n"/>
      <c r="B43" s="38" t="n"/>
      <c r="C43" s="39" t="n"/>
      <c r="D43" s="39" t="n"/>
      <c r="E43" s="53" t="n"/>
      <c r="F43" s="53" t="n"/>
      <c r="G43" s="37">
        <f>IF(AND(D43&lt;&gt;"已完成",D43&lt;&gt;"",E43&lt;&gt;"",E43&lt;TODAY()),"⚠️延期","")</f>
        <v/>
      </c>
      <c r="H43" s="39" t="n"/>
      <c r="I43" s="38" t="n"/>
    </row>
    <row r="44" ht="16.5" customHeight="1" s="50">
      <c r="A44" s="39" t="n"/>
      <c r="B44" s="38" t="n"/>
      <c r="C44" s="39" t="n"/>
      <c r="D44" s="39" t="n"/>
      <c r="E44" s="53" t="n"/>
      <c r="F44" s="53" t="n"/>
      <c r="G44" s="37">
        <f>IF(AND(D44&lt;&gt;"已完成",D44&lt;&gt;"",E44&lt;&gt;"",E44&lt;TODAY()),"⚠️延期","")</f>
        <v/>
      </c>
      <c r="H44" s="39" t="n"/>
      <c r="I44" s="38" t="n"/>
    </row>
    <row r="45" ht="16.5" customHeight="1" s="50">
      <c r="A45" s="39" t="n"/>
      <c r="B45" s="38" t="n"/>
      <c r="C45" s="39" t="n"/>
      <c r="D45" s="39" t="n"/>
      <c r="E45" s="53" t="n"/>
      <c r="F45" s="53" t="n"/>
      <c r="G45" s="37">
        <f>IF(AND(D45&lt;&gt;"已完成",D45&lt;&gt;"",E45&lt;&gt;"",E45&lt;TODAY()),"⚠️延期","")</f>
        <v/>
      </c>
      <c r="H45" s="39" t="n"/>
      <c r="I45" s="38" t="n"/>
    </row>
    <row r="46" ht="16.5" customHeight="1" s="50">
      <c r="A46" s="39" t="n"/>
      <c r="B46" s="38" t="n"/>
      <c r="C46" s="39" t="n"/>
      <c r="D46" s="39" t="n"/>
      <c r="E46" s="53" t="n"/>
      <c r="F46" s="53" t="n"/>
      <c r="G46" s="37">
        <f>IF(AND(D46&lt;&gt;"已完成",D46&lt;&gt;"",E46&lt;&gt;"",E46&lt;TODAY()),"⚠️延期","")</f>
        <v/>
      </c>
      <c r="H46" s="39" t="n"/>
      <c r="I46" s="38" t="n"/>
    </row>
    <row r="47" ht="16.5" customHeight="1" s="50">
      <c r="A47" s="39" t="n"/>
      <c r="B47" s="38" t="n"/>
      <c r="C47" s="39" t="n"/>
      <c r="D47" s="39" t="n"/>
      <c r="E47" s="53" t="n"/>
      <c r="F47" s="53" t="n"/>
      <c r="G47" s="37">
        <f>IF(AND(D47&lt;&gt;"已完成",D47&lt;&gt;"",E47&lt;&gt;"",E47&lt;TODAY()),"⚠️延期","")</f>
        <v/>
      </c>
      <c r="H47" s="39" t="n"/>
      <c r="I47" s="38" t="n"/>
    </row>
    <row r="48" ht="16.5" customHeight="1" s="50">
      <c r="A48" s="39" t="n"/>
      <c r="B48" s="38" t="n"/>
      <c r="C48" s="39" t="n"/>
      <c r="D48" s="39" t="n"/>
      <c r="E48" s="53" t="n"/>
      <c r="F48" s="53" t="n"/>
      <c r="G48" s="37">
        <f>IF(AND(D48&lt;&gt;"已完成",D48&lt;&gt;"",E48&lt;&gt;"",E48&lt;TODAY()),"⚠️延期","")</f>
        <v/>
      </c>
      <c r="H48" s="39" t="n"/>
      <c r="I48" s="38" t="n"/>
    </row>
    <row r="49" ht="16.5" customHeight="1" s="50">
      <c r="A49" s="39" t="n"/>
      <c r="B49" s="38" t="n"/>
      <c r="C49" s="39" t="n"/>
      <c r="D49" s="39" t="n"/>
      <c r="E49" s="53" t="n"/>
      <c r="F49" s="53" t="n"/>
      <c r="G49" s="37">
        <f>IF(AND(D49&lt;&gt;"已完成",D49&lt;&gt;"",E49&lt;&gt;"",E49&lt;TODAY()),"⚠️延期","")</f>
        <v/>
      </c>
      <c r="H49" s="39" t="n"/>
      <c r="I49" s="38" t="n"/>
    </row>
    <row r="50" ht="16.5" customHeight="1" s="50">
      <c r="A50" s="39" t="n"/>
      <c r="B50" s="38" t="n"/>
      <c r="C50" s="39" t="n"/>
      <c r="D50" s="39" t="n"/>
      <c r="E50" s="53" t="n"/>
      <c r="F50" s="53" t="n"/>
      <c r="G50" s="37">
        <f>IF(AND(D50&lt;&gt;"已完成",D50&lt;&gt;"",E50&lt;&gt;"",E50&lt;TODAY()),"⚠️延期","")</f>
        <v/>
      </c>
      <c r="H50" s="39" t="n"/>
      <c r="I50" s="38" t="n"/>
    </row>
    <row r="51" ht="16.5" customHeight="1" s="50">
      <c r="A51" s="39" t="n"/>
      <c r="B51" s="38" t="n"/>
      <c r="C51" s="39" t="n"/>
      <c r="D51" s="39" t="n"/>
      <c r="E51" s="53" t="n"/>
      <c r="F51" s="53" t="n"/>
      <c r="G51" s="37">
        <f>IF(AND(D51&lt;&gt;"已完成",D51&lt;&gt;"",E51&lt;&gt;"",E51&lt;TODAY()),"⚠️延期","")</f>
        <v/>
      </c>
      <c r="H51" s="39" t="n"/>
      <c r="I51" s="38" t="n"/>
    </row>
    <row r="52" ht="16.5" customHeight="1" s="50">
      <c r="A52" s="39" t="n"/>
      <c r="B52" s="38" t="n"/>
      <c r="C52" s="39" t="n"/>
      <c r="D52" s="39" t="n"/>
      <c r="E52" s="53" t="n"/>
      <c r="F52" s="53" t="n"/>
      <c r="G52" s="37">
        <f>IF(AND(D52&lt;&gt;"已完成",D52&lt;&gt;"",E52&lt;&gt;"",E52&lt;TODAY()),"⚠️延期","")</f>
        <v/>
      </c>
      <c r="H52" s="39" t="n"/>
      <c r="I52" s="38" t="n"/>
    </row>
    <row r="53" ht="16.5" customHeight="1" s="50">
      <c r="A53" s="39" t="n"/>
      <c r="B53" s="38" t="n"/>
      <c r="C53" s="39" t="n"/>
      <c r="D53" s="39" t="n"/>
      <c r="E53" s="53" t="n"/>
      <c r="F53" s="53" t="n"/>
      <c r="G53" s="37">
        <f>IF(AND(D53&lt;&gt;"已完成",D53&lt;&gt;"",E53&lt;&gt;"",E53&lt;TODAY()),"⚠️延期","")</f>
        <v/>
      </c>
      <c r="H53" s="39" t="n"/>
      <c r="I53" s="38" t="n"/>
    </row>
    <row r="54" ht="16.5" customHeight="1" s="50">
      <c r="A54" s="39" t="n"/>
      <c r="B54" s="38" t="n"/>
      <c r="C54" s="39" t="n"/>
      <c r="D54" s="39" t="n"/>
      <c r="E54" s="53" t="n"/>
      <c r="F54" s="53" t="n"/>
      <c r="G54" s="37">
        <f>IF(AND(D54&lt;&gt;"已完成",D54&lt;&gt;"",E54&lt;&gt;"",E54&lt;TODAY()),"⚠️延期","")</f>
        <v/>
      </c>
      <c r="H54" s="39" t="n"/>
      <c r="I54" s="38" t="n"/>
    </row>
    <row r="55" ht="16.5" customHeight="1" s="50">
      <c r="A55" s="39" t="n"/>
      <c r="B55" s="38" t="n"/>
      <c r="C55" s="39" t="n"/>
      <c r="D55" s="39" t="n"/>
      <c r="E55" s="53" t="n"/>
      <c r="F55" s="53" t="n"/>
      <c r="G55" s="37">
        <f>IF(AND(D55&lt;&gt;"已完成",D55&lt;&gt;"",E55&lt;&gt;"",E55&lt;TODAY()),"⚠️延期","")</f>
        <v/>
      </c>
      <c r="H55" s="39" t="n"/>
      <c r="I55" s="38" t="n"/>
    </row>
    <row r="56" ht="16.5" customHeight="1" s="50">
      <c r="A56" s="39" t="n"/>
      <c r="B56" s="38" t="n"/>
      <c r="C56" s="39" t="n"/>
      <c r="D56" s="39" t="n"/>
      <c r="E56" s="53" t="n"/>
      <c r="F56" s="53" t="n"/>
      <c r="G56" s="37">
        <f>IF(AND(D56&lt;&gt;"已完成",D56&lt;&gt;"",E56&lt;&gt;"",E56&lt;TODAY()),"⚠️延期","")</f>
        <v/>
      </c>
      <c r="H56" s="39" t="n"/>
      <c r="I56" s="38" t="n"/>
    </row>
    <row r="57" ht="16.5" customHeight="1" s="50">
      <c r="A57" s="39" t="n"/>
      <c r="B57" s="38" t="n"/>
      <c r="C57" s="39" t="n"/>
      <c r="D57" s="39" t="n"/>
      <c r="E57" s="53" t="n"/>
      <c r="F57" s="53" t="n"/>
      <c r="G57" s="37">
        <f>IF(AND(D57&lt;&gt;"已完成",D57&lt;&gt;"",E57&lt;&gt;"",E57&lt;TODAY()),"⚠️延期","")</f>
        <v/>
      </c>
      <c r="H57" s="39" t="n"/>
      <c r="I57" s="38" t="n"/>
    </row>
    <row r="58" ht="16.5" customHeight="1" s="50">
      <c r="A58" s="39" t="n"/>
      <c r="B58" s="38" t="n"/>
      <c r="C58" s="39" t="n"/>
      <c r="D58" s="39" t="n"/>
      <c r="E58" s="53" t="n"/>
      <c r="F58" s="53" t="n"/>
      <c r="G58" s="37">
        <f>IF(AND(D58&lt;&gt;"已完成",D58&lt;&gt;"",E58&lt;&gt;"",E58&lt;TODAY()),"⚠️延期","")</f>
        <v/>
      </c>
      <c r="H58" s="39" t="n"/>
      <c r="I58" s="38" t="n"/>
    </row>
    <row r="59" ht="16.5" customHeight="1" s="50">
      <c r="A59" s="39" t="n"/>
      <c r="B59" s="38" t="n"/>
      <c r="C59" s="39" t="n"/>
      <c r="D59" s="39" t="n"/>
      <c r="E59" s="53" t="n"/>
      <c r="F59" s="53" t="n"/>
      <c r="G59" s="37">
        <f>IF(AND(D59&lt;&gt;"已完成",D59&lt;&gt;"",E59&lt;&gt;"",E59&lt;TODAY()),"⚠️延期","")</f>
        <v/>
      </c>
      <c r="H59" s="39" t="n"/>
      <c r="I59" s="38" t="n"/>
    </row>
    <row r="60" ht="16.5" customHeight="1" s="50">
      <c r="A60" s="39" t="n"/>
      <c r="B60" s="38" t="n"/>
      <c r="C60" s="39" t="n"/>
      <c r="D60" s="39" t="n"/>
      <c r="E60" s="53" t="n"/>
      <c r="F60" s="53" t="n"/>
      <c r="G60" s="37">
        <f>IF(AND(D60&lt;&gt;"已完成",D60&lt;&gt;"",E60&lt;&gt;"",E60&lt;TODAY()),"⚠️延期","")</f>
        <v/>
      </c>
      <c r="H60" s="39" t="n"/>
      <c r="I60" s="38" t="n"/>
    </row>
    <row r="61" ht="16.5" customHeight="1" s="50">
      <c r="A61" s="39" t="n"/>
      <c r="B61" s="38" t="n"/>
      <c r="C61" s="39" t="n"/>
      <c r="D61" s="39" t="n"/>
      <c r="E61" s="53" t="n"/>
      <c r="F61" s="53" t="n"/>
      <c r="G61" s="37">
        <f>IF(AND(D61&lt;&gt;"已完成",D61&lt;&gt;"",E61&lt;&gt;"",E61&lt;TODAY()),"⚠️延期","")</f>
        <v/>
      </c>
      <c r="H61" s="39" t="n"/>
      <c r="I61" s="38" t="n"/>
    </row>
    <row r="62" ht="16.5" customHeight="1" s="50">
      <c r="A62" s="39" t="n"/>
      <c r="B62" s="38" t="n"/>
      <c r="C62" s="39" t="n"/>
      <c r="D62" s="39" t="n"/>
      <c r="E62" s="53" t="n"/>
      <c r="F62" s="53" t="n"/>
      <c r="G62" s="37">
        <f>IF(AND(D62&lt;&gt;"已完成",D62&lt;&gt;"",E62&lt;&gt;"",E62&lt;TODAY()),"⚠️延期","")</f>
        <v/>
      </c>
      <c r="H62" s="39" t="n"/>
      <c r="I62" s="38" t="n"/>
    </row>
    <row r="63" ht="16.5" customHeight="1" s="50">
      <c r="A63" s="39" t="n"/>
      <c r="B63" s="38" t="n"/>
      <c r="C63" s="39" t="n"/>
      <c r="D63" s="39" t="n"/>
      <c r="E63" s="53" t="n"/>
      <c r="F63" s="53" t="n"/>
      <c r="G63" s="37">
        <f>IF(AND(D63&lt;&gt;"已完成",D63&lt;&gt;"",E63&lt;&gt;"",E63&lt;TODAY()),"⚠️延期","")</f>
        <v/>
      </c>
      <c r="H63" s="39" t="n"/>
      <c r="I63" s="38" t="n"/>
    </row>
    <row r="64" ht="16.5" customHeight="1" s="50">
      <c r="A64" s="39" t="n"/>
      <c r="B64" s="38" t="n"/>
      <c r="C64" s="39" t="n"/>
      <c r="D64" s="39" t="n"/>
      <c r="E64" s="53" t="n"/>
      <c r="F64" s="53" t="n"/>
      <c r="G64" s="37">
        <f>IF(AND(D64&lt;&gt;"已完成",D64&lt;&gt;"",E64&lt;&gt;"",E64&lt;TODAY()),"⚠️延期","")</f>
        <v/>
      </c>
      <c r="H64" s="39" t="n"/>
      <c r="I64" s="38" t="n"/>
    </row>
    <row r="65" ht="16.5" customHeight="1" s="50">
      <c r="A65" s="39" t="n"/>
      <c r="B65" s="38" t="n"/>
      <c r="C65" s="39" t="n"/>
      <c r="D65" s="39" t="n"/>
      <c r="E65" s="53" t="n"/>
      <c r="F65" s="53" t="n"/>
      <c r="G65" s="37">
        <f>IF(AND(D65&lt;&gt;"已完成",D65&lt;&gt;"",E65&lt;&gt;"",E65&lt;TODAY()),"⚠️延期","")</f>
        <v/>
      </c>
      <c r="H65" s="39" t="n"/>
      <c r="I65" s="38" t="n"/>
    </row>
    <row r="66" ht="16.5" customHeight="1" s="50">
      <c r="A66" s="39" t="n"/>
      <c r="B66" s="38" t="n"/>
      <c r="C66" s="39" t="n"/>
      <c r="D66" s="39" t="n"/>
      <c r="E66" s="53" t="n"/>
      <c r="F66" s="53" t="n"/>
      <c r="G66" s="37">
        <f>IF(AND(D66&lt;&gt;"已完成",D66&lt;&gt;"",E66&lt;&gt;"",E66&lt;TODAY()),"⚠️延期","")</f>
        <v/>
      </c>
      <c r="H66" s="39" t="n"/>
      <c r="I66" s="38" t="n"/>
    </row>
    <row r="67" ht="16.5" customHeight="1" s="50">
      <c r="A67" s="39" t="n"/>
      <c r="B67" s="38" t="n"/>
      <c r="C67" s="39" t="n"/>
      <c r="D67" s="39" t="n"/>
      <c r="E67" s="53" t="n"/>
      <c r="F67" s="53" t="n"/>
      <c r="G67" s="37">
        <f>IF(AND(D67&lt;&gt;"已完成",D67&lt;&gt;"",E67&lt;&gt;"",E67&lt;TODAY()),"⚠️延期","")</f>
        <v/>
      </c>
      <c r="H67" s="39" t="n"/>
      <c r="I67" s="38" t="n"/>
    </row>
    <row r="68" ht="16.5" customHeight="1" s="50">
      <c r="A68" s="39" t="n"/>
      <c r="B68" s="38" t="n"/>
      <c r="C68" s="39" t="n"/>
      <c r="D68" s="39" t="n"/>
      <c r="E68" s="53" t="n"/>
      <c r="F68" s="53" t="n"/>
      <c r="G68" s="37">
        <f>IF(AND(D68&lt;&gt;"已完成",D68&lt;&gt;"",E68&lt;&gt;"",E68&lt;TODAY()),"⚠️延期","")</f>
        <v/>
      </c>
      <c r="H68" s="39" t="n"/>
      <c r="I68" s="38" t="n"/>
    </row>
    <row r="69" ht="16.5" customHeight="1" s="50">
      <c r="A69" s="39" t="n"/>
      <c r="B69" s="38" t="n"/>
      <c r="C69" s="39" t="n"/>
      <c r="D69" s="39" t="n"/>
      <c r="E69" s="53" t="n"/>
      <c r="F69" s="53" t="n"/>
      <c r="G69" s="37">
        <f>IF(AND(D69&lt;&gt;"已完成",D69&lt;&gt;"",E69&lt;&gt;"",E69&lt;TODAY()),"⚠️延期","")</f>
        <v/>
      </c>
      <c r="H69" s="39" t="n"/>
      <c r="I69" s="38" t="n"/>
    </row>
    <row r="70" ht="16.5" customHeight="1" s="50">
      <c r="A70" s="39" t="n"/>
      <c r="B70" s="38" t="n"/>
      <c r="C70" s="39" t="n"/>
      <c r="D70" s="39" t="n"/>
      <c r="E70" s="53" t="n"/>
      <c r="F70" s="53" t="n"/>
      <c r="G70" s="37">
        <f>IF(AND(D70&lt;&gt;"已完成",D70&lt;&gt;"",E70&lt;&gt;"",E70&lt;TODAY()),"⚠️延期","")</f>
        <v/>
      </c>
      <c r="H70" s="39" t="n"/>
      <c r="I70" s="38" t="n"/>
    </row>
    <row r="71" ht="16.5" customHeight="1" s="50">
      <c r="A71" s="39" t="n"/>
      <c r="B71" s="38" t="n"/>
      <c r="C71" s="39" t="n"/>
      <c r="D71" s="39" t="n"/>
      <c r="E71" s="53" t="n"/>
      <c r="F71" s="53" t="n"/>
      <c r="G71" s="37">
        <f>IF(AND(D71&lt;&gt;"已完成",D71&lt;&gt;"",E71&lt;&gt;"",E71&lt;TODAY()),"⚠️延期","")</f>
        <v/>
      </c>
      <c r="H71" s="39" t="n"/>
      <c r="I71" s="38" t="n"/>
    </row>
    <row r="72" ht="16.5" customHeight="1" s="50">
      <c r="A72" s="39" t="n"/>
      <c r="B72" s="38" t="n"/>
      <c r="C72" s="39" t="n"/>
      <c r="D72" s="39" t="n"/>
      <c r="E72" s="53" t="n"/>
      <c r="F72" s="53" t="n"/>
      <c r="G72" s="37">
        <f>IF(AND(D72&lt;&gt;"已完成",D72&lt;&gt;"",E72&lt;&gt;"",E72&lt;TODAY()),"⚠️延期","")</f>
        <v/>
      </c>
      <c r="H72" s="39" t="n"/>
      <c r="I72" s="38" t="n"/>
    </row>
    <row r="73" ht="16.5" customHeight="1" s="50">
      <c r="A73" s="39" t="n"/>
      <c r="B73" s="38" t="n"/>
      <c r="C73" s="39" t="n"/>
      <c r="D73" s="39" t="n"/>
      <c r="E73" s="53" t="n"/>
      <c r="F73" s="53" t="n"/>
      <c r="G73" s="37">
        <f>IF(AND(D73&lt;&gt;"已完成",D73&lt;&gt;"",E73&lt;&gt;"",E73&lt;TODAY()),"⚠️延期","")</f>
        <v/>
      </c>
      <c r="H73" s="39" t="n"/>
      <c r="I73" s="38" t="n"/>
    </row>
    <row r="74" ht="16.5" customHeight="1" s="50">
      <c r="A74" s="39" t="n"/>
      <c r="B74" s="38" t="n"/>
      <c r="C74" s="39" t="n"/>
      <c r="D74" s="39" t="n"/>
      <c r="E74" s="53" t="n"/>
      <c r="F74" s="53" t="n"/>
      <c r="G74" s="37">
        <f>IF(AND(D74&lt;&gt;"已完成",D74&lt;&gt;"",E74&lt;&gt;"",E74&lt;TODAY()),"⚠️延期","")</f>
        <v/>
      </c>
      <c r="H74" s="39" t="n"/>
      <c r="I74" s="38" t="n"/>
    </row>
    <row r="75" ht="16.5" customHeight="1" s="50">
      <c r="A75" s="39" t="n"/>
      <c r="B75" s="38" t="n"/>
      <c r="C75" s="39" t="n"/>
      <c r="D75" s="39" t="n"/>
      <c r="E75" s="53" t="n"/>
      <c r="F75" s="53" t="n"/>
      <c r="G75" s="37">
        <f>IF(AND(D75&lt;&gt;"已完成",D75&lt;&gt;"",E75&lt;&gt;"",E75&lt;TODAY()),"⚠️延期","")</f>
        <v/>
      </c>
      <c r="H75" s="39" t="n"/>
      <c r="I75" s="38" t="n"/>
    </row>
    <row r="76" ht="16.5" customHeight="1" s="50">
      <c r="A76" s="39" t="n"/>
      <c r="B76" s="38" t="n"/>
      <c r="C76" s="39" t="n"/>
      <c r="D76" s="39" t="n"/>
      <c r="E76" s="53" t="n"/>
      <c r="F76" s="53" t="n"/>
      <c r="G76" s="37">
        <f>IF(AND(D76&lt;&gt;"已完成",D76&lt;&gt;"",E76&lt;&gt;"",E76&lt;TODAY()),"⚠️延期","")</f>
        <v/>
      </c>
      <c r="H76" s="39" t="n"/>
      <c r="I76" s="38" t="n"/>
    </row>
    <row r="77" ht="16.5" customHeight="1" s="50">
      <c r="A77" s="39" t="n"/>
      <c r="B77" s="38" t="n"/>
      <c r="C77" s="39" t="n"/>
      <c r="D77" s="39" t="n"/>
      <c r="E77" s="53" t="n"/>
      <c r="F77" s="53" t="n"/>
      <c r="G77" s="37">
        <f>IF(AND(D77&lt;&gt;"已完成",D77&lt;&gt;"",E77&lt;&gt;"",E77&lt;TODAY()),"⚠️延期","")</f>
        <v/>
      </c>
      <c r="H77" s="39" t="n"/>
      <c r="I77" s="38" t="n"/>
    </row>
    <row r="78" ht="16.5" customHeight="1" s="50">
      <c r="A78" s="39" t="n"/>
      <c r="B78" s="38" t="n"/>
      <c r="C78" s="39" t="n"/>
      <c r="D78" s="39" t="n"/>
      <c r="E78" s="53" t="n"/>
      <c r="F78" s="53" t="n"/>
      <c r="G78" s="37">
        <f>IF(AND(D78&lt;&gt;"已完成",D78&lt;&gt;"",E78&lt;&gt;"",E78&lt;TODAY()),"⚠️延期","")</f>
        <v/>
      </c>
      <c r="H78" s="39" t="n"/>
      <c r="I78" s="38" t="n"/>
    </row>
    <row r="79" ht="16.5" customHeight="1" s="50">
      <c r="A79" s="39" t="n"/>
      <c r="B79" s="38" t="n"/>
      <c r="C79" s="39" t="n"/>
      <c r="D79" s="39" t="n"/>
      <c r="E79" s="53" t="n"/>
      <c r="F79" s="53" t="n"/>
      <c r="G79" s="37">
        <f>IF(AND(D79&lt;&gt;"已完成",D79&lt;&gt;"",E79&lt;&gt;"",E79&lt;TODAY()),"⚠️延期","")</f>
        <v/>
      </c>
      <c r="H79" s="39" t="n"/>
      <c r="I79" s="38" t="n"/>
    </row>
    <row r="80" ht="16.5" customHeight="1" s="50">
      <c r="A80" s="39" t="n"/>
      <c r="B80" s="38" t="n"/>
      <c r="C80" s="39" t="n"/>
      <c r="D80" s="39" t="n"/>
      <c r="E80" s="53" t="n"/>
      <c r="F80" s="53" t="n"/>
      <c r="G80" s="37">
        <f>IF(AND(D80&lt;&gt;"已完成",D80&lt;&gt;"",E80&lt;&gt;"",E80&lt;TODAY()),"⚠️延期","")</f>
        <v/>
      </c>
      <c r="H80" s="39" t="n"/>
      <c r="I80" s="38" t="n"/>
    </row>
    <row r="81" ht="16.5" customHeight="1" s="50">
      <c r="A81" s="39" t="n"/>
      <c r="B81" s="38" t="n"/>
      <c r="C81" s="39" t="n"/>
      <c r="D81" s="39" t="n"/>
      <c r="E81" s="53" t="n"/>
      <c r="F81" s="53" t="n"/>
      <c r="G81" s="37">
        <f>IF(AND(D81&lt;&gt;"已完成",D81&lt;&gt;"",E81&lt;&gt;"",E81&lt;TODAY()),"⚠️延期","")</f>
        <v/>
      </c>
      <c r="H81" s="39" t="n"/>
      <c r="I81" s="38" t="n"/>
    </row>
    <row r="82" ht="16.5" customHeight="1" s="50">
      <c r="A82" s="39" t="n"/>
      <c r="B82" s="38" t="n"/>
      <c r="C82" s="39" t="n"/>
      <c r="D82" s="39" t="n"/>
      <c r="E82" s="53" t="n"/>
      <c r="F82" s="53" t="n"/>
      <c r="G82" s="37">
        <f>IF(AND(D82&lt;&gt;"已完成",D82&lt;&gt;"",E82&lt;&gt;"",E82&lt;TODAY()),"⚠️延期","")</f>
        <v/>
      </c>
      <c r="H82" s="39" t="n"/>
      <c r="I82" s="38" t="n"/>
    </row>
    <row r="83" ht="16.5" customHeight="1" s="50">
      <c r="A83" s="39" t="n"/>
      <c r="B83" s="38" t="n"/>
      <c r="C83" s="39" t="n"/>
      <c r="D83" s="39" t="n"/>
      <c r="E83" s="53" t="n"/>
      <c r="F83" s="53" t="n"/>
      <c r="G83" s="37">
        <f>IF(AND(D83&lt;&gt;"已完成",D83&lt;&gt;"",E83&lt;&gt;"",E83&lt;TODAY()),"⚠️延期","")</f>
        <v/>
      </c>
      <c r="H83" s="39" t="n"/>
      <c r="I83" s="38" t="n"/>
    </row>
    <row r="84" ht="16.5" customHeight="1" s="50">
      <c r="A84" s="39" t="n"/>
      <c r="B84" s="38" t="n"/>
      <c r="C84" s="39" t="n"/>
      <c r="D84" s="39" t="n"/>
      <c r="E84" s="53" t="n"/>
      <c r="F84" s="53" t="n"/>
      <c r="G84" s="37">
        <f>IF(AND(D84&lt;&gt;"已完成",D84&lt;&gt;"",E84&lt;&gt;"",E84&lt;TODAY()),"⚠️延期","")</f>
        <v/>
      </c>
      <c r="H84" s="39" t="n"/>
      <c r="I84" s="38" t="n"/>
    </row>
    <row r="85" ht="16.5" customHeight="1" s="50">
      <c r="A85" s="39" t="n"/>
      <c r="B85" s="38" t="n"/>
      <c r="C85" s="39" t="n"/>
      <c r="D85" s="39" t="n"/>
      <c r="E85" s="53" t="n"/>
      <c r="F85" s="53" t="n"/>
      <c r="G85" s="37">
        <f>IF(AND(D85&lt;&gt;"已完成",D85&lt;&gt;"",E85&lt;&gt;"",E85&lt;TODAY()),"⚠️延期","")</f>
        <v/>
      </c>
      <c r="H85" s="39" t="n"/>
      <c r="I85" s="38" t="n"/>
    </row>
    <row r="86" ht="16.5" customHeight="1" s="50">
      <c r="A86" s="39" t="n"/>
      <c r="B86" s="38" t="n"/>
      <c r="C86" s="39" t="n"/>
      <c r="D86" s="39" t="n"/>
      <c r="E86" s="53" t="n"/>
      <c r="F86" s="53" t="n"/>
      <c r="G86" s="37">
        <f>IF(AND(D86&lt;&gt;"已完成",D86&lt;&gt;"",E86&lt;&gt;"",E86&lt;TODAY()),"⚠️延期","")</f>
        <v/>
      </c>
      <c r="H86" s="39" t="n"/>
      <c r="I86" s="38" t="n"/>
    </row>
    <row r="87" ht="16.5" customHeight="1" s="50">
      <c r="A87" s="39" t="n"/>
      <c r="B87" s="38" t="n"/>
      <c r="C87" s="39" t="n"/>
      <c r="D87" s="39" t="n"/>
      <c r="E87" s="53" t="n"/>
      <c r="F87" s="53" t="n"/>
      <c r="G87" s="37">
        <f>IF(AND(D87&lt;&gt;"已完成",D87&lt;&gt;"",E87&lt;&gt;"",E87&lt;TODAY()),"⚠️延期","")</f>
        <v/>
      </c>
      <c r="H87" s="39" t="n"/>
      <c r="I87" s="38" t="n"/>
    </row>
    <row r="88" ht="16.5" customHeight="1" s="50">
      <c r="A88" s="39" t="n"/>
      <c r="B88" s="38" t="n"/>
      <c r="C88" s="39" t="n"/>
      <c r="D88" s="39" t="n"/>
      <c r="E88" s="53" t="n"/>
      <c r="F88" s="53" t="n"/>
      <c r="G88" s="37">
        <f>IF(AND(D88&lt;&gt;"已完成",D88&lt;&gt;"",E88&lt;&gt;"",E88&lt;TODAY()),"⚠️延期","")</f>
        <v/>
      </c>
      <c r="H88" s="39" t="n"/>
      <c r="I88" s="38" t="n"/>
    </row>
    <row r="89" ht="16.5" customHeight="1" s="50">
      <c r="A89" s="39" t="n"/>
      <c r="B89" s="38" t="n"/>
      <c r="C89" s="39" t="n"/>
      <c r="D89" s="39" t="n"/>
      <c r="E89" s="53" t="n"/>
      <c r="F89" s="53" t="n"/>
      <c r="G89" s="37">
        <f>IF(AND(D89&lt;&gt;"已完成",D89&lt;&gt;"",E89&lt;&gt;"",E89&lt;TODAY()),"⚠️延期","")</f>
        <v/>
      </c>
      <c r="H89" s="39" t="n"/>
      <c r="I89" s="38" t="n"/>
    </row>
    <row r="90" ht="16.5" customHeight="1" s="50">
      <c r="A90" s="39" t="n"/>
      <c r="B90" s="38" t="n"/>
      <c r="C90" s="39" t="n"/>
      <c r="D90" s="39" t="n"/>
      <c r="E90" s="53" t="n"/>
      <c r="F90" s="53" t="n"/>
      <c r="G90" s="37">
        <f>IF(AND(D90&lt;&gt;"已完成",D90&lt;&gt;"",E90&lt;&gt;"",E90&lt;TODAY()),"⚠️延期","")</f>
        <v/>
      </c>
      <c r="H90" s="39" t="n"/>
      <c r="I90" s="38" t="n"/>
    </row>
    <row r="91" ht="16.5" customHeight="1" s="50">
      <c r="A91" s="39" t="n"/>
      <c r="B91" s="38" t="n"/>
      <c r="C91" s="39" t="n"/>
      <c r="D91" s="39" t="n"/>
      <c r="E91" s="53" t="n"/>
      <c r="F91" s="53" t="n"/>
      <c r="G91" s="37">
        <f>IF(AND(D91&lt;&gt;"已完成",D91&lt;&gt;"",E91&lt;&gt;"",E91&lt;TODAY()),"⚠️延期","")</f>
        <v/>
      </c>
      <c r="H91" s="39" t="n"/>
      <c r="I91" s="38" t="n"/>
    </row>
    <row r="92" ht="16.5" customHeight="1" s="50">
      <c r="A92" s="39" t="n"/>
      <c r="B92" s="38" t="n"/>
      <c r="C92" s="39" t="n"/>
      <c r="D92" s="39" t="n"/>
      <c r="E92" s="53" t="n"/>
      <c r="F92" s="53" t="n"/>
      <c r="G92" s="37">
        <f>IF(AND(D92&lt;&gt;"已完成",D92&lt;&gt;"",E92&lt;&gt;"",E92&lt;TODAY()),"⚠️延期","")</f>
        <v/>
      </c>
      <c r="H92" s="39" t="n"/>
      <c r="I92" s="38" t="n"/>
    </row>
    <row r="93" ht="16.5" customHeight="1" s="50">
      <c r="A93" s="39" t="n"/>
      <c r="B93" s="38" t="n"/>
      <c r="C93" s="39" t="n"/>
      <c r="D93" s="39" t="n"/>
      <c r="E93" s="53" t="n"/>
      <c r="F93" s="53" t="n"/>
      <c r="G93" s="37">
        <f>IF(AND(D93&lt;&gt;"已完成",D93&lt;&gt;"",E93&lt;&gt;"",E93&lt;TODAY()),"⚠️延期","")</f>
        <v/>
      </c>
      <c r="H93" s="39" t="n"/>
      <c r="I93" s="38" t="n"/>
    </row>
    <row r="94" ht="16.5" customHeight="1" s="50">
      <c r="A94" s="39" t="n"/>
      <c r="B94" s="38" t="n"/>
      <c r="C94" s="39" t="n"/>
      <c r="D94" s="39" t="n"/>
      <c r="E94" s="53" t="n"/>
      <c r="F94" s="53" t="n"/>
      <c r="G94" s="37">
        <f>IF(AND(D94&lt;&gt;"已完成",D94&lt;&gt;"",E94&lt;&gt;"",E94&lt;TODAY()),"⚠️延期","")</f>
        <v/>
      </c>
      <c r="H94" s="39" t="n"/>
      <c r="I94" s="38" t="n"/>
    </row>
    <row r="95" ht="16.5" customHeight="1" s="50">
      <c r="A95" s="39" t="n"/>
      <c r="B95" s="38" t="n"/>
      <c r="C95" s="39" t="n"/>
      <c r="D95" s="39" t="n"/>
      <c r="E95" s="53" t="n"/>
      <c r="F95" s="53" t="n"/>
      <c r="G95" s="37">
        <f>IF(AND(D95&lt;&gt;"已完成",D95&lt;&gt;"",E95&lt;&gt;"",E95&lt;TODAY()),"⚠️延期","")</f>
        <v/>
      </c>
      <c r="H95" s="39" t="n"/>
      <c r="I95" s="38" t="n"/>
    </row>
    <row r="96" ht="16.5" customHeight="1" s="50">
      <c r="A96" s="39" t="n"/>
      <c r="B96" s="38" t="n"/>
      <c r="C96" s="39" t="n"/>
      <c r="D96" s="39" t="n"/>
      <c r="E96" s="53" t="n"/>
      <c r="F96" s="53" t="n"/>
      <c r="G96" s="37">
        <f>IF(AND(D96&lt;&gt;"已完成",D96&lt;&gt;"",E96&lt;&gt;"",E96&lt;TODAY()),"⚠️延期","")</f>
        <v/>
      </c>
      <c r="H96" s="39" t="n"/>
      <c r="I96" s="38" t="n"/>
    </row>
    <row r="97" ht="16.5" customHeight="1" s="50">
      <c r="A97" s="39" t="n"/>
      <c r="B97" s="38" t="n"/>
      <c r="C97" s="39" t="n"/>
      <c r="D97" s="39" t="n"/>
      <c r="E97" s="53" t="n"/>
      <c r="F97" s="53" t="n"/>
      <c r="G97" s="37">
        <f>IF(AND(D97&lt;&gt;"已完成",D97&lt;&gt;"",E97&lt;&gt;"",E97&lt;TODAY()),"⚠️延期","")</f>
        <v/>
      </c>
      <c r="H97" s="39" t="n"/>
      <c r="I97" s="38" t="n"/>
    </row>
    <row r="98" ht="16.5" customHeight="1" s="50">
      <c r="A98" s="39" t="n"/>
      <c r="B98" s="38" t="n"/>
      <c r="C98" s="39" t="n"/>
      <c r="D98" s="39" t="n"/>
      <c r="E98" s="53" t="n"/>
      <c r="F98" s="53" t="n"/>
      <c r="G98" s="37">
        <f>IF(AND(D98&lt;&gt;"已完成",D98&lt;&gt;"",E98&lt;&gt;"",E98&lt;TODAY()),"⚠️延期","")</f>
        <v/>
      </c>
      <c r="H98" s="39" t="n"/>
      <c r="I98" s="38" t="n"/>
    </row>
    <row r="99" ht="16.5" customHeight="1" s="50">
      <c r="A99" s="39" t="n"/>
      <c r="B99" s="38" t="n"/>
      <c r="C99" s="39" t="n"/>
      <c r="D99" s="39" t="n"/>
      <c r="E99" s="53" t="n"/>
      <c r="F99" s="53" t="n"/>
      <c r="G99" s="37">
        <f>IF(AND(D99&lt;&gt;"已完成",D99&lt;&gt;"",E99&lt;&gt;"",E99&lt;TODAY()),"⚠️延期","")</f>
        <v/>
      </c>
      <c r="H99" s="39" t="n"/>
      <c r="I99" s="38" t="n"/>
    </row>
    <row r="100" ht="16.5" customHeight="1" s="50">
      <c r="A100" s="39" t="n"/>
      <c r="B100" s="38" t="n"/>
      <c r="C100" s="39" t="n"/>
      <c r="D100" s="39" t="n"/>
      <c r="E100" s="53" t="n"/>
      <c r="F100" s="53" t="n"/>
      <c r="G100" s="37">
        <f>IF(AND(D100&lt;&gt;"已完成",D100&lt;&gt;"",E100&lt;&gt;"",E100&lt;TODAY()),"⚠️延期","")</f>
        <v/>
      </c>
      <c r="H100" s="39" t="n"/>
      <c r="I100" s="38" t="n"/>
    </row>
    <row r="101" ht="16.5" customHeight="1" s="50">
      <c r="A101" s="39" t="n"/>
      <c r="B101" s="38" t="n"/>
      <c r="C101" s="39" t="n"/>
      <c r="D101" s="39" t="n"/>
      <c r="E101" s="53" t="n"/>
      <c r="F101" s="53" t="n"/>
      <c r="G101" s="37">
        <f>IF(AND(D101&lt;&gt;"已完成",D101&lt;&gt;"",E101&lt;&gt;"",E101&lt;TODAY()),"⚠️延期","")</f>
        <v/>
      </c>
      <c r="H101" s="39" t="n"/>
      <c r="I101" s="38" t="n"/>
    </row>
    <row r="102" ht="16.5" customHeight="1" s="50">
      <c r="A102" s="39" t="n"/>
      <c r="B102" s="38" t="n"/>
      <c r="C102" s="39" t="n"/>
      <c r="D102" s="39" t="n"/>
      <c r="E102" s="53" t="n"/>
      <c r="F102" s="53" t="n"/>
      <c r="G102" s="37">
        <f>IF(AND(D102&lt;&gt;"已完成",D102&lt;&gt;"",E102&lt;&gt;"",E102&lt;TODAY()),"⚠️延期","")</f>
        <v/>
      </c>
      <c r="H102" s="39" t="n"/>
      <c r="I102" s="38" t="n"/>
    </row>
    <row r="103" ht="16.5" customHeight="1" s="50">
      <c r="A103" s="39" t="n"/>
      <c r="B103" s="38" t="n"/>
      <c r="C103" s="39" t="n"/>
      <c r="D103" s="39" t="n"/>
      <c r="E103" s="53" t="n"/>
      <c r="F103" s="53" t="n"/>
      <c r="G103" s="37">
        <f>IF(AND(D103&lt;&gt;"已完成",D103&lt;&gt;"",E103&lt;&gt;"",E103&lt;TODAY()),"⚠️延期","")</f>
        <v/>
      </c>
      <c r="H103" s="39" t="n"/>
      <c r="I103" s="38" t="n"/>
    </row>
    <row r="104" ht="16.5" customHeight="1" s="50">
      <c r="A104" s="39" t="n"/>
      <c r="B104" s="38" t="n"/>
      <c r="C104" s="39" t="n"/>
      <c r="D104" s="39" t="n"/>
      <c r="E104" s="53" t="n"/>
      <c r="F104" s="53" t="n"/>
      <c r="G104" s="37">
        <f>IF(AND(D104&lt;&gt;"已完成",D104&lt;&gt;"",E104&lt;&gt;"",E104&lt;TODAY()),"⚠️延期","")</f>
        <v/>
      </c>
      <c r="H104" s="39" t="n"/>
      <c r="I104" s="38" t="n"/>
    </row>
    <row r="105" ht="16.5" customHeight="1" s="50">
      <c r="A105" s="39" t="n"/>
      <c r="B105" s="38" t="n"/>
      <c r="C105" s="39" t="n"/>
      <c r="D105" s="39" t="n"/>
      <c r="E105" s="53" t="n"/>
      <c r="F105" s="53" t="n"/>
      <c r="G105" s="37">
        <f>IF(AND(D105&lt;&gt;"已完成",D105&lt;&gt;"",E105&lt;&gt;"",E105&lt;TODAY()),"⚠️延期","")</f>
        <v/>
      </c>
      <c r="H105" s="39" t="n"/>
      <c r="I105" s="38" t="n"/>
    </row>
    <row r="106" ht="16.5" customHeight="1" s="50">
      <c r="A106" s="39" t="n"/>
      <c r="B106" s="38" t="n"/>
      <c r="C106" s="39" t="n"/>
      <c r="D106" s="39" t="n"/>
      <c r="E106" s="53" t="n"/>
      <c r="F106" s="53" t="n"/>
      <c r="G106" s="37">
        <f>IF(AND(D106&lt;&gt;"已完成",D106&lt;&gt;"",E106&lt;&gt;"",E106&lt;TODAY()),"⚠️延期","")</f>
        <v/>
      </c>
      <c r="H106" s="39" t="n"/>
      <c r="I106" s="38" t="n"/>
    </row>
    <row r="107" ht="16.5" customHeight="1" s="50">
      <c r="A107" s="39" t="n"/>
      <c r="B107" s="38" t="n"/>
      <c r="C107" s="39" t="n"/>
      <c r="D107" s="39" t="n"/>
      <c r="E107" s="53" t="n"/>
      <c r="F107" s="53" t="n"/>
      <c r="G107" s="37">
        <f>IF(AND(D107&lt;&gt;"已完成",D107&lt;&gt;"",E107&lt;&gt;"",E107&lt;TODAY()),"⚠️延期","")</f>
        <v/>
      </c>
      <c r="H107" s="39" t="n"/>
      <c r="I107" s="38" t="n"/>
    </row>
    <row r="108" ht="16.5" customHeight="1" s="50">
      <c r="A108" s="39" t="n"/>
      <c r="B108" s="38" t="n"/>
      <c r="C108" s="39" t="n"/>
      <c r="D108" s="39" t="n"/>
      <c r="E108" s="53" t="n"/>
      <c r="F108" s="53" t="n"/>
      <c r="G108" s="37">
        <f>IF(AND(D108&lt;&gt;"已完成",D108&lt;&gt;"",E108&lt;&gt;"",E108&lt;TODAY()),"⚠️延期","")</f>
        <v/>
      </c>
      <c r="H108" s="39" t="n"/>
      <c r="I108" s="38" t="n"/>
    </row>
    <row r="109" ht="16.5" customHeight="1" s="50">
      <c r="A109" s="39" t="n"/>
      <c r="B109" s="38" t="n"/>
      <c r="C109" s="39" t="n"/>
      <c r="D109" s="39" t="n"/>
      <c r="E109" s="53" t="n"/>
      <c r="F109" s="53" t="n"/>
      <c r="G109" s="37">
        <f>IF(AND(D109&lt;&gt;"已完成",D109&lt;&gt;"",E109&lt;&gt;"",E109&lt;TODAY()),"⚠️延期","")</f>
        <v/>
      </c>
      <c r="H109" s="39" t="n"/>
      <c r="I109" s="38" t="n"/>
    </row>
    <row r="110" ht="16.5" customHeight="1" s="50">
      <c r="A110" s="39" t="n"/>
      <c r="B110" s="38" t="n"/>
      <c r="C110" s="39" t="n"/>
      <c r="D110" s="39" t="n"/>
      <c r="E110" s="53" t="n"/>
      <c r="F110" s="53" t="n"/>
      <c r="G110" s="37">
        <f>IF(AND(D110&lt;&gt;"已完成",D110&lt;&gt;"",E110&lt;&gt;"",E110&lt;TODAY()),"⚠️延期","")</f>
        <v/>
      </c>
      <c r="H110" s="39" t="n"/>
      <c r="I110" s="38" t="n"/>
    </row>
    <row r="111" ht="16.5" customHeight="1" s="50">
      <c r="A111" s="39" t="n"/>
      <c r="B111" s="38" t="n"/>
      <c r="C111" s="39" t="n"/>
      <c r="D111" s="39" t="n"/>
      <c r="E111" s="53" t="n"/>
      <c r="F111" s="53" t="n"/>
      <c r="G111" s="37">
        <f>IF(AND(D111&lt;&gt;"已完成",D111&lt;&gt;"",E111&lt;&gt;"",E111&lt;TODAY()),"⚠️延期","")</f>
        <v/>
      </c>
      <c r="H111" s="39" t="n"/>
      <c r="I111" s="38" t="n"/>
    </row>
    <row r="112" ht="16.5" customHeight="1" s="50">
      <c r="A112" s="39" t="n"/>
      <c r="B112" s="38" t="n"/>
      <c r="C112" s="39" t="n"/>
      <c r="D112" s="39" t="n"/>
      <c r="E112" s="53" t="n"/>
      <c r="F112" s="53" t="n"/>
      <c r="G112" s="37">
        <f>IF(AND(D112&lt;&gt;"已完成",D112&lt;&gt;"",E112&lt;&gt;"",E112&lt;TODAY()),"⚠️延期","")</f>
        <v/>
      </c>
      <c r="H112" s="39" t="n"/>
      <c r="I112" s="38" t="n"/>
    </row>
    <row r="113" ht="16.5" customHeight="1" s="50">
      <c r="A113" s="39" t="n"/>
      <c r="B113" s="38" t="n"/>
      <c r="C113" s="39" t="n"/>
      <c r="D113" s="39" t="n"/>
      <c r="E113" s="53" t="n"/>
      <c r="F113" s="53" t="n"/>
      <c r="G113" s="37">
        <f>IF(AND(D113&lt;&gt;"已完成",D113&lt;&gt;"",E113&lt;&gt;"",E113&lt;TODAY()),"⚠️延期","")</f>
        <v/>
      </c>
      <c r="H113" s="39" t="n"/>
      <c r="I113" s="38" t="n"/>
    </row>
    <row r="114" ht="16.5" customHeight="1" s="50">
      <c r="A114" s="39" t="n"/>
      <c r="B114" s="38" t="n"/>
      <c r="C114" s="39" t="n"/>
      <c r="D114" s="39" t="n"/>
      <c r="E114" s="53" t="n"/>
      <c r="F114" s="53" t="n"/>
      <c r="G114" s="37">
        <f>IF(AND(D114&lt;&gt;"已完成",D114&lt;&gt;"",E114&lt;&gt;"",E114&lt;TODAY()),"⚠️延期","")</f>
        <v/>
      </c>
      <c r="H114" s="39" t="n"/>
      <c r="I114" s="38" t="n"/>
    </row>
    <row r="115" ht="16.5" customHeight="1" s="50">
      <c r="A115" s="39" t="n"/>
      <c r="B115" s="38" t="n"/>
      <c r="C115" s="39" t="n"/>
      <c r="D115" s="39" t="n"/>
      <c r="E115" s="53" t="n"/>
      <c r="F115" s="53" t="n"/>
      <c r="G115" s="37">
        <f>IF(AND(D115&lt;&gt;"已完成",D115&lt;&gt;"",E115&lt;&gt;"",E115&lt;TODAY()),"⚠️延期","")</f>
        <v/>
      </c>
      <c r="H115" s="39" t="n"/>
      <c r="I115" s="38" t="n"/>
    </row>
    <row r="116" ht="16.5" customHeight="1" s="50">
      <c r="A116" s="39" t="n"/>
      <c r="B116" s="38" t="n"/>
      <c r="C116" s="39" t="n"/>
      <c r="D116" s="39" t="n"/>
      <c r="E116" s="53" t="n"/>
      <c r="F116" s="53" t="n"/>
      <c r="G116" s="37">
        <f>IF(AND(D116&lt;&gt;"已完成",D116&lt;&gt;"",E116&lt;&gt;"",E116&lt;TODAY()),"⚠️延期","")</f>
        <v/>
      </c>
      <c r="H116" s="39" t="n"/>
      <c r="I116" s="38" t="n"/>
    </row>
    <row r="117" ht="16.5" customHeight="1" s="50">
      <c r="A117" s="39" t="n"/>
      <c r="B117" s="38" t="n"/>
      <c r="C117" s="39" t="n"/>
      <c r="D117" s="39" t="n"/>
      <c r="E117" s="53" t="n"/>
      <c r="F117" s="53" t="n"/>
      <c r="G117" s="37">
        <f>IF(AND(D117&lt;&gt;"已完成",D117&lt;&gt;"",E117&lt;&gt;"",E117&lt;TODAY()),"⚠️延期","")</f>
        <v/>
      </c>
      <c r="H117" s="39" t="n"/>
      <c r="I117" s="38" t="n"/>
    </row>
    <row r="118" ht="16.5" customHeight="1" s="50">
      <c r="A118" s="39" t="n"/>
      <c r="B118" s="38" t="n"/>
      <c r="C118" s="39" t="n"/>
      <c r="D118" s="39" t="n"/>
      <c r="E118" s="53" t="n"/>
      <c r="F118" s="53" t="n"/>
      <c r="G118" s="37">
        <f>IF(AND(D118&lt;&gt;"已完成",D118&lt;&gt;"",E118&lt;&gt;"",E118&lt;TODAY()),"⚠️延期","")</f>
        <v/>
      </c>
      <c r="H118" s="39" t="n"/>
      <c r="I118" s="38" t="n"/>
    </row>
    <row r="119" ht="16.5" customHeight="1" s="50">
      <c r="A119" s="39" t="n"/>
      <c r="B119" s="38" t="n"/>
      <c r="C119" s="39" t="n"/>
      <c r="D119" s="39" t="n"/>
      <c r="E119" s="53" t="n"/>
      <c r="F119" s="53" t="n"/>
      <c r="G119" s="37">
        <f>IF(AND(D119&lt;&gt;"已完成",D119&lt;&gt;"",E119&lt;&gt;"",E119&lt;TODAY()),"⚠️延期","")</f>
        <v/>
      </c>
      <c r="H119" s="39" t="n"/>
      <c r="I119" s="38" t="n"/>
    </row>
    <row r="120" ht="16.5" customHeight="1" s="50">
      <c r="A120" s="39" t="n"/>
      <c r="B120" s="38" t="n"/>
      <c r="C120" s="39" t="n"/>
      <c r="D120" s="39" t="n"/>
      <c r="E120" s="53" t="n"/>
      <c r="F120" s="53" t="n"/>
      <c r="G120" s="37">
        <f>IF(AND(D120&lt;&gt;"已完成",D120&lt;&gt;"",E120&lt;&gt;"",E120&lt;TODAY()),"⚠️延期","")</f>
        <v/>
      </c>
      <c r="H120" s="39" t="n"/>
      <c r="I120" s="38" t="n"/>
    </row>
    <row r="121" ht="16.5" customHeight="1" s="50">
      <c r="A121" s="39" t="n"/>
      <c r="B121" s="38" t="n"/>
      <c r="C121" s="39" t="n"/>
      <c r="D121" s="39" t="n"/>
      <c r="E121" s="53" t="n"/>
      <c r="F121" s="53" t="n"/>
      <c r="G121" s="37">
        <f>IF(AND(D121&lt;&gt;"已完成",D121&lt;&gt;"",E121&lt;&gt;"",E121&lt;TODAY()),"⚠️延期","")</f>
        <v/>
      </c>
      <c r="H121" s="39" t="n"/>
      <c r="I121" s="38" t="n"/>
    </row>
    <row r="122" ht="16.5" customHeight="1" s="50">
      <c r="A122" s="39" t="n"/>
      <c r="B122" s="38" t="n"/>
      <c r="C122" s="39" t="n"/>
      <c r="D122" s="39" t="n"/>
      <c r="E122" s="53" t="n"/>
      <c r="F122" s="53" t="n"/>
      <c r="G122" s="37">
        <f>IF(AND(D122&lt;&gt;"已完成",D122&lt;&gt;"",E122&lt;&gt;"",E122&lt;TODAY()),"⚠️延期","")</f>
        <v/>
      </c>
      <c r="H122" s="39" t="n"/>
      <c r="I122" s="38" t="n"/>
    </row>
    <row r="123" ht="16.5" customHeight="1" s="50">
      <c r="A123" s="39" t="n"/>
      <c r="B123" s="38" t="n"/>
      <c r="C123" s="39" t="n"/>
      <c r="D123" s="39" t="n"/>
      <c r="E123" s="53" t="n"/>
      <c r="F123" s="53" t="n"/>
      <c r="G123" s="37">
        <f>IF(AND(D123&lt;&gt;"已完成",D123&lt;&gt;"",E123&lt;&gt;"",E123&lt;TODAY()),"⚠️延期","")</f>
        <v/>
      </c>
      <c r="H123" s="39" t="n"/>
      <c r="I123" s="38" t="n"/>
    </row>
    <row r="124" ht="16.5" customHeight="1" s="50">
      <c r="A124" s="39" t="n"/>
      <c r="B124" s="38" t="n"/>
      <c r="C124" s="39" t="n"/>
      <c r="D124" s="39" t="n"/>
      <c r="E124" s="53" t="n"/>
      <c r="F124" s="53" t="n"/>
      <c r="G124" s="37">
        <f>IF(AND(D124&lt;&gt;"已完成",D124&lt;&gt;"",E124&lt;&gt;"",E124&lt;TODAY()),"⚠️延期","")</f>
        <v/>
      </c>
      <c r="H124" s="39" t="n"/>
      <c r="I124" s="38" t="n"/>
    </row>
    <row r="125" ht="16.5" customHeight="1" s="50">
      <c r="A125" s="39" t="n"/>
      <c r="B125" s="38" t="n"/>
      <c r="C125" s="39" t="n"/>
      <c r="D125" s="39" t="n"/>
      <c r="E125" s="53" t="n"/>
      <c r="F125" s="53" t="n"/>
      <c r="G125" s="37">
        <f>IF(AND(D125&lt;&gt;"已完成",D125&lt;&gt;"",E125&lt;&gt;"",E125&lt;TODAY()),"⚠️延期","")</f>
        <v/>
      </c>
      <c r="H125" s="39" t="n"/>
      <c r="I125" s="38" t="n"/>
    </row>
    <row r="126" ht="16.5" customHeight="1" s="50">
      <c r="A126" s="39" t="n"/>
      <c r="B126" s="38" t="n"/>
      <c r="C126" s="39" t="n"/>
      <c r="D126" s="39" t="n"/>
      <c r="E126" s="53" t="n"/>
      <c r="F126" s="53" t="n"/>
      <c r="G126" s="37">
        <f>IF(AND(D126&lt;&gt;"已完成",D126&lt;&gt;"",E126&lt;&gt;"",E126&lt;TODAY()),"⚠️延期","")</f>
        <v/>
      </c>
      <c r="H126" s="39" t="n"/>
      <c r="I126" s="38" t="n"/>
    </row>
    <row r="127" ht="16.5" customHeight="1" s="50">
      <c r="A127" s="39" t="n"/>
      <c r="B127" s="38" t="n"/>
      <c r="C127" s="39" t="n"/>
      <c r="D127" s="39" t="n"/>
      <c r="E127" s="53" t="n"/>
      <c r="F127" s="53" t="n"/>
      <c r="G127" s="37">
        <f>IF(AND(D127&lt;&gt;"已完成",D127&lt;&gt;"",E127&lt;&gt;"",E127&lt;TODAY()),"⚠️延期","")</f>
        <v/>
      </c>
      <c r="H127" s="39" t="n"/>
      <c r="I127" s="38" t="n"/>
    </row>
    <row r="128" ht="16.5" customHeight="1" s="50">
      <c r="A128" s="39" t="n"/>
      <c r="B128" s="38" t="n"/>
      <c r="C128" s="39" t="n"/>
      <c r="D128" s="39" t="n"/>
      <c r="E128" s="53" t="n"/>
      <c r="F128" s="53" t="n"/>
      <c r="G128" s="37">
        <f>IF(AND(D128&lt;&gt;"已完成",D128&lt;&gt;"",E128&lt;&gt;"",E128&lt;TODAY()),"⚠️延期","")</f>
        <v/>
      </c>
      <c r="H128" s="39" t="n"/>
      <c r="I128" s="38" t="n"/>
    </row>
    <row r="129" ht="16.5" customHeight="1" s="50">
      <c r="A129" s="39" t="n"/>
      <c r="B129" s="38" t="n"/>
      <c r="C129" s="39" t="n"/>
      <c r="D129" s="39" t="n"/>
      <c r="E129" s="53" t="n"/>
      <c r="F129" s="53" t="n"/>
      <c r="G129" s="37">
        <f>IF(AND(D129&lt;&gt;"已完成",D129&lt;&gt;"",E129&lt;&gt;"",E129&lt;TODAY()),"⚠️延期","")</f>
        <v/>
      </c>
      <c r="H129" s="39" t="n"/>
      <c r="I129" s="38" t="n"/>
    </row>
    <row r="130" ht="16.5" customHeight="1" s="50">
      <c r="A130" s="39" t="n"/>
      <c r="B130" s="38" t="n"/>
      <c r="C130" s="39" t="n"/>
      <c r="D130" s="39" t="n"/>
      <c r="E130" s="53" t="n"/>
      <c r="F130" s="53" t="n"/>
      <c r="G130" s="37">
        <f>IF(AND(D130&lt;&gt;"已完成",D130&lt;&gt;"",E130&lt;&gt;"",E130&lt;TODAY()),"⚠️延期","")</f>
        <v/>
      </c>
      <c r="H130" s="39" t="n"/>
      <c r="I130" s="38" t="n"/>
    </row>
    <row r="131" ht="16.5" customHeight="1" s="50">
      <c r="A131" s="39" t="n"/>
      <c r="B131" s="38" t="n"/>
      <c r="C131" s="39" t="n"/>
      <c r="D131" s="39" t="n"/>
      <c r="E131" s="53" t="n"/>
      <c r="F131" s="53" t="n"/>
      <c r="G131" s="37">
        <f>IF(AND(D131&lt;&gt;"已完成",D131&lt;&gt;"",E131&lt;&gt;"",E131&lt;TODAY()),"⚠️延期","")</f>
        <v/>
      </c>
      <c r="H131" s="39" t="n"/>
      <c r="I131" s="38" t="n"/>
    </row>
    <row r="132" ht="16.5" customHeight="1" s="50">
      <c r="A132" s="39" t="n"/>
      <c r="B132" s="38" t="n"/>
      <c r="C132" s="39" t="n"/>
      <c r="D132" s="39" t="n"/>
      <c r="E132" s="53" t="n"/>
      <c r="F132" s="53" t="n"/>
      <c r="G132" s="37">
        <f>IF(AND(D132&lt;&gt;"已完成",D132&lt;&gt;"",E132&lt;&gt;"",E132&lt;TODAY()),"⚠️延期","")</f>
        <v/>
      </c>
      <c r="H132" s="39" t="n"/>
      <c r="I132" s="38" t="n"/>
    </row>
    <row r="133" ht="16.5" customHeight="1" s="50">
      <c r="A133" s="39" t="n"/>
      <c r="B133" s="38" t="n"/>
      <c r="C133" s="39" t="n"/>
      <c r="D133" s="39" t="n"/>
      <c r="E133" s="53" t="n"/>
      <c r="F133" s="53" t="n"/>
      <c r="G133" s="37">
        <f>IF(AND(D133&lt;&gt;"已完成",D133&lt;&gt;"",E133&lt;&gt;"",E133&lt;TODAY()),"⚠️延期","")</f>
        <v/>
      </c>
      <c r="H133" s="39" t="n"/>
      <c r="I133" s="38" t="n"/>
    </row>
    <row r="134" ht="16.5" customHeight="1" s="50">
      <c r="A134" s="39" t="n"/>
      <c r="B134" s="38" t="n"/>
      <c r="C134" s="39" t="n"/>
      <c r="D134" s="39" t="n"/>
      <c r="E134" s="53" t="n"/>
      <c r="F134" s="53" t="n"/>
      <c r="G134" s="37">
        <f>IF(AND(D134&lt;&gt;"已完成",D134&lt;&gt;"",E134&lt;&gt;"",E134&lt;TODAY()),"⚠️延期","")</f>
        <v/>
      </c>
      <c r="H134" s="39" t="n"/>
      <c r="I134" s="38" t="n"/>
    </row>
    <row r="135" ht="16.5" customHeight="1" s="50">
      <c r="A135" s="39" t="n"/>
      <c r="B135" s="38" t="n"/>
      <c r="C135" s="39" t="n"/>
      <c r="D135" s="39" t="n"/>
      <c r="E135" s="53" t="n"/>
      <c r="F135" s="53" t="n"/>
      <c r="G135" s="37">
        <f>IF(AND(D135&lt;&gt;"已完成",D135&lt;&gt;"",E135&lt;&gt;"",E135&lt;TODAY()),"⚠️延期","")</f>
        <v/>
      </c>
      <c r="H135" s="39" t="n"/>
      <c r="I135" s="38" t="n"/>
    </row>
    <row r="136" ht="16.5" customHeight="1" s="50">
      <c r="A136" s="39" t="n"/>
      <c r="B136" s="38" t="n"/>
      <c r="C136" s="39" t="n"/>
      <c r="D136" s="39" t="n"/>
      <c r="E136" s="53" t="n"/>
      <c r="F136" s="53" t="n"/>
      <c r="G136" s="37">
        <f>IF(AND(D136&lt;&gt;"已完成",D136&lt;&gt;"",E136&lt;&gt;"",E136&lt;TODAY()),"⚠️延期","")</f>
        <v/>
      </c>
      <c r="H136" s="39" t="n"/>
      <c r="I136" s="38" t="n"/>
    </row>
    <row r="137" ht="16.5" customHeight="1" s="50">
      <c r="A137" s="39" t="n"/>
      <c r="B137" s="38" t="n"/>
      <c r="C137" s="39" t="n"/>
      <c r="D137" s="39" t="n"/>
      <c r="E137" s="53" t="n"/>
      <c r="F137" s="53" t="n"/>
      <c r="G137" s="37">
        <f>IF(AND(D137&lt;&gt;"已完成",D137&lt;&gt;"",E137&lt;&gt;"",E137&lt;TODAY()),"⚠️延期","")</f>
        <v/>
      </c>
      <c r="H137" s="39" t="n"/>
      <c r="I137" s="38" t="n"/>
    </row>
    <row r="138" ht="16.5" customHeight="1" s="50">
      <c r="A138" s="39" t="n"/>
      <c r="B138" s="38" t="n"/>
      <c r="C138" s="39" t="n"/>
      <c r="D138" s="39" t="n"/>
      <c r="E138" s="53" t="n"/>
      <c r="F138" s="53" t="n"/>
      <c r="G138" s="37">
        <f>IF(AND(D138&lt;&gt;"已完成",D138&lt;&gt;"",E138&lt;&gt;"",E138&lt;TODAY()),"⚠️延期","")</f>
        <v/>
      </c>
      <c r="H138" s="39" t="n"/>
      <c r="I138" s="38" t="n"/>
    </row>
    <row r="139" ht="16.5" customHeight="1" s="50">
      <c r="A139" s="39" t="n"/>
      <c r="B139" s="38" t="n"/>
      <c r="C139" s="39" t="n"/>
      <c r="D139" s="39" t="n"/>
      <c r="E139" s="53" t="n"/>
      <c r="F139" s="53" t="n"/>
      <c r="G139" s="37">
        <f>IF(AND(D139&lt;&gt;"已完成",D139&lt;&gt;"",E139&lt;&gt;"",E139&lt;TODAY()),"⚠️延期","")</f>
        <v/>
      </c>
      <c r="H139" s="39" t="n"/>
      <c r="I139" s="38" t="n"/>
    </row>
    <row r="140" ht="16.5" customHeight="1" s="50">
      <c r="A140" s="39" t="n"/>
      <c r="B140" s="38" t="n"/>
      <c r="C140" s="39" t="n"/>
      <c r="D140" s="39" t="n"/>
      <c r="E140" s="53" t="n"/>
      <c r="F140" s="53" t="n"/>
      <c r="G140" s="37">
        <f>IF(AND(D140&lt;&gt;"已完成",D140&lt;&gt;"",E140&lt;&gt;"",E140&lt;TODAY()),"⚠️延期","")</f>
        <v/>
      </c>
      <c r="H140" s="39" t="n"/>
      <c r="I140" s="38" t="n"/>
    </row>
    <row r="141" ht="16.5" customHeight="1" s="50">
      <c r="A141" s="39" t="n"/>
      <c r="B141" s="38" t="n"/>
      <c r="C141" s="39" t="n"/>
      <c r="D141" s="39" t="n"/>
      <c r="E141" s="53" t="n"/>
      <c r="F141" s="53" t="n"/>
      <c r="G141" s="37">
        <f>IF(AND(D141&lt;&gt;"已完成",D141&lt;&gt;"",E141&lt;&gt;"",E141&lt;TODAY()),"⚠️延期","")</f>
        <v/>
      </c>
      <c r="H141" s="39" t="n"/>
      <c r="I141" s="38" t="n"/>
    </row>
    <row r="142" ht="16.5" customHeight="1" s="50">
      <c r="A142" s="39" t="n"/>
      <c r="B142" s="38" t="n"/>
      <c r="C142" s="39" t="n"/>
      <c r="D142" s="39" t="n"/>
      <c r="E142" s="53" t="n"/>
      <c r="F142" s="53" t="n"/>
      <c r="G142" s="37">
        <f>IF(AND(D142&lt;&gt;"已完成",D142&lt;&gt;"",E142&lt;&gt;"",E142&lt;TODAY()),"⚠️延期","")</f>
        <v/>
      </c>
      <c r="H142" s="39" t="n"/>
      <c r="I142" s="38" t="n"/>
    </row>
    <row r="143" ht="16.5" customHeight="1" s="50">
      <c r="A143" s="39" t="n"/>
      <c r="B143" s="38" t="n"/>
      <c r="C143" s="39" t="n"/>
      <c r="D143" s="39" t="n"/>
      <c r="E143" s="53" t="n"/>
      <c r="F143" s="53" t="n"/>
      <c r="G143" s="37">
        <f>IF(AND(D143&lt;&gt;"已完成",D143&lt;&gt;"",E143&lt;&gt;"",E143&lt;TODAY()),"⚠️延期","")</f>
        <v/>
      </c>
      <c r="H143" s="39" t="n"/>
      <c r="I143" s="38" t="n"/>
    </row>
    <row r="144" ht="16.5" customHeight="1" s="50">
      <c r="A144" s="39" t="n"/>
      <c r="B144" s="38" t="n"/>
      <c r="C144" s="39" t="n"/>
      <c r="D144" s="39" t="n"/>
      <c r="E144" s="53" t="n"/>
      <c r="F144" s="53" t="n"/>
      <c r="G144" s="37">
        <f>IF(AND(D144&lt;&gt;"已完成",D144&lt;&gt;"",E144&lt;&gt;"",E144&lt;TODAY()),"⚠️延期","")</f>
        <v/>
      </c>
      <c r="H144" s="39" t="n"/>
      <c r="I144" s="38" t="n"/>
    </row>
    <row r="145" ht="16.5" customHeight="1" s="50">
      <c r="A145" s="39" t="n"/>
      <c r="B145" s="38" t="n"/>
      <c r="C145" s="39" t="n"/>
      <c r="D145" s="39" t="n"/>
      <c r="E145" s="53" t="n"/>
      <c r="F145" s="53" t="n"/>
      <c r="G145" s="37">
        <f>IF(AND(D145&lt;&gt;"已完成",D145&lt;&gt;"",E145&lt;&gt;"",E145&lt;TODAY()),"⚠️延期","")</f>
        <v/>
      </c>
      <c r="H145" s="39" t="n"/>
      <c r="I145" s="38" t="n"/>
    </row>
    <row r="146" ht="16.5" customHeight="1" s="50">
      <c r="A146" s="39" t="n"/>
      <c r="B146" s="38" t="n"/>
      <c r="C146" s="39" t="n"/>
      <c r="D146" s="39" t="n"/>
      <c r="E146" s="53" t="n"/>
      <c r="F146" s="53" t="n"/>
      <c r="G146" s="37">
        <f>IF(AND(D146&lt;&gt;"已完成",D146&lt;&gt;"",E146&lt;&gt;"",E146&lt;TODAY()),"⚠️延期","")</f>
        <v/>
      </c>
      <c r="H146" s="39" t="n"/>
      <c r="I146" s="38" t="n"/>
    </row>
    <row r="147" ht="16.5" customHeight="1" s="50">
      <c r="A147" s="39" t="n"/>
      <c r="B147" s="38" t="n"/>
      <c r="C147" s="39" t="n"/>
      <c r="D147" s="39" t="n"/>
      <c r="E147" s="53" t="n"/>
      <c r="F147" s="53" t="n"/>
      <c r="G147" s="37">
        <f>IF(AND(D147&lt;&gt;"已完成",D147&lt;&gt;"",E147&lt;&gt;"",E147&lt;TODAY()),"⚠️延期","")</f>
        <v/>
      </c>
      <c r="H147" s="39" t="n"/>
      <c r="I147" s="38" t="n"/>
    </row>
    <row r="148" ht="16.5" customHeight="1" s="50">
      <c r="A148" s="39" t="n"/>
      <c r="B148" s="38" t="n"/>
      <c r="C148" s="39" t="n"/>
      <c r="D148" s="39" t="n"/>
      <c r="E148" s="53" t="n"/>
      <c r="F148" s="53" t="n"/>
      <c r="G148" s="37">
        <f>IF(AND(D148&lt;&gt;"已完成",D148&lt;&gt;"",E148&lt;&gt;"",E148&lt;TODAY()),"⚠️延期","")</f>
        <v/>
      </c>
      <c r="H148" s="39" t="n"/>
      <c r="I148" s="38" t="n"/>
    </row>
    <row r="149" ht="16.5" customHeight="1" s="50">
      <c r="A149" s="39" t="n"/>
      <c r="B149" s="38" t="n"/>
      <c r="C149" s="39" t="n"/>
      <c r="D149" s="39" t="n"/>
      <c r="E149" s="53" t="n"/>
      <c r="F149" s="53" t="n"/>
      <c r="G149" s="37">
        <f>IF(AND(D149&lt;&gt;"已完成",D149&lt;&gt;"",E149&lt;&gt;"",E149&lt;TODAY()),"⚠️延期","")</f>
        <v/>
      </c>
      <c r="H149" s="39" t="n"/>
      <c r="I149" s="38" t="n"/>
    </row>
    <row r="150" ht="16.5" customHeight="1" s="50">
      <c r="A150" s="39" t="n"/>
      <c r="B150" s="38" t="n"/>
      <c r="C150" s="39" t="n"/>
      <c r="D150" s="39" t="n"/>
      <c r="E150" s="53" t="n"/>
      <c r="F150" s="53" t="n"/>
      <c r="G150" s="37">
        <f>IF(AND(D150&lt;&gt;"已完成",D150&lt;&gt;"",E150&lt;&gt;"",E150&lt;TODAY()),"⚠️延期","")</f>
        <v/>
      </c>
      <c r="H150" s="39" t="n"/>
      <c r="I150" s="38" t="n"/>
    </row>
    <row r="151" ht="16.5" customHeight="1" s="50">
      <c r="A151" s="39" t="n"/>
      <c r="B151" s="38" t="n"/>
      <c r="C151" s="39" t="n"/>
      <c r="D151" s="39" t="n"/>
      <c r="E151" s="53" t="n"/>
      <c r="F151" s="53" t="n"/>
      <c r="G151" s="37">
        <f>IF(AND(D151&lt;&gt;"已完成",D151&lt;&gt;"",E151&lt;&gt;"",E151&lt;TODAY()),"⚠️延期","")</f>
        <v/>
      </c>
      <c r="H151" s="39" t="n"/>
      <c r="I151" s="38" t="n"/>
    </row>
    <row r="152" ht="16.5" customHeight="1" s="50">
      <c r="A152" s="39" t="n"/>
      <c r="B152" s="38" t="n"/>
      <c r="C152" s="39" t="n"/>
      <c r="D152" s="39" t="n"/>
      <c r="E152" s="53" t="n"/>
      <c r="F152" s="53" t="n"/>
      <c r="G152" s="37">
        <f>IF(AND(D152&lt;&gt;"已完成",D152&lt;&gt;"",E152&lt;&gt;"",E152&lt;TODAY()),"⚠️延期","")</f>
        <v/>
      </c>
      <c r="H152" s="39" t="n"/>
      <c r="I152" s="38" t="n"/>
    </row>
    <row r="153" ht="16.5" customHeight="1" s="50">
      <c r="A153" s="39" t="n"/>
      <c r="B153" s="38" t="n"/>
      <c r="C153" s="39" t="n"/>
      <c r="D153" s="39" t="n"/>
      <c r="E153" s="53" t="n"/>
      <c r="F153" s="53" t="n"/>
      <c r="G153" s="37">
        <f>IF(AND(D153&lt;&gt;"已完成",D153&lt;&gt;"",E153&lt;&gt;"",E153&lt;TODAY()),"⚠️延期","")</f>
        <v/>
      </c>
      <c r="H153" s="39" t="n"/>
      <c r="I153" s="38" t="n"/>
    </row>
    <row r="154" ht="16.5" customHeight="1" s="50">
      <c r="A154" s="39" t="n"/>
      <c r="B154" s="38" t="n"/>
      <c r="C154" s="39" t="n"/>
      <c r="D154" s="39" t="n"/>
      <c r="E154" s="53" t="n"/>
      <c r="F154" s="53" t="n"/>
      <c r="G154" s="37">
        <f>IF(AND(D154&lt;&gt;"已完成",D154&lt;&gt;"",E154&lt;&gt;"",E154&lt;TODAY()),"⚠️延期","")</f>
        <v/>
      </c>
      <c r="H154" s="39" t="n"/>
      <c r="I154" s="38" t="n"/>
    </row>
    <row r="155" ht="16.5" customHeight="1" s="50">
      <c r="A155" s="39" t="n"/>
      <c r="B155" s="38" t="n"/>
      <c r="C155" s="39" t="n"/>
      <c r="D155" s="39" t="n"/>
      <c r="E155" s="53" t="n"/>
      <c r="F155" s="53" t="n"/>
      <c r="G155" s="37">
        <f>IF(AND(D155&lt;&gt;"已完成",D155&lt;&gt;"",E155&lt;&gt;"",E155&lt;TODAY()),"⚠️延期","")</f>
        <v/>
      </c>
      <c r="H155" s="39" t="n"/>
      <c r="I155" s="38" t="n"/>
    </row>
    <row r="156" ht="16.5" customHeight="1" s="50">
      <c r="A156" s="39" t="n"/>
      <c r="B156" s="38" t="n"/>
      <c r="C156" s="39" t="n"/>
      <c r="D156" s="39" t="n"/>
      <c r="E156" s="53" t="n"/>
      <c r="F156" s="53" t="n"/>
      <c r="G156" s="37">
        <f>IF(AND(D156&lt;&gt;"已完成",D156&lt;&gt;"",E156&lt;&gt;"",E156&lt;TODAY()),"⚠️延期","")</f>
        <v/>
      </c>
      <c r="H156" s="39" t="n"/>
      <c r="I156" s="38" t="n"/>
    </row>
    <row r="157" ht="16.5" customHeight="1" s="50">
      <c r="A157" s="39" t="n"/>
      <c r="B157" s="38" t="n"/>
      <c r="C157" s="39" t="n"/>
      <c r="D157" s="39" t="n"/>
      <c r="E157" s="53" t="n"/>
      <c r="F157" s="53" t="n"/>
      <c r="G157" s="37">
        <f>IF(AND(D157&lt;&gt;"已完成",D157&lt;&gt;"",E157&lt;&gt;"",E157&lt;TODAY()),"⚠️延期","")</f>
        <v/>
      </c>
      <c r="H157" s="39" t="n"/>
      <c r="I157" s="38" t="n"/>
    </row>
    <row r="158" ht="16.5" customHeight="1" s="50">
      <c r="A158" s="39" t="n"/>
      <c r="B158" s="38" t="n"/>
      <c r="C158" s="39" t="n"/>
      <c r="D158" s="39" t="n"/>
      <c r="E158" s="53" t="n"/>
      <c r="F158" s="53" t="n"/>
      <c r="G158" s="37">
        <f>IF(AND(D158&lt;&gt;"已完成",D158&lt;&gt;"",E158&lt;&gt;"",E158&lt;TODAY()),"⚠️延期","")</f>
        <v/>
      </c>
      <c r="H158" s="39" t="n"/>
      <c r="I158" s="38" t="n"/>
    </row>
    <row r="159" ht="16.5" customHeight="1" s="50">
      <c r="A159" s="39" t="n"/>
      <c r="B159" s="38" t="n"/>
      <c r="C159" s="39" t="n"/>
      <c r="D159" s="39" t="n"/>
      <c r="E159" s="53" t="n"/>
      <c r="F159" s="53" t="n"/>
      <c r="G159" s="37">
        <f>IF(AND(D159&lt;&gt;"已完成",D159&lt;&gt;"",E159&lt;&gt;"",E159&lt;TODAY()),"⚠️延期","")</f>
        <v/>
      </c>
      <c r="H159" s="39" t="n"/>
      <c r="I159" s="38" t="n"/>
    </row>
    <row r="160" ht="16.5" customHeight="1" s="50">
      <c r="A160" s="39" t="n"/>
      <c r="B160" s="38" t="n"/>
      <c r="C160" s="39" t="n"/>
      <c r="D160" s="39" t="n"/>
      <c r="E160" s="53" t="n"/>
      <c r="F160" s="53" t="n"/>
      <c r="G160" s="37">
        <f>IF(AND(D160&lt;&gt;"已完成",D160&lt;&gt;"",E160&lt;&gt;"",E160&lt;TODAY()),"⚠️延期","")</f>
        <v/>
      </c>
      <c r="H160" s="39" t="n"/>
      <c r="I160" s="38" t="n"/>
    </row>
    <row r="161" ht="16.5" customHeight="1" s="50">
      <c r="A161" s="39" t="n"/>
      <c r="B161" s="38" t="n"/>
      <c r="C161" s="39" t="n"/>
      <c r="D161" s="39" t="n"/>
      <c r="E161" s="53" t="n"/>
      <c r="F161" s="53" t="n"/>
      <c r="G161" s="37">
        <f>IF(AND(D161&lt;&gt;"已完成",D161&lt;&gt;"",E161&lt;&gt;"",E161&lt;TODAY()),"⚠️延期","")</f>
        <v/>
      </c>
      <c r="H161" s="39" t="n"/>
      <c r="I161" s="38" t="n"/>
    </row>
    <row r="162" ht="16.5" customHeight="1" s="50">
      <c r="A162" s="39" t="n"/>
      <c r="B162" s="38" t="n"/>
      <c r="C162" s="39" t="n"/>
      <c r="D162" s="39" t="n"/>
      <c r="E162" s="53" t="n"/>
      <c r="F162" s="53" t="n"/>
      <c r="G162" s="37">
        <f>IF(AND(D162&lt;&gt;"已完成",D162&lt;&gt;"",E162&lt;&gt;"",E162&lt;TODAY()),"⚠️延期","")</f>
        <v/>
      </c>
      <c r="H162" s="39" t="n"/>
      <c r="I162" s="38" t="n"/>
    </row>
    <row r="163" ht="16.5" customHeight="1" s="50">
      <c r="A163" s="39" t="n"/>
      <c r="B163" s="38" t="n"/>
      <c r="C163" s="39" t="n"/>
      <c r="D163" s="39" t="n"/>
      <c r="E163" s="53" t="n"/>
      <c r="F163" s="53" t="n"/>
      <c r="G163" s="37">
        <f>IF(AND(D163&lt;&gt;"已完成",D163&lt;&gt;"",E163&lt;&gt;"",E163&lt;TODAY()),"⚠️延期","")</f>
        <v/>
      </c>
      <c r="H163" s="39" t="n"/>
      <c r="I163" s="38" t="n"/>
    </row>
    <row r="164" ht="16.5" customHeight="1" s="50">
      <c r="A164" s="39" t="n"/>
      <c r="B164" s="38" t="n"/>
      <c r="C164" s="39" t="n"/>
      <c r="D164" s="39" t="n"/>
      <c r="E164" s="53" t="n"/>
      <c r="F164" s="53" t="n"/>
      <c r="G164" s="37">
        <f>IF(AND(D164&lt;&gt;"已完成",D164&lt;&gt;"",E164&lt;&gt;"",E164&lt;TODAY()),"⚠️延期","")</f>
        <v/>
      </c>
      <c r="H164" s="39" t="n"/>
      <c r="I164" s="38" t="n"/>
    </row>
    <row r="165" ht="16.5" customHeight="1" s="50">
      <c r="A165" s="39" t="n"/>
      <c r="B165" s="38" t="n"/>
      <c r="C165" s="39" t="n"/>
      <c r="D165" s="39" t="n"/>
      <c r="E165" s="53" t="n"/>
      <c r="F165" s="53" t="n"/>
      <c r="G165" s="37">
        <f>IF(AND(D165&lt;&gt;"已完成",D165&lt;&gt;"",E165&lt;&gt;"",E165&lt;TODAY()),"⚠️延期","")</f>
        <v/>
      </c>
      <c r="H165" s="39" t="n"/>
      <c r="I165" s="38" t="n"/>
    </row>
    <row r="166" ht="16.5" customHeight="1" s="50">
      <c r="A166" s="39" t="n"/>
      <c r="B166" s="38" t="n"/>
      <c r="C166" s="39" t="n"/>
      <c r="D166" s="39" t="n"/>
      <c r="E166" s="53" t="n"/>
      <c r="F166" s="53" t="n"/>
      <c r="G166" s="37">
        <f>IF(AND(D166&lt;&gt;"已完成",D166&lt;&gt;"",E166&lt;&gt;"",E166&lt;TODAY()),"⚠️延期","")</f>
        <v/>
      </c>
      <c r="H166" s="39" t="n"/>
      <c r="I166" s="38" t="n"/>
    </row>
    <row r="167" ht="16.5" customHeight="1" s="50">
      <c r="A167" s="39" t="n"/>
      <c r="B167" s="38" t="n"/>
      <c r="C167" s="39" t="n"/>
      <c r="D167" s="39" t="n"/>
      <c r="E167" s="53" t="n"/>
      <c r="F167" s="53" t="n"/>
      <c r="G167" s="37">
        <f>IF(AND(D167&lt;&gt;"已完成",D167&lt;&gt;"",E167&lt;&gt;"",E167&lt;TODAY()),"⚠️延期","")</f>
        <v/>
      </c>
      <c r="H167" s="39" t="n"/>
      <c r="I167" s="38" t="n"/>
    </row>
    <row r="168" ht="16.5" customHeight="1" s="50">
      <c r="A168" s="39" t="n"/>
      <c r="B168" s="38" t="n"/>
      <c r="C168" s="39" t="n"/>
      <c r="D168" s="39" t="n"/>
      <c r="E168" s="53" t="n"/>
      <c r="F168" s="53" t="n"/>
      <c r="G168" s="37">
        <f>IF(AND(D168&lt;&gt;"已完成",D168&lt;&gt;"",E168&lt;&gt;"",E168&lt;TODAY()),"⚠️延期","")</f>
        <v/>
      </c>
      <c r="H168" s="39" t="n"/>
      <c r="I168" s="38" t="n"/>
    </row>
    <row r="169" ht="16.5" customHeight="1" s="50">
      <c r="A169" s="39" t="n"/>
      <c r="B169" s="38" t="n"/>
      <c r="C169" s="39" t="n"/>
      <c r="D169" s="39" t="n"/>
      <c r="E169" s="53" t="n"/>
      <c r="F169" s="53" t="n"/>
      <c r="G169" s="37">
        <f>IF(AND(D169&lt;&gt;"已完成",D169&lt;&gt;"",E169&lt;&gt;"",E169&lt;TODAY()),"⚠️延期","")</f>
        <v/>
      </c>
      <c r="H169" s="39" t="n"/>
      <c r="I169" s="38" t="n"/>
    </row>
    <row r="170" ht="16.5" customHeight="1" s="50">
      <c r="A170" s="39" t="n"/>
      <c r="B170" s="38" t="n"/>
      <c r="C170" s="39" t="n"/>
      <c r="D170" s="39" t="n"/>
      <c r="E170" s="53" t="n"/>
      <c r="F170" s="53" t="n"/>
      <c r="G170" s="37">
        <f>IF(AND(D170&lt;&gt;"已完成",D170&lt;&gt;"",E170&lt;&gt;"",E170&lt;TODAY()),"⚠️延期","")</f>
        <v/>
      </c>
      <c r="H170" s="39" t="n"/>
      <c r="I170" s="38" t="n"/>
    </row>
    <row r="171" ht="16.5" customHeight="1" s="50">
      <c r="A171" s="39" t="n"/>
      <c r="B171" s="38" t="n"/>
      <c r="C171" s="39" t="n"/>
      <c r="D171" s="39" t="n"/>
      <c r="E171" s="53" t="n"/>
      <c r="F171" s="53" t="n"/>
      <c r="G171" s="37">
        <f>IF(AND(D171&lt;&gt;"已完成",D171&lt;&gt;"",E171&lt;&gt;"",E171&lt;TODAY()),"⚠️延期","")</f>
        <v/>
      </c>
      <c r="H171" s="39" t="n"/>
      <c r="I171" s="38" t="n"/>
    </row>
    <row r="172" ht="16.5" customHeight="1" s="50">
      <c r="A172" s="39" t="n"/>
      <c r="B172" s="38" t="n"/>
      <c r="C172" s="39" t="n"/>
      <c r="D172" s="39" t="n"/>
      <c r="E172" s="53" t="n"/>
      <c r="F172" s="53" t="n"/>
      <c r="G172" s="37">
        <f>IF(AND(D172&lt;&gt;"已完成",D172&lt;&gt;"",E172&lt;&gt;"",E172&lt;TODAY()),"⚠️延期","")</f>
        <v/>
      </c>
      <c r="H172" s="39" t="n"/>
      <c r="I172" s="38" t="n"/>
    </row>
    <row r="173" ht="16.5" customHeight="1" s="50">
      <c r="A173" s="39" t="n"/>
      <c r="B173" s="38" t="n"/>
      <c r="C173" s="39" t="n"/>
      <c r="D173" s="39" t="n"/>
      <c r="E173" s="53" t="n"/>
      <c r="F173" s="53" t="n"/>
      <c r="G173" s="37">
        <f>IF(AND(D173&lt;&gt;"已完成",D173&lt;&gt;"",E173&lt;&gt;"",E173&lt;TODAY()),"⚠️延期","")</f>
        <v/>
      </c>
      <c r="H173" s="39" t="n"/>
      <c r="I173" s="38" t="n"/>
    </row>
    <row r="174" ht="16.5" customHeight="1" s="50">
      <c r="A174" s="39" t="n"/>
      <c r="B174" s="38" t="n"/>
      <c r="C174" s="39" t="n"/>
      <c r="D174" s="39" t="n"/>
      <c r="E174" s="53" t="n"/>
      <c r="F174" s="53" t="n"/>
      <c r="G174" s="37">
        <f>IF(AND(D174&lt;&gt;"已完成",D174&lt;&gt;"",E174&lt;&gt;"",E174&lt;TODAY()),"⚠️延期","")</f>
        <v/>
      </c>
      <c r="H174" s="39" t="n"/>
      <c r="I174" s="38" t="n"/>
    </row>
    <row r="175" ht="16.5" customHeight="1" s="50">
      <c r="A175" s="39" t="n"/>
      <c r="B175" s="38" t="n"/>
      <c r="C175" s="39" t="n"/>
      <c r="D175" s="39" t="n"/>
      <c r="E175" s="53" t="n"/>
      <c r="F175" s="53" t="n"/>
      <c r="G175" s="37">
        <f>IF(AND(D175&lt;&gt;"已完成",D175&lt;&gt;"",E175&lt;&gt;"",E175&lt;TODAY()),"⚠️延期","")</f>
        <v/>
      </c>
      <c r="H175" s="39" t="n"/>
      <c r="I175" s="38" t="n"/>
    </row>
    <row r="176" ht="16.5" customHeight="1" s="50">
      <c r="A176" s="39" t="n"/>
      <c r="B176" s="38" t="n"/>
      <c r="C176" s="39" t="n"/>
      <c r="D176" s="39" t="n"/>
      <c r="E176" s="53" t="n"/>
      <c r="F176" s="53" t="n"/>
      <c r="G176" s="37">
        <f>IF(AND(D176&lt;&gt;"已完成",D176&lt;&gt;"",E176&lt;&gt;"",E176&lt;TODAY()),"⚠️延期","")</f>
        <v/>
      </c>
      <c r="H176" s="39" t="n"/>
      <c r="I176" s="38" t="n"/>
    </row>
    <row r="177" ht="16.5" customHeight="1" s="50">
      <c r="A177" s="39" t="n"/>
      <c r="B177" s="38" t="n"/>
      <c r="C177" s="39" t="n"/>
      <c r="D177" s="39" t="n"/>
      <c r="E177" s="53" t="n"/>
      <c r="F177" s="53" t="n"/>
      <c r="G177" s="37">
        <f>IF(AND(D177&lt;&gt;"已完成",D177&lt;&gt;"",E177&lt;&gt;"",E177&lt;TODAY()),"⚠️延期","")</f>
        <v/>
      </c>
      <c r="H177" s="39" t="n"/>
      <c r="I177" s="38" t="n"/>
    </row>
    <row r="178" ht="16.5" customHeight="1" s="50">
      <c r="A178" s="39" t="n"/>
      <c r="B178" s="38" t="n"/>
      <c r="C178" s="39" t="n"/>
      <c r="D178" s="39" t="n"/>
      <c r="E178" s="53" t="n"/>
      <c r="F178" s="53" t="n"/>
      <c r="G178" s="37">
        <f>IF(AND(D178&lt;&gt;"已完成",D178&lt;&gt;"",E178&lt;&gt;"",E178&lt;TODAY()),"⚠️延期","")</f>
        <v/>
      </c>
      <c r="H178" s="39" t="n"/>
      <c r="I178" s="38" t="n"/>
    </row>
    <row r="179" ht="16.5" customHeight="1" s="50">
      <c r="A179" s="39" t="n"/>
      <c r="B179" s="38" t="n"/>
      <c r="C179" s="39" t="n"/>
      <c r="D179" s="39" t="n"/>
      <c r="E179" s="53" t="n"/>
      <c r="F179" s="53" t="n"/>
      <c r="G179" s="37">
        <f>IF(AND(D179&lt;&gt;"已完成",D179&lt;&gt;"",E179&lt;&gt;"",E179&lt;TODAY()),"⚠️延期","")</f>
        <v/>
      </c>
      <c r="H179" s="39" t="n"/>
      <c r="I179" s="38" t="n"/>
    </row>
    <row r="180" ht="16.5" customHeight="1" s="50">
      <c r="A180" s="39" t="n"/>
      <c r="B180" s="38" t="n"/>
      <c r="C180" s="39" t="n"/>
      <c r="D180" s="39" t="n"/>
      <c r="E180" s="53" t="n"/>
      <c r="F180" s="53" t="n"/>
      <c r="G180" s="37">
        <f>IF(AND(D180&lt;&gt;"已完成",D180&lt;&gt;"",E180&lt;&gt;"",E180&lt;TODAY()),"⚠️延期","")</f>
        <v/>
      </c>
      <c r="H180" s="39" t="n"/>
      <c r="I180" s="38" t="n"/>
    </row>
    <row r="181" ht="16.5" customHeight="1" s="50">
      <c r="A181" s="39" t="n"/>
      <c r="B181" s="38" t="n"/>
      <c r="C181" s="39" t="n"/>
      <c r="D181" s="39" t="n"/>
      <c r="E181" s="53" t="n"/>
      <c r="F181" s="53" t="n"/>
      <c r="G181" s="37">
        <f>IF(AND(D181&lt;&gt;"已完成",D181&lt;&gt;"",E181&lt;&gt;"",E181&lt;TODAY()),"⚠️延期","")</f>
        <v/>
      </c>
      <c r="H181" s="39" t="n"/>
      <c r="I181" s="38" t="n"/>
    </row>
    <row r="182" ht="16.5" customHeight="1" s="50">
      <c r="A182" s="39" t="n"/>
      <c r="B182" s="38" t="n"/>
      <c r="C182" s="39" t="n"/>
      <c r="D182" s="39" t="n"/>
      <c r="E182" s="53" t="n"/>
      <c r="F182" s="53" t="n"/>
      <c r="G182" s="37">
        <f>IF(AND(D182&lt;&gt;"已完成",D182&lt;&gt;"",E182&lt;&gt;"",E182&lt;TODAY()),"⚠️延期","")</f>
        <v/>
      </c>
      <c r="H182" s="39" t="n"/>
      <c r="I182" s="38" t="n"/>
    </row>
    <row r="183" ht="16.5" customHeight="1" s="50">
      <c r="A183" s="39" t="n"/>
      <c r="B183" s="38" t="n"/>
      <c r="C183" s="39" t="n"/>
      <c r="D183" s="39" t="n"/>
      <c r="E183" s="53" t="n"/>
      <c r="F183" s="53" t="n"/>
      <c r="G183" s="37">
        <f>IF(AND(D183&lt;&gt;"已完成",D183&lt;&gt;"",E183&lt;&gt;"",E183&lt;TODAY()),"⚠️延期","")</f>
        <v/>
      </c>
      <c r="H183" s="39" t="n"/>
      <c r="I183" s="38" t="n"/>
    </row>
    <row r="184" ht="16.5" customHeight="1" s="50">
      <c r="A184" s="39" t="n"/>
      <c r="B184" s="38" t="n"/>
      <c r="C184" s="39" t="n"/>
      <c r="D184" s="39" t="n"/>
      <c r="E184" s="53" t="n"/>
      <c r="F184" s="53" t="n"/>
      <c r="G184" s="37">
        <f>IF(AND(D184&lt;&gt;"已完成",D184&lt;&gt;"",E184&lt;&gt;"",E184&lt;TODAY()),"⚠️延期","")</f>
        <v/>
      </c>
      <c r="H184" s="39" t="n"/>
      <c r="I184" s="38" t="n"/>
    </row>
    <row r="185" ht="16.5" customHeight="1" s="50">
      <c r="A185" s="39" t="n"/>
      <c r="B185" s="38" t="n"/>
      <c r="C185" s="39" t="n"/>
      <c r="D185" s="39" t="n"/>
      <c r="E185" s="53" t="n"/>
      <c r="F185" s="53" t="n"/>
      <c r="G185" s="37">
        <f>IF(AND(D185&lt;&gt;"已完成",D185&lt;&gt;"",E185&lt;&gt;"",E185&lt;TODAY()),"⚠️延期","")</f>
        <v/>
      </c>
      <c r="H185" s="39" t="n"/>
      <c r="I185" s="38" t="n"/>
    </row>
    <row r="186" ht="16.5" customHeight="1" s="50">
      <c r="A186" s="39" t="n"/>
      <c r="B186" s="38" t="n"/>
      <c r="C186" s="39" t="n"/>
      <c r="D186" s="39" t="n"/>
      <c r="E186" s="53" t="n"/>
      <c r="F186" s="53" t="n"/>
      <c r="G186" s="37">
        <f>IF(AND(D186&lt;&gt;"已完成",D186&lt;&gt;"",E186&lt;&gt;"",E186&lt;TODAY()),"⚠️延期","")</f>
        <v/>
      </c>
      <c r="H186" s="39" t="n"/>
      <c r="I186" s="38" t="n"/>
    </row>
    <row r="187" ht="16.5" customHeight="1" s="50">
      <c r="A187" s="39" t="n"/>
      <c r="B187" s="38" t="n"/>
      <c r="C187" s="39" t="n"/>
      <c r="D187" s="39" t="n"/>
      <c r="E187" s="53" t="n"/>
      <c r="F187" s="53" t="n"/>
      <c r="G187" s="37">
        <f>IF(AND(D187&lt;&gt;"已完成",D187&lt;&gt;"",E187&lt;&gt;"",E187&lt;TODAY()),"⚠️延期","")</f>
        <v/>
      </c>
      <c r="H187" s="39" t="n"/>
      <c r="I187" s="38" t="n"/>
    </row>
    <row r="188" ht="16.5" customHeight="1" s="50">
      <c r="A188" s="39" t="n"/>
      <c r="B188" s="38" t="n"/>
      <c r="C188" s="39" t="n"/>
      <c r="D188" s="39" t="n"/>
      <c r="E188" s="53" t="n"/>
      <c r="F188" s="53" t="n"/>
      <c r="G188" s="37">
        <f>IF(AND(D188&lt;&gt;"已完成",D188&lt;&gt;"",E188&lt;&gt;"",E188&lt;TODAY()),"⚠️延期","")</f>
        <v/>
      </c>
      <c r="H188" s="39" t="n"/>
      <c r="I188" s="38" t="n"/>
    </row>
    <row r="189" ht="16.5" customHeight="1" s="50">
      <c r="A189" s="39" t="n"/>
      <c r="B189" s="38" t="n"/>
      <c r="C189" s="39" t="n"/>
      <c r="D189" s="39" t="n"/>
      <c r="E189" s="53" t="n"/>
      <c r="F189" s="53" t="n"/>
      <c r="G189" s="37">
        <f>IF(AND(D189&lt;&gt;"已完成",D189&lt;&gt;"",E189&lt;&gt;"",E189&lt;TODAY()),"⚠️延期","")</f>
        <v/>
      </c>
      <c r="H189" s="39" t="n"/>
      <c r="I189" s="38" t="n"/>
    </row>
    <row r="190" ht="16.5" customHeight="1" s="50">
      <c r="A190" s="39" t="n"/>
      <c r="B190" s="38" t="n"/>
      <c r="C190" s="39" t="n"/>
      <c r="D190" s="39" t="n"/>
      <c r="E190" s="53" t="n"/>
      <c r="F190" s="53" t="n"/>
      <c r="G190" s="37">
        <f>IF(AND(D190&lt;&gt;"已完成",D190&lt;&gt;"",E190&lt;&gt;"",E190&lt;TODAY()),"⚠️延期","")</f>
        <v/>
      </c>
      <c r="H190" s="39" t="n"/>
      <c r="I190" s="38" t="n"/>
    </row>
    <row r="191" ht="16.5" customHeight="1" s="50">
      <c r="A191" s="39" t="n"/>
      <c r="B191" s="38" t="n"/>
      <c r="C191" s="39" t="n"/>
      <c r="D191" s="39" t="n"/>
      <c r="E191" s="53" t="n"/>
      <c r="F191" s="53" t="n"/>
      <c r="G191" s="37">
        <f>IF(AND(D191&lt;&gt;"已完成",D191&lt;&gt;"",E191&lt;&gt;"",E191&lt;TODAY()),"⚠️延期","")</f>
        <v/>
      </c>
      <c r="H191" s="39" t="n"/>
      <c r="I191" s="38" t="n"/>
    </row>
    <row r="192" ht="16.5" customHeight="1" s="50">
      <c r="A192" s="39" t="n"/>
      <c r="B192" s="38" t="n"/>
      <c r="C192" s="39" t="n"/>
      <c r="D192" s="39" t="n"/>
      <c r="E192" s="53" t="n"/>
      <c r="F192" s="53" t="n"/>
      <c r="G192" s="37">
        <f>IF(AND(D192&lt;&gt;"已完成",D192&lt;&gt;"",E192&lt;&gt;"",E192&lt;TODAY()),"⚠️延期","")</f>
        <v/>
      </c>
      <c r="H192" s="39" t="n"/>
      <c r="I192" s="38" t="n"/>
    </row>
    <row r="193" ht="16.5" customHeight="1" s="50">
      <c r="A193" s="39" t="n"/>
      <c r="B193" s="38" t="n"/>
      <c r="C193" s="39" t="n"/>
      <c r="D193" s="39" t="n"/>
      <c r="E193" s="53" t="n"/>
      <c r="F193" s="53" t="n"/>
      <c r="G193" s="37">
        <f>IF(AND(D193&lt;&gt;"已完成",D193&lt;&gt;"",E193&lt;&gt;"",E193&lt;TODAY()),"⚠️延期","")</f>
        <v/>
      </c>
      <c r="H193" s="39" t="n"/>
      <c r="I193" s="38" t="n"/>
    </row>
    <row r="194" ht="16.5" customHeight="1" s="50">
      <c r="A194" s="39" t="n"/>
      <c r="B194" s="38" t="n"/>
      <c r="C194" s="39" t="n"/>
      <c r="D194" s="39" t="n"/>
      <c r="E194" s="53" t="n"/>
      <c r="F194" s="53" t="n"/>
      <c r="G194" s="37">
        <f>IF(AND(D194&lt;&gt;"已完成",D194&lt;&gt;"",E194&lt;&gt;"",E194&lt;TODAY()),"⚠️延期","")</f>
        <v/>
      </c>
      <c r="H194" s="39" t="n"/>
      <c r="I194" s="38" t="n"/>
    </row>
    <row r="195" ht="16.5" customHeight="1" s="50">
      <c r="A195" s="39" t="n"/>
      <c r="B195" s="38" t="n"/>
      <c r="C195" s="39" t="n"/>
      <c r="D195" s="39" t="n"/>
      <c r="E195" s="53" t="n"/>
      <c r="F195" s="53" t="n"/>
      <c r="G195" s="37">
        <f>IF(AND(D195&lt;&gt;"已完成",D195&lt;&gt;"",E195&lt;&gt;"",E195&lt;TODAY()),"⚠️延期","")</f>
        <v/>
      </c>
      <c r="H195" s="39" t="n"/>
      <c r="I195" s="38" t="n"/>
    </row>
    <row r="196" ht="16.5" customHeight="1" s="50">
      <c r="A196" s="39" t="n"/>
      <c r="B196" s="38" t="n"/>
      <c r="C196" s="39" t="n"/>
      <c r="D196" s="39" t="n"/>
      <c r="E196" s="53" t="n"/>
      <c r="F196" s="53" t="n"/>
      <c r="G196" s="37">
        <f>IF(AND(D196&lt;&gt;"已完成",D196&lt;&gt;"",E196&lt;&gt;"",E196&lt;TODAY()),"⚠️延期","")</f>
        <v/>
      </c>
      <c r="H196" s="39" t="n"/>
      <c r="I196" s="38" t="n"/>
    </row>
    <row r="197" ht="16.5" customHeight="1" s="50">
      <c r="A197" s="39" t="n"/>
      <c r="B197" s="38" t="n"/>
      <c r="C197" s="39" t="n"/>
      <c r="D197" s="39" t="n"/>
      <c r="E197" s="53" t="n"/>
      <c r="F197" s="53" t="n"/>
      <c r="G197" s="37">
        <f>IF(AND(D197&lt;&gt;"已完成",D197&lt;&gt;"",E197&lt;&gt;"",E197&lt;TODAY()),"⚠️延期","")</f>
        <v/>
      </c>
      <c r="H197" s="39" t="n"/>
      <c r="I197" s="38" t="n"/>
    </row>
    <row r="198" ht="16.5" customHeight="1" s="50">
      <c r="A198" s="39" t="n"/>
      <c r="B198" s="38" t="n"/>
      <c r="C198" s="39" t="n"/>
      <c r="D198" s="39" t="n"/>
      <c r="E198" s="53" t="n"/>
      <c r="F198" s="53" t="n"/>
      <c r="G198" s="37">
        <f>IF(AND(D198&lt;&gt;"已完成",D198&lt;&gt;"",E198&lt;&gt;"",E198&lt;TODAY()),"⚠️延期","")</f>
        <v/>
      </c>
      <c r="H198" s="39" t="n"/>
      <c r="I198" s="38" t="n"/>
    </row>
    <row r="199" ht="16.5" customHeight="1" s="50">
      <c r="A199" s="39" t="n"/>
      <c r="B199" s="38" t="n"/>
      <c r="C199" s="39" t="n"/>
      <c r="D199" s="39" t="n"/>
      <c r="E199" s="53" t="n"/>
      <c r="F199" s="53" t="n"/>
      <c r="G199" s="37">
        <f>IF(AND(D199&lt;&gt;"已完成",D199&lt;&gt;"",E199&lt;&gt;"",E199&lt;TODAY()),"⚠️延期","")</f>
        <v/>
      </c>
      <c r="H199" s="39" t="n"/>
      <c r="I199" s="38" t="n"/>
    </row>
    <row r="200" ht="16.5" customHeight="1" s="50">
      <c r="A200" s="39" t="n"/>
      <c r="B200" s="38" t="n"/>
      <c r="C200" s="39" t="n"/>
      <c r="D200" s="39" t="n"/>
      <c r="E200" s="53" t="n"/>
      <c r="F200" s="53" t="n"/>
      <c r="G200" s="37">
        <f>IF(AND(D200&lt;&gt;"已完成",D200&lt;&gt;"",E200&lt;&gt;"",E200&lt;TODAY()),"⚠️延期","")</f>
        <v/>
      </c>
      <c r="H200" s="39" t="n"/>
      <c r="I200" s="38" t="n"/>
    </row>
    <row r="201" ht="16.5" customHeight="1" s="50">
      <c r="A201" s="39" t="n"/>
      <c r="B201" s="38" t="n"/>
      <c r="C201" s="39" t="n"/>
      <c r="D201" s="39" t="n"/>
      <c r="E201" s="53" t="n"/>
      <c r="F201" s="53" t="n"/>
      <c r="G201" s="37">
        <f>IF(AND(D201&lt;&gt;"已完成",D201&lt;&gt;"",E201&lt;&gt;"",E201&lt;TODAY()),"⚠️延期","")</f>
        <v/>
      </c>
      <c r="H201" s="39" t="n"/>
      <c r="I201" s="38" t="n"/>
    </row>
    <row r="202" ht="16.5" customHeight="1" s="50">
      <c r="A202" s="54" t="n"/>
      <c r="B202" s="55" t="n"/>
      <c r="C202" s="54" t="n"/>
      <c r="D202" s="54" t="n"/>
      <c r="E202" s="56" t="n"/>
      <c r="F202" s="56" t="n"/>
      <c r="G202" s="57">
        <f>IF(AND(D202&lt;&gt;"已完成",D202&lt;&gt;"",E202&lt;&gt;"",E202&lt;TODAY()),"⚠️延期","")</f>
        <v/>
      </c>
      <c r="H202" s="54" t="n"/>
      <c r="I202" s="55" t="n"/>
    </row>
    <row r="203" ht="16.5" customHeight="1" s="50">
      <c r="A203" s="54" t="n"/>
      <c r="B203" s="55" t="n"/>
      <c r="C203" s="54" t="n"/>
      <c r="D203" s="54" t="n"/>
      <c r="E203" s="56" t="n"/>
      <c r="F203" s="56" t="n"/>
      <c r="G203" s="57">
        <f>IF(AND(D203&lt;&gt;"已完成",D203&lt;&gt;"",E203&lt;&gt;"",E203&lt;TODAY()),"⚠️延期","")</f>
        <v/>
      </c>
      <c r="H203" s="54" t="n"/>
      <c r="I203" s="55" t="n"/>
    </row>
    <row r="204" ht="16.5" customHeight="1" s="50">
      <c r="A204" s="54" t="n"/>
      <c r="B204" s="55" t="n"/>
      <c r="C204" s="54" t="n"/>
      <c r="D204" s="54" t="n"/>
      <c r="E204" s="56" t="n"/>
      <c r="F204" s="56" t="n"/>
      <c r="G204" s="57">
        <f>IF(AND(D204&lt;&gt;"已完成",D204&lt;&gt;"",E204&lt;&gt;"",E204&lt;TODAY()),"⚠️延期","")</f>
        <v/>
      </c>
      <c r="H204" s="54" t="n"/>
      <c r="I204" s="55" t="n"/>
    </row>
    <row r="205" ht="16.5" customHeight="1" s="50">
      <c r="A205" s="54" t="n"/>
      <c r="B205" s="55" t="n"/>
      <c r="C205" s="54" t="n"/>
      <c r="D205" s="54" t="n"/>
      <c r="E205" s="56" t="n"/>
      <c r="F205" s="56" t="n"/>
      <c r="G205" s="57">
        <f>IF(AND(D205&lt;&gt;"已完成",D205&lt;&gt;"",E205&lt;&gt;"",E205&lt;TODAY()),"⚠️延期","")</f>
        <v/>
      </c>
      <c r="H205" s="54" t="n"/>
      <c r="I205" s="55" t="n"/>
    </row>
    <row r="206" ht="16.5" customHeight="1" s="50">
      <c r="A206" s="54" t="n"/>
      <c r="B206" s="55" t="n"/>
      <c r="C206" s="54" t="n"/>
      <c r="D206" s="54" t="n"/>
      <c r="E206" s="56" t="n"/>
      <c r="F206" s="56" t="n"/>
      <c r="G206" s="57">
        <f>IF(AND(D206&lt;&gt;"已完成",D206&lt;&gt;"",E206&lt;&gt;"",E206&lt;TODAY()),"⚠️延期","")</f>
        <v/>
      </c>
      <c r="H206" s="54" t="n"/>
      <c r="I206" s="55" t="n"/>
    </row>
    <row r="207" ht="16.5" customHeight="1" s="50">
      <c r="A207" s="54" t="n"/>
      <c r="B207" s="55" t="n"/>
      <c r="C207" s="54" t="n"/>
      <c r="D207" s="54" t="n"/>
      <c r="E207" s="56" t="n"/>
      <c r="F207" s="56" t="n"/>
      <c r="G207" s="57">
        <f>IF(AND(D207&lt;&gt;"已完成",D207&lt;&gt;"",E207&lt;&gt;"",E207&lt;TODAY()),"⚠️延期","")</f>
        <v/>
      </c>
      <c r="H207" s="54" t="n"/>
      <c r="I207" s="55" t="n"/>
    </row>
    <row r="208" ht="16.5" customHeight="1" s="50">
      <c r="A208" s="54" t="n"/>
      <c r="B208" s="55" t="n"/>
      <c r="C208" s="54" t="n"/>
      <c r="D208" s="54" t="n"/>
      <c r="E208" s="56" t="n"/>
      <c r="F208" s="56" t="n"/>
      <c r="G208" s="57">
        <f>IF(AND(D208&lt;&gt;"已完成",D208&lt;&gt;"",E208&lt;&gt;"",E208&lt;TODAY()),"⚠️延期","")</f>
        <v/>
      </c>
      <c r="H208" s="54" t="n"/>
      <c r="I208" s="55" t="n"/>
    </row>
    <row r="209" ht="16.5" customHeight="1" s="50">
      <c r="A209" s="54" t="n"/>
      <c r="B209" s="55" t="n"/>
      <c r="C209" s="54" t="n"/>
      <c r="D209" s="54" t="n"/>
      <c r="E209" s="56" t="n"/>
      <c r="F209" s="56" t="n"/>
      <c r="G209" s="57">
        <f>IF(AND(D209&lt;&gt;"已完成",D209&lt;&gt;"",E209&lt;&gt;"",E209&lt;TODAY()),"⚠️延期","")</f>
        <v/>
      </c>
      <c r="H209" s="54" t="n"/>
      <c r="I209" s="55" t="n"/>
    </row>
    <row r="210" ht="16.5" customHeight="1" s="50">
      <c r="A210" s="54" t="n"/>
      <c r="B210" s="55" t="n"/>
      <c r="C210" s="54" t="n"/>
      <c r="D210" s="54" t="n"/>
      <c r="E210" s="56" t="n"/>
      <c r="F210" s="56" t="n"/>
      <c r="G210" s="57">
        <f>IF(AND(D210&lt;&gt;"已完成",D210&lt;&gt;"",E210&lt;&gt;"",E210&lt;TODAY()),"⚠️延期","")</f>
        <v/>
      </c>
      <c r="H210" s="54" t="n"/>
      <c r="I210" s="55" t="n"/>
    </row>
    <row r="211" ht="16.5" customHeight="1" s="50">
      <c r="A211" s="54" t="n"/>
      <c r="B211" s="55" t="n"/>
      <c r="C211" s="54" t="n"/>
      <c r="D211" s="54" t="n"/>
      <c r="E211" s="56" t="n"/>
      <c r="F211" s="56" t="n"/>
      <c r="G211" s="57">
        <f>IF(AND(D211&lt;&gt;"已完成",D211&lt;&gt;"",E211&lt;&gt;"",E211&lt;TODAY()),"⚠️延期","")</f>
        <v/>
      </c>
      <c r="H211" s="54" t="n"/>
      <c r="I211" s="55" t="n"/>
    </row>
    <row r="212" ht="16.5" customHeight="1" s="50">
      <c r="A212" s="54" t="n"/>
      <c r="B212" s="55" t="n"/>
      <c r="C212" s="54" t="n"/>
      <c r="D212" s="54" t="n"/>
      <c r="E212" s="56" t="n"/>
      <c r="F212" s="56" t="n"/>
      <c r="G212" s="57">
        <f>IF(AND(D212&lt;&gt;"已完成",D212&lt;&gt;"",E212&lt;&gt;"",E212&lt;TODAY()),"⚠️延期","")</f>
        <v/>
      </c>
      <c r="H212" s="54" t="n"/>
      <c r="I212" s="55" t="n"/>
    </row>
    <row r="213" ht="16.5" customHeight="1" s="50">
      <c r="A213" s="54" t="n"/>
      <c r="B213" s="55" t="n"/>
      <c r="C213" s="54" t="n"/>
      <c r="D213" s="54" t="n"/>
      <c r="E213" s="56" t="n"/>
      <c r="F213" s="56" t="n"/>
      <c r="G213" s="57">
        <f>IF(AND(D213&lt;&gt;"已完成",D213&lt;&gt;"",E213&lt;&gt;"",E213&lt;TODAY()),"⚠️延期","")</f>
        <v/>
      </c>
      <c r="H213" s="54" t="n"/>
      <c r="I213" s="55" t="n"/>
    </row>
    <row r="214" ht="16.5" customHeight="1" s="50">
      <c r="A214" s="54" t="n"/>
      <c r="B214" s="55" t="n"/>
      <c r="C214" s="54" t="n"/>
      <c r="D214" s="54" t="n"/>
      <c r="E214" s="56" t="n"/>
      <c r="F214" s="56" t="n"/>
      <c r="G214" s="57">
        <f>IF(AND(D214&lt;&gt;"已完成",D214&lt;&gt;"",E214&lt;&gt;"",E214&lt;TODAY()),"⚠️延期","")</f>
        <v/>
      </c>
      <c r="H214" s="54" t="n"/>
      <c r="I214" s="55" t="n"/>
    </row>
    <row r="215" ht="16.5" customHeight="1" s="50">
      <c r="A215" s="54" t="n"/>
      <c r="B215" s="55" t="n"/>
      <c r="C215" s="54" t="n"/>
      <c r="D215" s="54" t="n"/>
      <c r="E215" s="56" t="n"/>
      <c r="F215" s="56" t="n"/>
      <c r="G215" s="57">
        <f>IF(AND(D215&lt;&gt;"已完成",D215&lt;&gt;"",E215&lt;&gt;"",E215&lt;TODAY()),"⚠️延期","")</f>
        <v/>
      </c>
      <c r="H215" s="54" t="n"/>
      <c r="I215" s="55" t="n"/>
    </row>
    <row r="216" ht="16.5" customHeight="1" s="50">
      <c r="A216" s="54" t="n"/>
      <c r="B216" s="55" t="n"/>
      <c r="C216" s="54" t="n"/>
      <c r="D216" s="54" t="n"/>
      <c r="E216" s="56" t="n"/>
      <c r="F216" s="56" t="n"/>
      <c r="G216" s="57">
        <f>IF(AND(D216&lt;&gt;"已完成",D216&lt;&gt;"",E216&lt;&gt;"",E216&lt;TODAY()),"⚠️延期","")</f>
        <v/>
      </c>
      <c r="H216" s="54" t="n"/>
      <c r="I216" s="55" t="n"/>
    </row>
    <row r="217" ht="16.5" customHeight="1" s="50">
      <c r="A217" s="54" t="n"/>
      <c r="B217" s="55" t="n"/>
      <c r="C217" s="54" t="n"/>
      <c r="D217" s="54" t="n"/>
      <c r="E217" s="56" t="n"/>
      <c r="F217" s="56" t="n"/>
      <c r="G217" s="57">
        <f>IF(AND(D217&lt;&gt;"已完成",D217&lt;&gt;"",E217&lt;&gt;"",E217&lt;TODAY()),"⚠️延期","")</f>
        <v/>
      </c>
      <c r="H217" s="54" t="n"/>
      <c r="I217" s="55" t="n"/>
    </row>
    <row r="218" ht="16.5" customHeight="1" s="50">
      <c r="A218" s="54" t="n"/>
      <c r="B218" s="55" t="n"/>
      <c r="C218" s="54" t="n"/>
      <c r="D218" s="54" t="n"/>
      <c r="E218" s="56" t="n"/>
      <c r="F218" s="56" t="n"/>
      <c r="G218" s="57">
        <f>IF(AND(D218&lt;&gt;"已完成",D218&lt;&gt;"",E218&lt;&gt;"",E218&lt;TODAY()),"⚠️延期","")</f>
        <v/>
      </c>
      <c r="H218" s="54" t="n"/>
      <c r="I218" s="55" t="n"/>
    </row>
    <row r="219" ht="16.5" customHeight="1" s="50">
      <c r="A219" s="54" t="n"/>
      <c r="B219" s="55" t="n"/>
      <c r="C219" s="54" t="n"/>
      <c r="D219" s="54" t="n"/>
      <c r="E219" s="56" t="n"/>
      <c r="F219" s="56" t="n"/>
      <c r="G219" s="57">
        <f>IF(AND(D219&lt;&gt;"已完成",D219&lt;&gt;"",E219&lt;&gt;"",E219&lt;TODAY()),"⚠️延期","")</f>
        <v/>
      </c>
      <c r="H219" s="54" t="n"/>
      <c r="I219" s="55" t="n"/>
    </row>
    <row r="220" ht="16.5" customHeight="1" s="50">
      <c r="A220" s="54" t="n"/>
      <c r="B220" s="55" t="n"/>
      <c r="C220" s="54" t="n"/>
      <c r="D220" s="54" t="n"/>
      <c r="E220" s="56" t="n"/>
      <c r="F220" s="56" t="n"/>
      <c r="G220" s="57">
        <f>IF(AND(D220&lt;&gt;"已完成",D220&lt;&gt;"",E220&lt;&gt;"",E220&lt;TODAY()),"⚠️延期","")</f>
        <v/>
      </c>
      <c r="H220" s="54" t="n"/>
      <c r="I220" s="55" t="n"/>
    </row>
    <row r="221" ht="16.5" customHeight="1" s="50">
      <c r="A221" s="54" t="n"/>
      <c r="B221" s="55" t="n"/>
      <c r="C221" s="54" t="n"/>
      <c r="D221" s="54" t="n"/>
      <c r="E221" s="56" t="n"/>
      <c r="F221" s="56" t="n"/>
      <c r="G221" s="57">
        <f>IF(AND(D221&lt;&gt;"已完成",D221&lt;&gt;"",E221&lt;&gt;"",E221&lt;TODAY()),"⚠️延期","")</f>
        <v/>
      </c>
      <c r="H221" s="54" t="n"/>
      <c r="I221" s="55" t="n"/>
    </row>
    <row r="222" ht="16.5" customHeight="1" s="50">
      <c r="A222" s="54" t="n"/>
      <c r="B222" s="55" t="n"/>
      <c r="C222" s="54" t="n"/>
      <c r="D222" s="54" t="n"/>
      <c r="E222" s="56" t="n"/>
      <c r="F222" s="56" t="n"/>
      <c r="G222" s="57">
        <f>IF(AND(D222&lt;&gt;"已完成",D222&lt;&gt;"",E222&lt;&gt;"",E222&lt;TODAY()),"⚠️延期","")</f>
        <v/>
      </c>
      <c r="H222" s="54" t="n"/>
      <c r="I222" s="55" t="n"/>
    </row>
    <row r="223" ht="16.5" customHeight="1" s="50">
      <c r="A223" s="54" t="n"/>
      <c r="B223" s="55" t="n"/>
      <c r="C223" s="54" t="n"/>
      <c r="D223" s="54" t="n"/>
      <c r="E223" s="56" t="n"/>
      <c r="F223" s="56" t="n"/>
      <c r="G223" s="57">
        <f>IF(AND(D223&lt;&gt;"已完成",D223&lt;&gt;"",E223&lt;&gt;"",E223&lt;TODAY()),"⚠️延期","")</f>
        <v/>
      </c>
      <c r="H223" s="54" t="n"/>
      <c r="I223" s="55" t="n"/>
    </row>
    <row r="224" ht="16.5" customHeight="1" s="50">
      <c r="A224" s="54" t="n"/>
      <c r="B224" s="55" t="n"/>
      <c r="C224" s="54" t="n"/>
      <c r="D224" s="54" t="n"/>
      <c r="E224" s="56" t="n"/>
      <c r="F224" s="56" t="n"/>
      <c r="G224" s="57">
        <f>IF(AND(D224&lt;&gt;"已完成",D224&lt;&gt;"",E224&lt;&gt;"",E224&lt;TODAY()),"⚠️延期","")</f>
        <v/>
      </c>
      <c r="H224" s="54" t="n"/>
      <c r="I224" s="55" t="n"/>
    </row>
    <row r="225" ht="16.5" customHeight="1" s="50">
      <c r="A225" s="54" t="n"/>
      <c r="B225" s="55" t="n"/>
      <c r="C225" s="54" t="n"/>
      <c r="D225" s="54" t="n"/>
      <c r="E225" s="56" t="n"/>
      <c r="F225" s="56" t="n"/>
      <c r="G225" s="57">
        <f>IF(AND(D225&lt;&gt;"已完成",D225&lt;&gt;"",E225&lt;&gt;"",E225&lt;TODAY()),"⚠️延期","")</f>
        <v/>
      </c>
      <c r="H225" s="54" t="n"/>
      <c r="I225" s="55" t="n"/>
    </row>
    <row r="226" ht="16.5" customHeight="1" s="50">
      <c r="A226" s="54" t="n"/>
      <c r="B226" s="55" t="n"/>
      <c r="C226" s="54" t="n"/>
      <c r="D226" s="54" t="n"/>
      <c r="E226" s="56" t="n"/>
      <c r="F226" s="56" t="n"/>
      <c r="G226" s="57">
        <f>IF(AND(D226&lt;&gt;"已完成",D226&lt;&gt;"",E226&lt;&gt;"",E226&lt;TODAY()),"⚠️延期","")</f>
        <v/>
      </c>
      <c r="H226" s="54" t="n"/>
      <c r="I226" s="55" t="n"/>
    </row>
    <row r="227" ht="16.5" customHeight="1" s="50">
      <c r="A227" s="54" t="n"/>
      <c r="B227" s="55" t="n"/>
      <c r="C227" s="54" t="n"/>
      <c r="D227" s="54" t="n"/>
      <c r="E227" s="56" t="n"/>
      <c r="F227" s="56" t="n"/>
      <c r="G227" s="57">
        <f>IF(AND(D227&lt;&gt;"已完成",D227&lt;&gt;"",E227&lt;&gt;"",E227&lt;TODAY()),"⚠️延期","")</f>
        <v/>
      </c>
      <c r="H227" s="54" t="n"/>
      <c r="I227" s="55" t="n"/>
    </row>
    <row r="228" ht="16.5" customHeight="1" s="50">
      <c r="A228" s="54" t="n"/>
      <c r="B228" s="55" t="n"/>
      <c r="C228" s="54" t="n"/>
      <c r="D228" s="54" t="n"/>
      <c r="E228" s="56" t="n"/>
      <c r="F228" s="56" t="n"/>
      <c r="G228" s="57">
        <f>IF(AND(D228&lt;&gt;"已完成",D228&lt;&gt;"",E228&lt;&gt;"",E228&lt;TODAY()),"⚠️延期","")</f>
        <v/>
      </c>
      <c r="H228" s="54" t="n"/>
      <c r="I228" s="55" t="n"/>
    </row>
    <row r="229" ht="16.5" customHeight="1" s="50">
      <c r="A229" s="54" t="n"/>
      <c r="B229" s="55" t="n"/>
      <c r="C229" s="54" t="n"/>
      <c r="D229" s="54" t="n"/>
      <c r="E229" s="56" t="n"/>
      <c r="F229" s="56" t="n"/>
      <c r="G229" s="57">
        <f>IF(AND(D229&lt;&gt;"已完成",D229&lt;&gt;"",E229&lt;&gt;"",E229&lt;TODAY()),"⚠️延期","")</f>
        <v/>
      </c>
      <c r="H229" s="54" t="n"/>
      <c r="I229" s="55" t="n"/>
    </row>
    <row r="230" ht="16.5" customHeight="1" s="50">
      <c r="A230" s="54" t="n"/>
      <c r="B230" s="55" t="n"/>
      <c r="C230" s="54" t="n"/>
      <c r="D230" s="54" t="n"/>
      <c r="E230" s="56" t="n"/>
      <c r="F230" s="56" t="n"/>
      <c r="G230" s="57">
        <f>IF(AND(D230&lt;&gt;"已完成",D230&lt;&gt;"",E230&lt;&gt;"",E230&lt;TODAY()),"⚠️延期","")</f>
        <v/>
      </c>
      <c r="H230" s="54" t="n"/>
      <c r="I230" s="55" t="n"/>
    </row>
    <row r="231" ht="16.5" customHeight="1" s="50">
      <c r="A231" s="54" t="n"/>
      <c r="B231" s="55" t="n"/>
      <c r="C231" s="54" t="n"/>
      <c r="D231" s="54" t="n"/>
      <c r="E231" s="56" t="n"/>
      <c r="F231" s="56" t="n"/>
      <c r="G231" s="57">
        <f>IF(AND(D231&lt;&gt;"已完成",D231&lt;&gt;"",E231&lt;&gt;"",E231&lt;TODAY()),"⚠️延期","")</f>
        <v/>
      </c>
      <c r="H231" s="54" t="n"/>
      <c r="I231" s="55" t="n"/>
    </row>
    <row r="232" ht="16.5" customHeight="1" s="50">
      <c r="A232" s="54" t="n"/>
      <c r="B232" s="55" t="n"/>
      <c r="C232" s="54" t="n"/>
      <c r="D232" s="54" t="n"/>
      <c r="E232" s="56" t="n"/>
      <c r="F232" s="56" t="n"/>
      <c r="G232" s="57">
        <f>IF(AND(D232&lt;&gt;"已完成",D232&lt;&gt;"",E232&lt;&gt;"",E232&lt;TODAY()),"⚠️延期","")</f>
        <v/>
      </c>
      <c r="H232" s="54" t="n"/>
      <c r="I232" s="55" t="n"/>
    </row>
    <row r="233" ht="16.5" customHeight="1" s="50">
      <c r="A233" s="54" t="n"/>
      <c r="B233" s="55" t="n"/>
      <c r="C233" s="54" t="n"/>
      <c r="D233" s="54" t="n"/>
      <c r="E233" s="56" t="n"/>
      <c r="F233" s="56" t="n"/>
      <c r="G233" s="57">
        <f>IF(AND(D233&lt;&gt;"已完成",D233&lt;&gt;"",E233&lt;&gt;"",E233&lt;TODAY()),"⚠️延期","")</f>
        <v/>
      </c>
      <c r="H233" s="54" t="n"/>
      <c r="I233" s="55" t="n"/>
    </row>
    <row r="234" ht="16.5" customHeight="1" s="50">
      <c r="A234" s="54" t="n"/>
      <c r="B234" s="55" t="n"/>
      <c r="C234" s="54" t="n"/>
      <c r="D234" s="54" t="n"/>
      <c r="E234" s="56" t="n"/>
      <c r="F234" s="56" t="n"/>
      <c r="G234" s="57">
        <f>IF(AND(D234&lt;&gt;"已完成",D234&lt;&gt;"",E234&lt;&gt;"",E234&lt;TODAY()),"⚠️延期","")</f>
        <v/>
      </c>
      <c r="H234" s="54" t="n"/>
      <c r="I234" s="55" t="n"/>
    </row>
    <row r="235" ht="16.5" customHeight="1" s="50">
      <c r="A235" s="54" t="n"/>
      <c r="B235" s="55" t="n"/>
      <c r="C235" s="54" t="n"/>
      <c r="D235" s="54" t="n"/>
      <c r="E235" s="56" t="n"/>
      <c r="F235" s="56" t="n"/>
      <c r="G235" s="57">
        <f>IF(AND(D235&lt;&gt;"已完成",D235&lt;&gt;"",E235&lt;&gt;"",E235&lt;TODAY()),"⚠️延期","")</f>
        <v/>
      </c>
      <c r="H235" s="54" t="n"/>
      <c r="I235" s="55" t="n"/>
    </row>
    <row r="236" ht="16.5" customHeight="1" s="50">
      <c r="A236" s="54" t="n"/>
      <c r="B236" s="55" t="n"/>
      <c r="C236" s="54" t="n"/>
      <c r="D236" s="54" t="n"/>
      <c r="E236" s="56" t="n"/>
      <c r="F236" s="56" t="n"/>
      <c r="G236" s="57">
        <f>IF(AND(D236&lt;&gt;"已完成",D236&lt;&gt;"",E236&lt;&gt;"",E236&lt;TODAY()),"⚠️延期","")</f>
        <v/>
      </c>
      <c r="H236" s="54" t="n"/>
      <c r="I236" s="55" t="n"/>
    </row>
    <row r="237" ht="16.5" customHeight="1" s="50">
      <c r="A237" s="54" t="n"/>
      <c r="B237" s="55" t="n"/>
      <c r="C237" s="54" t="n"/>
      <c r="D237" s="54" t="n"/>
      <c r="E237" s="56" t="n"/>
      <c r="F237" s="56" t="n"/>
      <c r="G237" s="57">
        <f>IF(AND(D237&lt;&gt;"已完成",D237&lt;&gt;"",E237&lt;&gt;"",E237&lt;TODAY()),"⚠️延期","")</f>
        <v/>
      </c>
      <c r="H237" s="54" t="n"/>
      <c r="I237" s="55" t="n"/>
    </row>
    <row r="238" ht="16.5" customHeight="1" s="50">
      <c r="A238" s="54" t="n"/>
      <c r="B238" s="55" t="n"/>
      <c r="C238" s="54" t="n"/>
      <c r="D238" s="54" t="n"/>
      <c r="E238" s="56" t="n"/>
      <c r="F238" s="56" t="n"/>
      <c r="G238" s="57">
        <f>IF(AND(D238&lt;&gt;"已完成",D238&lt;&gt;"",E238&lt;&gt;"",E238&lt;TODAY()),"⚠️延期","")</f>
        <v/>
      </c>
      <c r="H238" s="54" t="n"/>
      <c r="I238" s="55" t="n"/>
    </row>
    <row r="239" ht="16.5" customHeight="1" s="50">
      <c r="A239" s="54" t="n"/>
      <c r="B239" s="55" t="n"/>
      <c r="C239" s="54" t="n"/>
      <c r="D239" s="54" t="n"/>
      <c r="E239" s="56" t="n"/>
      <c r="F239" s="56" t="n"/>
      <c r="G239" s="57">
        <f>IF(AND(D239&lt;&gt;"已完成",D239&lt;&gt;"",E239&lt;&gt;"",E239&lt;TODAY()),"⚠️延期","")</f>
        <v/>
      </c>
      <c r="H239" s="54" t="n"/>
      <c r="I239" s="55" t="n"/>
    </row>
    <row r="240" ht="16.5" customHeight="1" s="50">
      <c r="A240" s="54" t="n"/>
      <c r="B240" s="55" t="n"/>
      <c r="C240" s="54" t="n"/>
      <c r="D240" s="54" t="n"/>
      <c r="E240" s="56" t="n"/>
      <c r="F240" s="56" t="n"/>
      <c r="G240" s="57">
        <f>IF(AND(D240&lt;&gt;"已完成",D240&lt;&gt;"",E240&lt;&gt;"",E240&lt;TODAY()),"⚠️延期","")</f>
        <v/>
      </c>
      <c r="H240" s="54" t="n"/>
      <c r="I240" s="55" t="n"/>
    </row>
    <row r="241" ht="16.5" customHeight="1" s="50">
      <c r="A241" s="54" t="n"/>
      <c r="B241" s="55" t="n"/>
      <c r="C241" s="54" t="n"/>
      <c r="D241" s="54" t="n"/>
      <c r="E241" s="56" t="n"/>
      <c r="F241" s="56" t="n"/>
      <c r="G241" s="57">
        <f>IF(AND(D241&lt;&gt;"已完成",D241&lt;&gt;"",E241&lt;&gt;"",E241&lt;TODAY()),"⚠️延期","")</f>
        <v/>
      </c>
      <c r="H241" s="54" t="n"/>
      <c r="I241" s="55" t="n"/>
    </row>
    <row r="242" ht="16.5" customHeight="1" s="50">
      <c r="A242" s="54" t="n"/>
      <c r="B242" s="55" t="n"/>
      <c r="C242" s="54" t="n"/>
      <c r="D242" s="54" t="n"/>
      <c r="E242" s="56" t="n"/>
      <c r="F242" s="56" t="n"/>
      <c r="G242" s="57">
        <f>IF(AND(D242&lt;&gt;"已完成",D242&lt;&gt;"",E242&lt;&gt;"",E242&lt;TODAY()),"⚠️延期","")</f>
        <v/>
      </c>
      <c r="H242" s="54" t="n"/>
      <c r="I242" s="55" t="n"/>
    </row>
    <row r="243" ht="16.5" customHeight="1" s="50">
      <c r="A243" s="54" t="n"/>
      <c r="B243" s="55" t="n"/>
      <c r="C243" s="54" t="n"/>
      <c r="D243" s="54" t="n"/>
      <c r="E243" s="56" t="n"/>
      <c r="F243" s="56" t="n"/>
      <c r="G243" s="57">
        <f>IF(AND(D243&lt;&gt;"已完成",D243&lt;&gt;"",E243&lt;&gt;"",E243&lt;TODAY()),"⚠️延期","")</f>
        <v/>
      </c>
      <c r="H243" s="54" t="n"/>
      <c r="I243" s="55" t="n"/>
    </row>
    <row r="244" ht="16.5" customHeight="1" s="50">
      <c r="A244" s="54" t="n"/>
      <c r="B244" s="55" t="n"/>
      <c r="C244" s="54" t="n"/>
      <c r="D244" s="54" t="n"/>
      <c r="E244" s="56" t="n"/>
      <c r="F244" s="56" t="n"/>
      <c r="G244" s="57">
        <f>IF(AND(D244&lt;&gt;"已完成",D244&lt;&gt;"",E244&lt;&gt;"",E244&lt;TODAY()),"⚠️延期","")</f>
        <v/>
      </c>
      <c r="H244" s="54" t="n"/>
      <c r="I244" s="55" t="n"/>
    </row>
    <row r="245" ht="16.5" customHeight="1" s="50">
      <c r="A245" s="54" t="n"/>
      <c r="B245" s="55" t="n"/>
      <c r="C245" s="54" t="n"/>
      <c r="D245" s="54" t="n"/>
      <c r="E245" s="56" t="n"/>
      <c r="F245" s="56" t="n"/>
      <c r="G245" s="57">
        <f>IF(AND(D245&lt;&gt;"已完成",D245&lt;&gt;"",E245&lt;&gt;"",E245&lt;TODAY()),"⚠️延期","")</f>
        <v/>
      </c>
      <c r="H245" s="54" t="n"/>
      <c r="I245" s="55" t="n"/>
    </row>
    <row r="246" ht="16.5" customHeight="1" s="50">
      <c r="A246" s="54" t="n"/>
      <c r="B246" s="55" t="n"/>
      <c r="C246" s="54" t="n"/>
      <c r="D246" s="54" t="n"/>
      <c r="E246" s="56" t="n"/>
      <c r="F246" s="56" t="n"/>
      <c r="G246" s="57">
        <f>IF(AND(D246&lt;&gt;"已完成",D246&lt;&gt;"",E246&lt;&gt;"",E246&lt;TODAY()),"⚠️延期","")</f>
        <v/>
      </c>
      <c r="H246" s="54" t="n"/>
      <c r="I246" s="55" t="n"/>
    </row>
    <row r="247" ht="16.5" customHeight="1" s="50">
      <c r="A247" s="54" t="n"/>
      <c r="B247" s="55" t="n"/>
      <c r="C247" s="54" t="n"/>
      <c r="D247" s="54" t="n"/>
      <c r="E247" s="56" t="n"/>
      <c r="F247" s="56" t="n"/>
      <c r="G247" s="57">
        <f>IF(AND(D247&lt;&gt;"已完成",D247&lt;&gt;"",E247&lt;&gt;"",E247&lt;TODAY()),"⚠️延期","")</f>
        <v/>
      </c>
      <c r="H247" s="54" t="n"/>
      <c r="I247" s="55" t="n"/>
    </row>
    <row r="248" ht="16.5" customHeight="1" s="50">
      <c r="A248" s="54" t="n"/>
      <c r="B248" s="55" t="n"/>
      <c r="C248" s="54" t="n"/>
      <c r="D248" s="54" t="n"/>
      <c r="E248" s="56" t="n"/>
      <c r="F248" s="56" t="n"/>
      <c r="G248" s="57">
        <f>IF(AND(D248&lt;&gt;"已完成",D248&lt;&gt;"",E248&lt;&gt;"",E248&lt;TODAY()),"⚠️延期","")</f>
        <v/>
      </c>
      <c r="H248" s="54" t="n"/>
      <c r="I248" s="55" t="n"/>
    </row>
    <row r="249" ht="16.5" customHeight="1" s="50">
      <c r="A249" s="54" t="n"/>
      <c r="B249" s="55" t="n"/>
      <c r="C249" s="54" t="n"/>
      <c r="D249" s="54" t="n"/>
      <c r="E249" s="56" t="n"/>
      <c r="F249" s="56" t="n"/>
      <c r="G249" s="57">
        <f>IF(AND(D249&lt;&gt;"已完成",D249&lt;&gt;"",E249&lt;&gt;"",E249&lt;TODAY()),"⚠️延期","")</f>
        <v/>
      </c>
      <c r="H249" s="54" t="n"/>
      <c r="I249" s="55" t="n"/>
    </row>
    <row r="250" ht="16.5" customHeight="1" s="50">
      <c r="A250" s="54" t="n"/>
      <c r="B250" s="55" t="n"/>
      <c r="C250" s="54" t="n"/>
      <c r="D250" s="54" t="n"/>
      <c r="E250" s="56" t="n"/>
      <c r="F250" s="56" t="n"/>
      <c r="G250" s="57">
        <f>IF(AND(D250&lt;&gt;"已完成",D250&lt;&gt;"",E250&lt;&gt;"",E250&lt;TODAY()),"⚠️延期","")</f>
        <v/>
      </c>
      <c r="H250" s="54" t="n"/>
      <c r="I250" s="55" t="n"/>
    </row>
    <row r="251" ht="16.5" customHeight="1" s="50">
      <c r="A251" s="54" t="n"/>
      <c r="B251" s="55" t="n"/>
      <c r="C251" s="54" t="n"/>
      <c r="D251" s="54" t="n"/>
      <c r="E251" s="56" t="n"/>
      <c r="F251" s="56" t="n"/>
      <c r="G251" s="57">
        <f>IF(AND(D251&lt;&gt;"已完成",D251&lt;&gt;"",E251&lt;&gt;"",E251&lt;TODAY()),"⚠️延期","")</f>
        <v/>
      </c>
      <c r="H251" s="54" t="n"/>
      <c r="I251" s="55" t="n"/>
    </row>
    <row r="252" ht="16.5" customHeight="1" s="50">
      <c r="A252" s="54" t="n"/>
      <c r="B252" s="55" t="n"/>
      <c r="C252" s="54" t="n"/>
      <c r="D252" s="54" t="n"/>
      <c r="E252" s="56" t="n"/>
      <c r="F252" s="56" t="n"/>
      <c r="G252" s="57">
        <f>IF(AND(D252&lt;&gt;"已完成",D252&lt;&gt;"",E252&lt;&gt;"",E252&lt;TODAY()),"⚠️延期","")</f>
        <v/>
      </c>
      <c r="H252" s="54" t="n"/>
      <c r="I252" s="55" t="n"/>
    </row>
    <row r="253" ht="16.5" customHeight="1" s="50">
      <c r="A253" s="54" t="n"/>
      <c r="B253" s="55" t="n"/>
      <c r="C253" s="54" t="n"/>
      <c r="D253" s="54" t="n"/>
      <c r="E253" s="56" t="n"/>
      <c r="F253" s="56" t="n"/>
      <c r="G253" s="57">
        <f>IF(AND(D253&lt;&gt;"已完成",D253&lt;&gt;"",E253&lt;&gt;"",E253&lt;TODAY()),"⚠️延期","")</f>
        <v/>
      </c>
      <c r="H253" s="54" t="n"/>
      <c r="I253" s="55" t="n"/>
    </row>
    <row r="254" ht="16.5" customHeight="1" s="50">
      <c r="A254" s="54" t="n"/>
      <c r="B254" s="55" t="n"/>
      <c r="C254" s="54" t="n"/>
      <c r="D254" s="54" t="n"/>
      <c r="E254" s="56" t="n"/>
      <c r="F254" s="56" t="n"/>
      <c r="G254" s="57">
        <f>IF(AND(D254&lt;&gt;"已完成",D254&lt;&gt;"",E254&lt;&gt;"",E254&lt;TODAY()),"⚠️延期","")</f>
        <v/>
      </c>
      <c r="H254" s="54" t="n"/>
      <c r="I254" s="55" t="n"/>
    </row>
    <row r="255" ht="16.5" customHeight="1" s="50">
      <c r="A255" s="54" t="n"/>
      <c r="B255" s="55" t="n"/>
      <c r="C255" s="54" t="n"/>
      <c r="D255" s="54" t="n"/>
      <c r="E255" s="56" t="n"/>
      <c r="F255" s="56" t="n"/>
      <c r="G255" s="57">
        <f>IF(AND(D255&lt;&gt;"已完成",D255&lt;&gt;"",E255&lt;&gt;"",E255&lt;TODAY()),"⚠️延期","")</f>
        <v/>
      </c>
      <c r="H255" s="54" t="n"/>
      <c r="I255" s="55" t="n"/>
    </row>
    <row r="256" ht="16.5" customHeight="1" s="50">
      <c r="A256" s="54" t="n"/>
      <c r="B256" s="55" t="n"/>
      <c r="C256" s="54" t="n"/>
      <c r="D256" s="54" t="n"/>
      <c r="E256" s="56" t="n"/>
      <c r="F256" s="56" t="n"/>
      <c r="G256" s="57">
        <f>IF(AND(D256&lt;&gt;"已完成",D256&lt;&gt;"",E256&lt;&gt;"",E256&lt;TODAY()),"⚠️延期","")</f>
        <v/>
      </c>
      <c r="H256" s="54" t="n"/>
      <c r="I256" s="55" t="n"/>
    </row>
    <row r="257" ht="16.5" customHeight="1" s="50">
      <c r="A257" s="54" t="n"/>
      <c r="B257" s="55" t="n"/>
      <c r="C257" s="54" t="n"/>
      <c r="D257" s="54" t="n"/>
      <c r="E257" s="56" t="n"/>
      <c r="F257" s="56" t="n"/>
      <c r="G257" s="57">
        <f>IF(AND(D257&lt;&gt;"已完成",D257&lt;&gt;"",E257&lt;&gt;"",E257&lt;TODAY()),"⚠️延期","")</f>
        <v/>
      </c>
      <c r="H257" s="54" t="n"/>
      <c r="I257" s="55" t="n"/>
    </row>
    <row r="258" ht="16.5" customHeight="1" s="50">
      <c r="A258" s="54" t="n"/>
      <c r="B258" s="55" t="n"/>
      <c r="C258" s="54" t="n"/>
      <c r="D258" s="54" t="n"/>
      <c r="E258" s="56" t="n"/>
      <c r="F258" s="56" t="n"/>
      <c r="G258" s="57">
        <f>IF(AND(D258&lt;&gt;"已完成",D258&lt;&gt;"",E258&lt;&gt;"",E258&lt;TODAY()),"⚠️延期","")</f>
        <v/>
      </c>
      <c r="H258" s="54" t="n"/>
      <c r="I258" s="55" t="n"/>
    </row>
    <row r="259" ht="16.5" customHeight="1" s="50">
      <c r="A259" s="54" t="n"/>
      <c r="B259" s="55" t="n"/>
      <c r="C259" s="54" t="n"/>
      <c r="D259" s="54" t="n"/>
      <c r="E259" s="56" t="n"/>
      <c r="F259" s="56" t="n"/>
      <c r="G259" s="57">
        <f>IF(AND(D259&lt;&gt;"已完成",D259&lt;&gt;"",E259&lt;&gt;"",E259&lt;TODAY()),"⚠️延期","")</f>
        <v/>
      </c>
      <c r="H259" s="54" t="n"/>
      <c r="I259" s="55" t="n"/>
    </row>
    <row r="260" ht="16.5" customHeight="1" s="50">
      <c r="A260" s="54" t="n"/>
      <c r="B260" s="55" t="n"/>
      <c r="C260" s="54" t="n"/>
      <c r="D260" s="54" t="n"/>
      <c r="E260" s="56" t="n"/>
      <c r="F260" s="56" t="n"/>
      <c r="G260" s="57">
        <f>IF(AND(D260&lt;&gt;"已完成",D260&lt;&gt;"",E260&lt;&gt;"",E260&lt;TODAY()),"⚠️延期","")</f>
        <v/>
      </c>
      <c r="H260" s="54" t="n"/>
      <c r="I260" s="55" t="n"/>
    </row>
    <row r="261" ht="16.5" customHeight="1" s="50">
      <c r="A261" s="54" t="n"/>
      <c r="B261" s="55" t="n"/>
      <c r="C261" s="54" t="n"/>
      <c r="D261" s="54" t="n"/>
      <c r="E261" s="56" t="n"/>
      <c r="F261" s="56" t="n"/>
      <c r="G261" s="57">
        <f>IF(AND(D261&lt;&gt;"已完成",D261&lt;&gt;"",E261&lt;&gt;"",E261&lt;TODAY()),"⚠️延期","")</f>
        <v/>
      </c>
      <c r="H261" s="54" t="n"/>
      <c r="I261" s="55" t="n"/>
    </row>
    <row r="262" ht="16.5" customHeight="1" s="50">
      <c r="A262" s="54" t="n"/>
      <c r="B262" s="55" t="n"/>
      <c r="C262" s="54" t="n"/>
      <c r="D262" s="54" t="n"/>
      <c r="E262" s="56" t="n"/>
      <c r="F262" s="56" t="n"/>
      <c r="G262" s="57">
        <f>IF(AND(D262&lt;&gt;"已完成",D262&lt;&gt;"",E262&lt;&gt;"",E262&lt;TODAY()),"⚠️延期","")</f>
        <v/>
      </c>
      <c r="H262" s="54" t="n"/>
      <c r="I262" s="55" t="n"/>
    </row>
    <row r="263" ht="16.5" customHeight="1" s="50">
      <c r="A263" s="54" t="n"/>
      <c r="B263" s="55" t="n"/>
      <c r="C263" s="54" t="n"/>
      <c r="D263" s="54" t="n"/>
      <c r="E263" s="56" t="n"/>
      <c r="F263" s="56" t="n"/>
      <c r="G263" s="57">
        <f>IF(AND(D263&lt;&gt;"已完成",D263&lt;&gt;"",E263&lt;&gt;"",E263&lt;TODAY()),"⚠️延期","")</f>
        <v/>
      </c>
      <c r="H263" s="54" t="n"/>
      <c r="I263" s="55" t="n"/>
    </row>
    <row r="264" ht="16.5" customHeight="1" s="50">
      <c r="A264" s="54" t="n"/>
      <c r="B264" s="55" t="n"/>
      <c r="C264" s="54" t="n"/>
      <c r="D264" s="54" t="n"/>
      <c r="E264" s="56" t="n"/>
      <c r="F264" s="56" t="n"/>
      <c r="G264" s="57">
        <f>IF(AND(D264&lt;&gt;"已完成",D264&lt;&gt;"",E264&lt;&gt;"",E264&lt;TODAY()),"⚠️延期","")</f>
        <v/>
      </c>
      <c r="H264" s="54" t="n"/>
      <c r="I264" s="55" t="n"/>
    </row>
    <row r="265" ht="16.5" customHeight="1" s="50">
      <c r="A265" s="54" t="n"/>
      <c r="B265" s="55" t="n"/>
      <c r="C265" s="54" t="n"/>
      <c r="D265" s="54" t="n"/>
      <c r="E265" s="56" t="n"/>
      <c r="F265" s="56" t="n"/>
      <c r="G265" s="57">
        <f>IF(AND(D265&lt;&gt;"已完成",D265&lt;&gt;"",E265&lt;&gt;"",E265&lt;TODAY()),"⚠️延期","")</f>
        <v/>
      </c>
      <c r="H265" s="54" t="n"/>
      <c r="I265" s="55" t="n"/>
    </row>
    <row r="266" ht="16.5" customHeight="1" s="50">
      <c r="A266" s="54" t="n"/>
      <c r="B266" s="55" t="n"/>
      <c r="C266" s="54" t="n"/>
      <c r="D266" s="54" t="n"/>
      <c r="E266" s="56" t="n"/>
      <c r="F266" s="56" t="n"/>
      <c r="G266" s="57">
        <f>IF(AND(D266&lt;&gt;"已完成",D266&lt;&gt;"",E266&lt;&gt;"",E266&lt;TODAY()),"⚠️延期","")</f>
        <v/>
      </c>
      <c r="H266" s="54" t="n"/>
      <c r="I266" s="55" t="n"/>
    </row>
    <row r="267" ht="16.5" customHeight="1" s="50">
      <c r="A267" s="54" t="n"/>
      <c r="B267" s="55" t="n"/>
      <c r="C267" s="54" t="n"/>
      <c r="D267" s="54" t="n"/>
      <c r="E267" s="56" t="n"/>
      <c r="F267" s="56" t="n"/>
      <c r="G267" s="57">
        <f>IF(AND(D267&lt;&gt;"已完成",D267&lt;&gt;"",E267&lt;&gt;"",E267&lt;TODAY()),"⚠️延期","")</f>
        <v/>
      </c>
      <c r="H267" s="54" t="n"/>
      <c r="I267" s="55" t="n"/>
    </row>
    <row r="268" ht="16.5" customHeight="1" s="50">
      <c r="A268" s="54" t="n"/>
      <c r="B268" s="55" t="n"/>
      <c r="C268" s="54" t="n"/>
      <c r="D268" s="54" t="n"/>
      <c r="E268" s="56" t="n"/>
      <c r="F268" s="56" t="n"/>
      <c r="G268" s="57">
        <f>IF(AND(D268&lt;&gt;"已完成",D268&lt;&gt;"",E268&lt;&gt;"",E268&lt;TODAY()),"⚠️延期","")</f>
        <v/>
      </c>
      <c r="H268" s="54" t="n"/>
      <c r="I268" s="55" t="n"/>
    </row>
    <row r="269" ht="16.5" customHeight="1" s="50">
      <c r="A269" s="54" t="n"/>
      <c r="B269" s="55" t="n"/>
      <c r="C269" s="54" t="n"/>
      <c r="D269" s="54" t="n"/>
      <c r="E269" s="56" t="n"/>
      <c r="F269" s="56" t="n"/>
      <c r="G269" s="57">
        <f>IF(AND(D269&lt;&gt;"已完成",D269&lt;&gt;"",E269&lt;&gt;"",E269&lt;TODAY()),"⚠️延期","")</f>
        <v/>
      </c>
      <c r="H269" s="54" t="n"/>
      <c r="I269" s="55" t="n"/>
    </row>
    <row r="270" ht="16.5" customHeight="1" s="50">
      <c r="A270" s="54" t="n"/>
      <c r="B270" s="55" t="n"/>
      <c r="C270" s="54" t="n"/>
      <c r="D270" s="54" t="n"/>
      <c r="E270" s="56" t="n"/>
      <c r="F270" s="56" t="n"/>
      <c r="G270" s="57">
        <f>IF(AND(D270&lt;&gt;"已完成",D270&lt;&gt;"",E270&lt;&gt;"",E270&lt;TODAY()),"⚠️延期","")</f>
        <v/>
      </c>
      <c r="H270" s="54" t="n"/>
      <c r="I270" s="55" t="n"/>
    </row>
    <row r="271" ht="16.5" customHeight="1" s="50">
      <c r="A271" s="54" t="n"/>
      <c r="B271" s="55" t="n"/>
      <c r="C271" s="54" t="n"/>
      <c r="D271" s="54" t="n"/>
      <c r="E271" s="56" t="n"/>
      <c r="F271" s="56" t="n"/>
      <c r="G271" s="57">
        <f>IF(AND(D271&lt;&gt;"已完成",D271&lt;&gt;"",E271&lt;&gt;"",E271&lt;TODAY()),"⚠️延期","")</f>
        <v/>
      </c>
      <c r="H271" s="54" t="n"/>
      <c r="I271" s="55" t="n"/>
    </row>
    <row r="272" ht="16.5" customHeight="1" s="50">
      <c r="A272" s="54" t="n"/>
      <c r="B272" s="55" t="n"/>
      <c r="C272" s="54" t="n"/>
      <c r="D272" s="54" t="n"/>
      <c r="E272" s="56" t="n"/>
      <c r="F272" s="56" t="n"/>
      <c r="G272" s="57">
        <f>IF(AND(D272&lt;&gt;"已完成",D272&lt;&gt;"",E272&lt;&gt;"",E272&lt;TODAY()),"⚠️延期","")</f>
        <v/>
      </c>
      <c r="H272" s="54" t="n"/>
      <c r="I272" s="55" t="n"/>
    </row>
    <row r="273" ht="16.5" customHeight="1" s="50">
      <c r="A273" s="54" t="n"/>
      <c r="B273" s="55" t="n"/>
      <c r="C273" s="54" t="n"/>
      <c r="D273" s="54" t="n"/>
      <c r="E273" s="56" t="n"/>
      <c r="F273" s="56" t="n"/>
      <c r="G273" s="57">
        <f>IF(AND(D273&lt;&gt;"已完成",D273&lt;&gt;"",E273&lt;&gt;"",E273&lt;TODAY()),"⚠️延期","")</f>
        <v/>
      </c>
      <c r="H273" s="54" t="n"/>
      <c r="I273" s="55" t="n"/>
    </row>
    <row r="274" ht="16.5" customHeight="1" s="50">
      <c r="A274" s="54" t="n"/>
      <c r="B274" s="55" t="n"/>
      <c r="C274" s="54" t="n"/>
      <c r="D274" s="54" t="n"/>
      <c r="E274" s="56" t="n"/>
      <c r="F274" s="56" t="n"/>
      <c r="G274" s="57">
        <f>IF(AND(D274&lt;&gt;"已完成",D274&lt;&gt;"",E274&lt;&gt;"",E274&lt;TODAY()),"⚠️延期","")</f>
        <v/>
      </c>
      <c r="H274" s="54" t="n"/>
      <c r="I274" s="55" t="n"/>
    </row>
    <row r="275" ht="16.5" customHeight="1" s="50">
      <c r="A275" s="54" t="n"/>
      <c r="B275" s="55" t="n"/>
      <c r="C275" s="54" t="n"/>
      <c r="D275" s="54" t="n"/>
      <c r="E275" s="56" t="n"/>
      <c r="F275" s="56" t="n"/>
      <c r="G275" s="57">
        <f>IF(AND(D275&lt;&gt;"已完成",D275&lt;&gt;"",E275&lt;&gt;"",E275&lt;TODAY()),"⚠️延期","")</f>
        <v/>
      </c>
      <c r="H275" s="54" t="n"/>
      <c r="I275" s="55" t="n"/>
    </row>
    <row r="276" ht="16.5" customHeight="1" s="50">
      <c r="A276" s="54" t="n"/>
      <c r="B276" s="55" t="n"/>
      <c r="C276" s="54" t="n"/>
      <c r="D276" s="54" t="n"/>
      <c r="E276" s="56" t="n"/>
      <c r="F276" s="56" t="n"/>
      <c r="G276" s="57">
        <f>IF(AND(D276&lt;&gt;"已完成",D276&lt;&gt;"",E276&lt;&gt;"",E276&lt;TODAY()),"⚠️延期","")</f>
        <v/>
      </c>
      <c r="H276" s="54" t="n"/>
      <c r="I276" s="55" t="n"/>
    </row>
    <row r="277" ht="16.5" customHeight="1" s="50">
      <c r="A277" s="54" t="n"/>
      <c r="B277" s="55" t="n"/>
      <c r="C277" s="54" t="n"/>
      <c r="D277" s="54" t="n"/>
      <c r="E277" s="56" t="n"/>
      <c r="F277" s="56" t="n"/>
      <c r="G277" s="57">
        <f>IF(AND(D277&lt;&gt;"已完成",D277&lt;&gt;"",E277&lt;&gt;"",E277&lt;TODAY()),"⚠️延期","")</f>
        <v/>
      </c>
      <c r="H277" s="54" t="n"/>
      <c r="I277" s="55" t="n"/>
    </row>
    <row r="278" ht="16.5" customHeight="1" s="50">
      <c r="A278" s="54" t="n"/>
      <c r="B278" s="55" t="n"/>
      <c r="C278" s="54" t="n"/>
      <c r="D278" s="54" t="n"/>
      <c r="E278" s="56" t="n"/>
      <c r="F278" s="56" t="n"/>
      <c r="G278" s="57">
        <f>IF(AND(D278&lt;&gt;"已完成",D278&lt;&gt;"",E278&lt;&gt;"",E278&lt;TODAY()),"⚠️延期","")</f>
        <v/>
      </c>
      <c r="H278" s="54" t="n"/>
      <c r="I278" s="55" t="n"/>
    </row>
    <row r="279" ht="16.5" customHeight="1" s="50">
      <c r="A279" s="54" t="n"/>
      <c r="B279" s="55" t="n"/>
      <c r="C279" s="54" t="n"/>
      <c r="D279" s="54" t="n"/>
      <c r="E279" s="56" t="n"/>
      <c r="F279" s="56" t="n"/>
      <c r="G279" s="57">
        <f>IF(AND(D279&lt;&gt;"已完成",D279&lt;&gt;"",E279&lt;&gt;"",E279&lt;TODAY()),"⚠️延期","")</f>
        <v/>
      </c>
      <c r="H279" s="54" t="n"/>
      <c r="I279" s="55" t="n"/>
    </row>
    <row r="280" ht="16.5" customHeight="1" s="50">
      <c r="A280" s="54" t="n"/>
      <c r="B280" s="55" t="n"/>
      <c r="C280" s="54" t="n"/>
      <c r="D280" s="54" t="n"/>
      <c r="E280" s="56" t="n"/>
      <c r="F280" s="56" t="n"/>
      <c r="G280" s="57">
        <f>IF(AND(D280&lt;&gt;"已完成",D280&lt;&gt;"",E280&lt;&gt;"",E280&lt;TODAY()),"⚠️延期","")</f>
        <v/>
      </c>
      <c r="H280" s="54" t="n"/>
      <c r="I280" s="55" t="n"/>
    </row>
    <row r="281" ht="16.5" customHeight="1" s="50">
      <c r="A281" s="54" t="n"/>
      <c r="B281" s="55" t="n"/>
      <c r="C281" s="54" t="n"/>
      <c r="D281" s="54" t="n"/>
      <c r="E281" s="56" t="n"/>
      <c r="F281" s="56" t="n"/>
      <c r="G281" s="57">
        <f>IF(AND(D281&lt;&gt;"已完成",D281&lt;&gt;"",E281&lt;&gt;"",E281&lt;TODAY()),"⚠️延期","")</f>
        <v/>
      </c>
      <c r="H281" s="54" t="n"/>
      <c r="I281" s="55" t="n"/>
    </row>
    <row r="282" ht="16.5" customHeight="1" s="50">
      <c r="A282" s="54" t="n"/>
      <c r="B282" s="55" t="n"/>
      <c r="C282" s="54" t="n"/>
      <c r="D282" s="54" t="n"/>
      <c r="E282" s="56" t="n"/>
      <c r="F282" s="56" t="n"/>
      <c r="G282" s="57">
        <f>IF(AND(D282&lt;&gt;"已完成",D282&lt;&gt;"",E282&lt;&gt;"",E282&lt;TODAY()),"⚠️延期","")</f>
        <v/>
      </c>
      <c r="H282" s="54" t="n"/>
      <c r="I282" s="55" t="n"/>
    </row>
    <row r="283" ht="16.5" customHeight="1" s="50">
      <c r="A283" s="54" t="n"/>
      <c r="B283" s="55" t="n"/>
      <c r="C283" s="54" t="n"/>
      <c r="D283" s="54" t="n"/>
      <c r="E283" s="56" t="n"/>
      <c r="F283" s="56" t="n"/>
      <c r="G283" s="57">
        <f>IF(AND(D283&lt;&gt;"已完成",D283&lt;&gt;"",E283&lt;&gt;"",E283&lt;TODAY()),"⚠️延期","")</f>
        <v/>
      </c>
      <c r="H283" s="54" t="n"/>
      <c r="I283" s="55" t="n"/>
    </row>
    <row r="284" ht="16.5" customHeight="1" s="50">
      <c r="A284" s="54" t="n"/>
      <c r="B284" s="55" t="n"/>
      <c r="C284" s="54" t="n"/>
      <c r="D284" s="54" t="n"/>
      <c r="E284" s="56" t="n"/>
      <c r="F284" s="56" t="n"/>
      <c r="G284" s="57">
        <f>IF(AND(D284&lt;&gt;"已完成",D284&lt;&gt;"",E284&lt;&gt;"",E284&lt;TODAY()),"⚠️延期","")</f>
        <v/>
      </c>
      <c r="H284" s="54" t="n"/>
      <c r="I284" s="55" t="n"/>
    </row>
    <row r="285" ht="16.5" customHeight="1" s="50">
      <c r="A285" s="54" t="n"/>
      <c r="B285" s="55" t="n"/>
      <c r="C285" s="54" t="n"/>
      <c r="D285" s="54" t="n"/>
      <c r="E285" s="56" t="n"/>
      <c r="F285" s="56" t="n"/>
      <c r="G285" s="57">
        <f>IF(AND(D285&lt;&gt;"已完成",D285&lt;&gt;"",E285&lt;&gt;"",E285&lt;TODAY()),"⚠️延期","")</f>
        <v/>
      </c>
      <c r="H285" s="54" t="n"/>
      <c r="I285" s="55" t="n"/>
    </row>
    <row r="286" ht="16.5" customHeight="1" s="50">
      <c r="A286" s="54" t="n"/>
      <c r="B286" s="55" t="n"/>
      <c r="C286" s="54" t="n"/>
      <c r="D286" s="54" t="n"/>
      <c r="E286" s="56" t="n"/>
      <c r="F286" s="56" t="n"/>
      <c r="G286" s="57">
        <f>IF(AND(D286&lt;&gt;"已完成",D286&lt;&gt;"",E286&lt;&gt;"",E286&lt;TODAY()),"⚠️延期","")</f>
        <v/>
      </c>
      <c r="H286" s="54" t="n"/>
      <c r="I286" s="55" t="n"/>
    </row>
    <row r="287" ht="16.5" customHeight="1" s="50">
      <c r="A287" s="54" t="n"/>
      <c r="B287" s="55" t="n"/>
      <c r="C287" s="54" t="n"/>
      <c r="D287" s="54" t="n"/>
      <c r="E287" s="56" t="n"/>
      <c r="F287" s="56" t="n"/>
      <c r="G287" s="57">
        <f>IF(AND(D287&lt;&gt;"已完成",D287&lt;&gt;"",E287&lt;&gt;"",E287&lt;TODAY()),"⚠️延期","")</f>
        <v/>
      </c>
      <c r="H287" s="54" t="n"/>
      <c r="I287" s="55" t="n"/>
    </row>
    <row r="288" ht="16.5" customHeight="1" s="50">
      <c r="A288" s="54" t="n"/>
      <c r="B288" s="55" t="n"/>
      <c r="C288" s="54" t="n"/>
      <c r="D288" s="54" t="n"/>
      <c r="E288" s="56" t="n"/>
      <c r="F288" s="56" t="n"/>
      <c r="G288" s="57">
        <f>IF(AND(D288&lt;&gt;"已完成",D288&lt;&gt;"",E288&lt;&gt;"",E288&lt;TODAY()),"⚠️延期","")</f>
        <v/>
      </c>
      <c r="H288" s="54" t="n"/>
      <c r="I288" s="55" t="n"/>
    </row>
    <row r="289" ht="16.5" customHeight="1" s="50">
      <c r="A289" s="54" t="n"/>
      <c r="B289" s="55" t="n"/>
      <c r="C289" s="54" t="n"/>
      <c r="D289" s="54" t="n"/>
      <c r="E289" s="56" t="n"/>
      <c r="F289" s="56" t="n"/>
      <c r="G289" s="57">
        <f>IF(AND(D289&lt;&gt;"已完成",D289&lt;&gt;"",E289&lt;&gt;"",E289&lt;TODAY()),"⚠️延期","")</f>
        <v/>
      </c>
      <c r="H289" s="54" t="n"/>
      <c r="I289" s="55" t="n"/>
    </row>
    <row r="290" ht="16.5" customHeight="1" s="50">
      <c r="A290" s="54" t="n"/>
      <c r="B290" s="55" t="n"/>
      <c r="C290" s="54" t="n"/>
      <c r="D290" s="54" t="n"/>
      <c r="E290" s="56" t="n"/>
      <c r="F290" s="56" t="n"/>
      <c r="G290" s="57">
        <f>IF(AND(D290&lt;&gt;"已完成",D290&lt;&gt;"",E290&lt;&gt;"",E290&lt;TODAY()),"⚠️延期","")</f>
        <v/>
      </c>
      <c r="H290" s="54" t="n"/>
      <c r="I290" s="55" t="n"/>
    </row>
    <row r="291" ht="16.5" customHeight="1" s="50">
      <c r="A291" s="54" t="n"/>
      <c r="B291" s="55" t="n"/>
      <c r="C291" s="54" t="n"/>
      <c r="D291" s="54" t="n"/>
      <c r="E291" s="56" t="n"/>
      <c r="F291" s="56" t="n"/>
      <c r="G291" s="57">
        <f>IF(AND(D291&lt;&gt;"已完成",D291&lt;&gt;"",E291&lt;&gt;"",E291&lt;TODAY()),"⚠️延期","")</f>
        <v/>
      </c>
      <c r="H291" s="54" t="n"/>
      <c r="I291" s="55" t="n"/>
    </row>
    <row r="292" ht="16.5" customHeight="1" s="50">
      <c r="A292" s="54" t="n"/>
      <c r="B292" s="55" t="n"/>
      <c r="C292" s="54" t="n"/>
      <c r="D292" s="54" t="n"/>
      <c r="E292" s="56" t="n"/>
      <c r="F292" s="56" t="n"/>
      <c r="G292" s="57">
        <f>IF(AND(D292&lt;&gt;"已完成",D292&lt;&gt;"",E292&lt;&gt;"",E292&lt;TODAY()),"⚠️延期","")</f>
        <v/>
      </c>
      <c r="H292" s="54" t="n"/>
      <c r="I292" s="55" t="n"/>
    </row>
    <row r="293" ht="16.5" customHeight="1" s="50">
      <c r="A293" s="54" t="n"/>
      <c r="B293" s="55" t="n"/>
      <c r="C293" s="54" t="n"/>
      <c r="D293" s="54" t="n"/>
      <c r="E293" s="56" t="n"/>
      <c r="F293" s="56" t="n"/>
      <c r="G293" s="57">
        <f>IF(AND(D293&lt;&gt;"已完成",D293&lt;&gt;"",E293&lt;&gt;"",E293&lt;TODAY()),"⚠️延期","")</f>
        <v/>
      </c>
      <c r="H293" s="54" t="n"/>
      <c r="I293" s="55" t="n"/>
    </row>
    <row r="294" ht="16.5" customHeight="1" s="50">
      <c r="A294" s="54" t="n"/>
      <c r="B294" s="55" t="n"/>
      <c r="C294" s="54" t="n"/>
      <c r="D294" s="54" t="n"/>
      <c r="E294" s="56" t="n"/>
      <c r="F294" s="56" t="n"/>
      <c r="G294" s="57">
        <f>IF(AND(D294&lt;&gt;"已完成",D294&lt;&gt;"",E294&lt;&gt;"",E294&lt;TODAY()),"⚠️延期","")</f>
        <v/>
      </c>
      <c r="H294" s="54" t="n"/>
      <c r="I294" s="55" t="n"/>
    </row>
    <row r="295" ht="16.5" customHeight="1" s="50">
      <c r="A295" s="54" t="n"/>
      <c r="B295" s="55" t="n"/>
      <c r="C295" s="54" t="n"/>
      <c r="D295" s="54" t="n"/>
      <c r="E295" s="56" t="n"/>
      <c r="F295" s="56" t="n"/>
      <c r="G295" s="57">
        <f>IF(AND(D295&lt;&gt;"已完成",D295&lt;&gt;"",E295&lt;&gt;"",E295&lt;TODAY()),"⚠️延期","")</f>
        <v/>
      </c>
      <c r="H295" s="54" t="n"/>
      <c r="I295" s="55" t="n"/>
    </row>
    <row r="296" ht="16.5" customHeight="1" s="50">
      <c r="A296" s="54" t="n"/>
      <c r="B296" s="55" t="n"/>
      <c r="C296" s="54" t="n"/>
      <c r="D296" s="54" t="n"/>
      <c r="E296" s="56" t="n"/>
      <c r="F296" s="56" t="n"/>
      <c r="G296" s="57">
        <f>IF(AND(D296&lt;&gt;"已完成",D296&lt;&gt;"",E296&lt;&gt;"",E296&lt;TODAY()),"⚠️延期","")</f>
        <v/>
      </c>
      <c r="H296" s="54" t="n"/>
      <c r="I296" s="55" t="n"/>
    </row>
    <row r="297" ht="16.5" customHeight="1" s="50">
      <c r="A297" s="54" t="n"/>
      <c r="B297" s="55" t="n"/>
      <c r="C297" s="54" t="n"/>
      <c r="D297" s="54" t="n"/>
      <c r="E297" s="56" t="n"/>
      <c r="F297" s="56" t="n"/>
      <c r="G297" s="57">
        <f>IF(AND(D297&lt;&gt;"已完成",D297&lt;&gt;"",E297&lt;&gt;"",E297&lt;TODAY()),"⚠️延期","")</f>
        <v/>
      </c>
      <c r="H297" s="54" t="n"/>
      <c r="I297" s="55" t="n"/>
    </row>
    <row r="298" ht="16.5" customHeight="1" s="50">
      <c r="A298" s="54" t="n"/>
      <c r="B298" s="55" t="n"/>
      <c r="C298" s="54" t="n"/>
      <c r="D298" s="54" t="n"/>
      <c r="E298" s="56" t="n"/>
      <c r="F298" s="56" t="n"/>
      <c r="G298" s="57">
        <f>IF(AND(D298&lt;&gt;"已完成",D298&lt;&gt;"",E298&lt;&gt;"",E298&lt;TODAY()),"⚠️延期","")</f>
        <v/>
      </c>
      <c r="H298" s="54" t="n"/>
      <c r="I298" s="55" t="n"/>
    </row>
    <row r="299" ht="16.5" customHeight="1" s="50">
      <c r="A299" s="54" t="n"/>
      <c r="B299" s="55" t="n"/>
      <c r="C299" s="54" t="n"/>
      <c r="D299" s="54" t="n"/>
      <c r="E299" s="56" t="n"/>
      <c r="F299" s="56" t="n"/>
      <c r="G299" s="57">
        <f>IF(AND(D299&lt;&gt;"已完成",D299&lt;&gt;"",E299&lt;&gt;"",E299&lt;TODAY()),"⚠️延期","")</f>
        <v/>
      </c>
      <c r="H299" s="54" t="n"/>
      <c r="I299" s="55" t="n"/>
    </row>
    <row r="300" ht="16.5" customHeight="1" s="50">
      <c r="A300" s="54" t="n"/>
      <c r="B300" s="55" t="n"/>
      <c r="C300" s="54" t="n"/>
      <c r="D300" s="54" t="n"/>
      <c r="E300" s="56" t="n"/>
      <c r="F300" s="56" t="n"/>
      <c r="G300" s="57">
        <f>IF(AND(D300&lt;&gt;"已完成",D300&lt;&gt;"",E300&lt;&gt;"",E300&lt;TODAY()),"⚠️延期","")</f>
        <v/>
      </c>
      <c r="H300" s="54" t="n"/>
      <c r="I300" s="55" t="n"/>
    </row>
    <row r="301" ht="16.5" customHeight="1" s="50">
      <c r="A301" s="54" t="n"/>
      <c r="B301" s="55" t="n"/>
      <c r="C301" s="54" t="n"/>
      <c r="D301" s="54" t="n"/>
      <c r="E301" s="56" t="n"/>
      <c r="F301" s="56" t="n"/>
      <c r="G301" s="57">
        <f>IF(AND(D301&lt;&gt;"已完成",D301&lt;&gt;"",E301&lt;&gt;"",E301&lt;TODAY()),"⚠️延期","")</f>
        <v/>
      </c>
      <c r="H301" s="54" t="n"/>
      <c r="I301" s="55" t="n"/>
    </row>
    <row r="302" ht="16.5" customHeight="1" s="50">
      <c r="A302" s="54" t="n"/>
      <c r="B302" s="55" t="n"/>
      <c r="C302" s="54" t="n"/>
      <c r="D302" s="54" t="n"/>
      <c r="E302" s="56" t="n"/>
      <c r="F302" s="56" t="n"/>
      <c r="G302" s="57">
        <f>IF(AND(D302&lt;&gt;"已完成",D302&lt;&gt;"",E302&lt;&gt;"",E302&lt;TODAY()),"⚠️延期","")</f>
        <v/>
      </c>
      <c r="H302" s="54" t="n"/>
      <c r="I302" s="55" t="n"/>
    </row>
    <row r="303" ht="16.5" customHeight="1" s="50">
      <c r="A303" s="54" t="n"/>
      <c r="B303" s="55" t="n"/>
      <c r="C303" s="54" t="n"/>
      <c r="D303" s="54" t="n"/>
      <c r="E303" s="56" t="n"/>
      <c r="F303" s="56" t="n"/>
      <c r="G303" s="57">
        <f>IF(AND(D303&lt;&gt;"已完成",D303&lt;&gt;"",E303&lt;&gt;"",E303&lt;TODAY()),"⚠️延期","")</f>
        <v/>
      </c>
      <c r="H303" s="54" t="n"/>
      <c r="I303" s="55" t="n"/>
    </row>
    <row r="304" ht="16.5" customHeight="1" s="50">
      <c r="A304" s="54" t="n"/>
      <c r="B304" s="55" t="n"/>
      <c r="C304" s="54" t="n"/>
      <c r="D304" s="54" t="n"/>
      <c r="E304" s="56" t="n"/>
      <c r="F304" s="56" t="n"/>
      <c r="G304" s="57">
        <f>IF(AND(D304&lt;&gt;"已完成",D304&lt;&gt;"",E304&lt;&gt;"",E304&lt;TODAY()),"⚠️延期","")</f>
        <v/>
      </c>
      <c r="H304" s="54" t="n"/>
      <c r="I304" s="55" t="n"/>
    </row>
    <row r="305" ht="16.5" customHeight="1" s="50">
      <c r="A305" s="54" t="n"/>
      <c r="B305" s="55" t="n"/>
      <c r="C305" s="54" t="n"/>
      <c r="D305" s="54" t="n"/>
      <c r="E305" s="56" t="n"/>
      <c r="F305" s="56" t="n"/>
      <c r="G305" s="57">
        <f>IF(AND(D305&lt;&gt;"已完成",D305&lt;&gt;"",E305&lt;&gt;"",E305&lt;TODAY()),"⚠️延期","")</f>
        <v/>
      </c>
      <c r="H305" s="54" t="n"/>
      <c r="I305" s="55" t="n"/>
    </row>
    <row r="306" ht="16.5" customHeight="1" s="50">
      <c r="A306" s="54" t="n"/>
      <c r="B306" s="55" t="n"/>
      <c r="C306" s="54" t="n"/>
      <c r="D306" s="54" t="n"/>
      <c r="E306" s="56" t="n"/>
      <c r="F306" s="56" t="n"/>
      <c r="G306" s="57">
        <f>IF(AND(D306&lt;&gt;"已完成",D306&lt;&gt;"",E306&lt;&gt;"",E306&lt;TODAY()),"⚠️延期","")</f>
        <v/>
      </c>
      <c r="H306" s="54" t="n"/>
      <c r="I306" s="55" t="n"/>
    </row>
    <row r="307" ht="16.5" customHeight="1" s="50">
      <c r="A307" s="54" t="n"/>
      <c r="B307" s="55" t="n"/>
      <c r="C307" s="54" t="n"/>
      <c r="D307" s="54" t="n"/>
      <c r="E307" s="56" t="n"/>
      <c r="F307" s="56" t="n"/>
      <c r="G307" s="57">
        <f>IF(AND(D307&lt;&gt;"已完成",D307&lt;&gt;"",E307&lt;&gt;"",E307&lt;TODAY()),"⚠️延期","")</f>
        <v/>
      </c>
      <c r="H307" s="54" t="n"/>
      <c r="I307" s="55" t="n"/>
    </row>
    <row r="308" ht="16.5" customHeight="1" s="50">
      <c r="A308" s="54" t="n"/>
      <c r="B308" s="55" t="n"/>
      <c r="C308" s="54" t="n"/>
      <c r="D308" s="54" t="n"/>
      <c r="E308" s="56" t="n"/>
      <c r="F308" s="56" t="n"/>
      <c r="G308" s="57">
        <f>IF(AND(D308&lt;&gt;"已完成",D308&lt;&gt;"",E308&lt;&gt;"",E308&lt;TODAY()),"⚠️延期","")</f>
        <v/>
      </c>
      <c r="H308" s="54" t="n"/>
      <c r="I308" s="55" t="n"/>
    </row>
    <row r="309" ht="16.5" customHeight="1" s="50">
      <c r="A309" s="54" t="n"/>
      <c r="B309" s="55" t="n"/>
      <c r="C309" s="54" t="n"/>
      <c r="D309" s="54" t="n"/>
      <c r="E309" s="56" t="n"/>
      <c r="F309" s="56" t="n"/>
      <c r="G309" s="57">
        <f>IF(AND(D309&lt;&gt;"已完成",D309&lt;&gt;"",E309&lt;&gt;"",E309&lt;TODAY()),"⚠️延期","")</f>
        <v/>
      </c>
      <c r="H309" s="54" t="n"/>
      <c r="I309" s="55" t="n"/>
    </row>
    <row r="310" ht="16.5" customHeight="1" s="50">
      <c r="A310" s="54" t="n"/>
      <c r="B310" s="55" t="n"/>
      <c r="C310" s="54" t="n"/>
      <c r="D310" s="54" t="n"/>
      <c r="E310" s="56" t="n"/>
      <c r="F310" s="56" t="n"/>
      <c r="G310" s="57">
        <f>IF(AND(D310&lt;&gt;"已完成",D310&lt;&gt;"",E310&lt;&gt;"",E310&lt;TODAY()),"⚠️延期","")</f>
        <v/>
      </c>
      <c r="H310" s="54" t="n"/>
      <c r="I310" s="55" t="n"/>
    </row>
    <row r="311" ht="16.5" customHeight="1" s="50">
      <c r="A311" s="54" t="n"/>
      <c r="B311" s="55" t="n"/>
      <c r="C311" s="54" t="n"/>
      <c r="D311" s="54" t="n"/>
      <c r="E311" s="56" t="n"/>
      <c r="F311" s="56" t="n"/>
      <c r="G311" s="57">
        <f>IF(AND(D311&lt;&gt;"已完成",D311&lt;&gt;"",E311&lt;&gt;"",E311&lt;TODAY()),"⚠️延期","")</f>
        <v/>
      </c>
      <c r="H311" s="54" t="n"/>
      <c r="I311" s="55" t="n"/>
    </row>
    <row r="312" ht="16.5" customHeight="1" s="50">
      <c r="A312" s="54" t="n"/>
      <c r="B312" s="55" t="n"/>
      <c r="C312" s="54" t="n"/>
      <c r="D312" s="54" t="n"/>
      <c r="E312" s="56" t="n"/>
      <c r="F312" s="56" t="n"/>
      <c r="G312" s="57">
        <f>IF(AND(D312&lt;&gt;"已完成",D312&lt;&gt;"",E312&lt;&gt;"",E312&lt;TODAY()),"⚠️延期","")</f>
        <v/>
      </c>
      <c r="H312" s="54" t="n"/>
      <c r="I312" s="55" t="n"/>
    </row>
    <row r="313" ht="16.5" customHeight="1" s="50">
      <c r="A313" s="54" t="n"/>
      <c r="B313" s="55" t="n"/>
      <c r="C313" s="54" t="n"/>
      <c r="D313" s="54" t="n"/>
      <c r="E313" s="56" t="n"/>
      <c r="F313" s="56" t="n"/>
      <c r="G313" s="57">
        <f>IF(AND(D313&lt;&gt;"已完成",D313&lt;&gt;"",E313&lt;&gt;"",E313&lt;TODAY()),"⚠️延期","")</f>
        <v/>
      </c>
      <c r="H313" s="54" t="n"/>
      <c r="I313" s="55" t="n"/>
    </row>
    <row r="314" ht="16.5" customHeight="1" s="50">
      <c r="A314" s="54" t="n"/>
      <c r="B314" s="55" t="n"/>
      <c r="C314" s="54" t="n"/>
      <c r="D314" s="54" t="n"/>
      <c r="E314" s="56" t="n"/>
      <c r="F314" s="56" t="n"/>
      <c r="G314" s="57">
        <f>IF(AND(D314&lt;&gt;"已完成",D314&lt;&gt;"",E314&lt;&gt;"",E314&lt;TODAY()),"⚠️延期","")</f>
        <v/>
      </c>
      <c r="H314" s="54" t="n"/>
      <c r="I314" s="55" t="n"/>
    </row>
    <row r="315" ht="16.5" customHeight="1" s="50">
      <c r="A315" s="54" t="n"/>
      <c r="B315" s="55" t="n"/>
      <c r="C315" s="54" t="n"/>
      <c r="D315" s="54" t="n"/>
      <c r="E315" s="56" t="n"/>
      <c r="F315" s="56" t="n"/>
      <c r="G315" s="57">
        <f>IF(AND(D315&lt;&gt;"已完成",D315&lt;&gt;"",E315&lt;&gt;"",E315&lt;TODAY()),"⚠️延期","")</f>
        <v/>
      </c>
      <c r="H315" s="54" t="n"/>
      <c r="I315" s="55" t="n"/>
    </row>
    <row r="316" ht="16.5" customHeight="1" s="50">
      <c r="A316" s="54" t="n"/>
      <c r="B316" s="55" t="n"/>
      <c r="C316" s="54" t="n"/>
      <c r="D316" s="54" t="n"/>
      <c r="E316" s="56" t="n"/>
      <c r="F316" s="56" t="n"/>
      <c r="G316" s="57">
        <f>IF(AND(D316&lt;&gt;"已完成",D316&lt;&gt;"",E316&lt;&gt;"",E316&lt;TODAY()),"⚠️延期","")</f>
        <v/>
      </c>
      <c r="H316" s="54" t="n"/>
      <c r="I316" s="55" t="n"/>
    </row>
    <row r="317" ht="16.5" customHeight="1" s="50">
      <c r="A317" s="54" t="n"/>
      <c r="B317" s="55" t="n"/>
      <c r="C317" s="54" t="n"/>
      <c r="D317" s="54" t="n"/>
      <c r="E317" s="56" t="n"/>
      <c r="F317" s="56" t="n"/>
      <c r="G317" s="57">
        <f>IF(AND(D317&lt;&gt;"已完成",D317&lt;&gt;"",E317&lt;&gt;"",E317&lt;TODAY()),"⚠️延期","")</f>
        <v/>
      </c>
      <c r="H317" s="54" t="n"/>
      <c r="I317" s="55" t="n"/>
    </row>
    <row r="318" ht="16.5" customHeight="1" s="50">
      <c r="A318" s="54" t="n"/>
      <c r="B318" s="55" t="n"/>
      <c r="C318" s="54" t="n"/>
      <c r="D318" s="54" t="n"/>
      <c r="E318" s="56" t="n"/>
      <c r="F318" s="56" t="n"/>
      <c r="G318" s="57">
        <f>IF(AND(D318&lt;&gt;"已完成",D318&lt;&gt;"",E318&lt;&gt;"",E318&lt;TODAY()),"⚠️延期","")</f>
        <v/>
      </c>
      <c r="H318" s="54" t="n"/>
      <c r="I318" s="55" t="n"/>
    </row>
    <row r="319" ht="16.5" customHeight="1" s="50">
      <c r="A319" s="54" t="n"/>
      <c r="B319" s="55" t="n"/>
      <c r="C319" s="54" t="n"/>
      <c r="D319" s="54" t="n"/>
      <c r="E319" s="56" t="n"/>
      <c r="F319" s="56" t="n"/>
      <c r="G319" s="57">
        <f>IF(AND(D319&lt;&gt;"已完成",D319&lt;&gt;"",E319&lt;&gt;"",E319&lt;TODAY()),"⚠️延期","")</f>
        <v/>
      </c>
      <c r="H319" s="54" t="n"/>
      <c r="I319" s="55" t="n"/>
    </row>
    <row r="320" ht="16.5" customHeight="1" s="50">
      <c r="A320" s="54" t="n"/>
      <c r="B320" s="55" t="n"/>
      <c r="C320" s="54" t="n"/>
      <c r="D320" s="54" t="n"/>
      <c r="E320" s="56" t="n"/>
      <c r="F320" s="56" t="n"/>
      <c r="G320" s="57">
        <f>IF(AND(D320&lt;&gt;"已完成",D320&lt;&gt;"",E320&lt;&gt;"",E320&lt;TODAY()),"⚠️延期","")</f>
        <v/>
      </c>
      <c r="H320" s="54" t="n"/>
      <c r="I320" s="55" t="n"/>
    </row>
    <row r="321" ht="16.5" customHeight="1" s="50">
      <c r="A321" s="54" t="n"/>
      <c r="B321" s="55" t="n"/>
      <c r="C321" s="54" t="n"/>
      <c r="D321" s="54" t="n"/>
      <c r="E321" s="56" t="n"/>
      <c r="F321" s="56" t="n"/>
      <c r="G321" s="57">
        <f>IF(AND(D321&lt;&gt;"已完成",D321&lt;&gt;"",E321&lt;&gt;"",E321&lt;TODAY()),"⚠️延期","")</f>
        <v/>
      </c>
      <c r="H321" s="54" t="n"/>
      <c r="I321" s="55" t="n"/>
    </row>
    <row r="322" ht="16.5" customHeight="1" s="50">
      <c r="A322" s="54" t="n"/>
      <c r="B322" s="55" t="n"/>
      <c r="C322" s="54" t="n"/>
      <c r="D322" s="54" t="n"/>
      <c r="E322" s="56" t="n"/>
      <c r="F322" s="56" t="n"/>
      <c r="G322" s="57">
        <f>IF(AND(D322&lt;&gt;"已完成",D322&lt;&gt;"",E322&lt;&gt;"",E322&lt;TODAY()),"⚠️延期","")</f>
        <v/>
      </c>
      <c r="H322" s="54" t="n"/>
      <c r="I322" s="55" t="n"/>
    </row>
    <row r="323" ht="16.5" customHeight="1" s="50">
      <c r="A323" s="54" t="n"/>
      <c r="B323" s="55" t="n"/>
      <c r="C323" s="54" t="n"/>
      <c r="D323" s="54" t="n"/>
      <c r="E323" s="56" t="n"/>
      <c r="F323" s="56" t="n"/>
      <c r="G323" s="57">
        <f>IF(AND(D323&lt;&gt;"已完成",D323&lt;&gt;"",E323&lt;&gt;"",E323&lt;TODAY()),"⚠️延期","")</f>
        <v/>
      </c>
      <c r="H323" s="54" t="n"/>
      <c r="I323" s="55" t="n"/>
    </row>
    <row r="324" ht="16.5" customHeight="1" s="50">
      <c r="A324" s="54" t="n"/>
      <c r="B324" s="55" t="n"/>
      <c r="C324" s="54" t="n"/>
      <c r="D324" s="54" t="n"/>
      <c r="E324" s="56" t="n"/>
      <c r="F324" s="56" t="n"/>
      <c r="G324" s="57">
        <f>IF(AND(D324&lt;&gt;"已完成",D324&lt;&gt;"",E324&lt;&gt;"",E324&lt;TODAY()),"⚠️延期","")</f>
        <v/>
      </c>
      <c r="H324" s="54" t="n"/>
      <c r="I324" s="55" t="n"/>
    </row>
    <row r="325" ht="16.5" customHeight="1" s="50">
      <c r="A325" s="54" t="n"/>
      <c r="B325" s="55" t="n"/>
      <c r="C325" s="54" t="n"/>
      <c r="D325" s="54" t="n"/>
      <c r="E325" s="56" t="n"/>
      <c r="F325" s="56" t="n"/>
      <c r="G325" s="57">
        <f>IF(AND(D325&lt;&gt;"已完成",D325&lt;&gt;"",E325&lt;&gt;"",E325&lt;TODAY()),"⚠️延期","")</f>
        <v/>
      </c>
      <c r="H325" s="54" t="n"/>
      <c r="I325" s="55" t="n"/>
    </row>
    <row r="326" ht="16.5" customHeight="1" s="50">
      <c r="A326" s="54" t="n"/>
      <c r="B326" s="55" t="n"/>
      <c r="C326" s="54" t="n"/>
      <c r="D326" s="54" t="n"/>
      <c r="E326" s="56" t="n"/>
      <c r="F326" s="56" t="n"/>
      <c r="G326" s="57">
        <f>IF(AND(D326&lt;&gt;"已完成",D326&lt;&gt;"",E326&lt;&gt;"",E326&lt;TODAY()),"⚠️延期","")</f>
        <v/>
      </c>
      <c r="H326" s="54" t="n"/>
      <c r="I326" s="55" t="n"/>
    </row>
    <row r="327" ht="16.5" customHeight="1" s="50">
      <c r="A327" s="54" t="n"/>
      <c r="B327" s="55" t="n"/>
      <c r="C327" s="54" t="n"/>
      <c r="D327" s="54" t="n"/>
      <c r="E327" s="56" t="n"/>
      <c r="F327" s="56" t="n"/>
      <c r="G327" s="57">
        <f>IF(AND(D327&lt;&gt;"已完成",D327&lt;&gt;"",E327&lt;&gt;"",E327&lt;TODAY()),"⚠️延期","")</f>
        <v/>
      </c>
      <c r="H327" s="54" t="n"/>
      <c r="I327" s="55" t="n"/>
    </row>
    <row r="328" ht="16.5" customHeight="1" s="50">
      <c r="A328" s="54" t="n"/>
      <c r="B328" s="55" t="n"/>
      <c r="C328" s="54" t="n"/>
      <c r="D328" s="54" t="n"/>
      <c r="E328" s="56" t="n"/>
      <c r="F328" s="56" t="n"/>
      <c r="G328" s="57">
        <f>IF(AND(D328&lt;&gt;"已完成",D328&lt;&gt;"",E328&lt;&gt;"",E328&lt;TODAY()),"⚠️延期","")</f>
        <v/>
      </c>
      <c r="H328" s="54" t="n"/>
      <c r="I328" s="55" t="n"/>
    </row>
    <row r="329" ht="16.5" customHeight="1" s="50">
      <c r="A329" s="54" t="n"/>
      <c r="B329" s="55" t="n"/>
      <c r="C329" s="54" t="n"/>
      <c r="D329" s="54" t="n"/>
      <c r="E329" s="56" t="n"/>
      <c r="F329" s="56" t="n"/>
      <c r="G329" s="57">
        <f>IF(AND(D329&lt;&gt;"已完成",D329&lt;&gt;"",E329&lt;&gt;"",E329&lt;TODAY()),"⚠️延期","")</f>
        <v/>
      </c>
      <c r="H329" s="54" t="n"/>
      <c r="I329" s="55" t="n"/>
    </row>
    <row r="330" ht="16.5" customHeight="1" s="50">
      <c r="A330" s="54" t="n"/>
      <c r="B330" s="55" t="n"/>
      <c r="C330" s="54" t="n"/>
      <c r="D330" s="54" t="n"/>
      <c r="E330" s="56" t="n"/>
      <c r="F330" s="56" t="n"/>
      <c r="G330" s="57">
        <f>IF(AND(D330&lt;&gt;"已完成",D330&lt;&gt;"",E330&lt;&gt;"",E330&lt;TODAY()),"⚠️延期","")</f>
        <v/>
      </c>
      <c r="H330" s="54" t="n"/>
      <c r="I330" s="55" t="n"/>
    </row>
    <row r="331" ht="16.5" customHeight="1" s="50">
      <c r="A331" s="54" t="n"/>
      <c r="B331" s="55" t="n"/>
      <c r="C331" s="54" t="n"/>
      <c r="D331" s="54" t="n"/>
      <c r="E331" s="56" t="n"/>
      <c r="F331" s="56" t="n"/>
      <c r="G331" s="57">
        <f>IF(AND(D331&lt;&gt;"已完成",D331&lt;&gt;"",E331&lt;&gt;"",E331&lt;TODAY()),"⚠️延期","")</f>
        <v/>
      </c>
      <c r="H331" s="54" t="n"/>
      <c r="I331" s="55" t="n"/>
    </row>
    <row r="332" ht="16.5" customHeight="1" s="50">
      <c r="A332" s="54" t="n"/>
      <c r="B332" s="55" t="n"/>
      <c r="C332" s="54" t="n"/>
      <c r="D332" s="54" t="n"/>
      <c r="E332" s="56" t="n"/>
      <c r="F332" s="56" t="n"/>
      <c r="G332" s="57">
        <f>IF(AND(D332&lt;&gt;"已完成",D332&lt;&gt;"",E332&lt;&gt;"",E332&lt;TODAY()),"⚠️延期","")</f>
        <v/>
      </c>
      <c r="H332" s="54" t="n"/>
      <c r="I332" s="55" t="n"/>
    </row>
    <row r="333" ht="16.5" customHeight="1" s="50">
      <c r="A333" s="54" t="n"/>
      <c r="B333" s="55" t="n"/>
      <c r="C333" s="54" t="n"/>
      <c r="D333" s="54" t="n"/>
      <c r="E333" s="56" t="n"/>
      <c r="F333" s="56" t="n"/>
      <c r="G333" s="57">
        <f>IF(AND(D333&lt;&gt;"已完成",D333&lt;&gt;"",E333&lt;&gt;"",E333&lt;TODAY()),"⚠️延期","")</f>
        <v/>
      </c>
      <c r="H333" s="54" t="n"/>
      <c r="I333" s="55" t="n"/>
    </row>
    <row r="334" ht="16.5" customHeight="1" s="50">
      <c r="A334" s="54" t="n"/>
      <c r="B334" s="55" t="n"/>
      <c r="C334" s="54" t="n"/>
      <c r="D334" s="54" t="n"/>
      <c r="E334" s="56" t="n"/>
      <c r="F334" s="56" t="n"/>
      <c r="G334" s="57">
        <f>IF(AND(D334&lt;&gt;"已完成",D334&lt;&gt;"",E334&lt;&gt;"",E334&lt;TODAY()),"⚠️延期","")</f>
        <v/>
      </c>
      <c r="H334" s="54" t="n"/>
      <c r="I334" s="55" t="n"/>
    </row>
    <row r="335" ht="16.5" customHeight="1" s="50">
      <c r="A335" s="54" t="n"/>
      <c r="B335" s="55" t="n"/>
      <c r="C335" s="54" t="n"/>
      <c r="D335" s="54" t="n"/>
      <c r="E335" s="56" t="n"/>
      <c r="F335" s="56" t="n"/>
      <c r="G335" s="57">
        <f>IF(AND(D335&lt;&gt;"已完成",D335&lt;&gt;"",E335&lt;&gt;"",E335&lt;TODAY()),"⚠️延期","")</f>
        <v/>
      </c>
      <c r="H335" s="54" t="n"/>
      <c r="I335" s="55" t="n"/>
    </row>
    <row r="336" ht="16.5" customHeight="1" s="50">
      <c r="A336" s="54" t="n"/>
      <c r="B336" s="55" t="n"/>
      <c r="C336" s="54" t="n"/>
      <c r="D336" s="54" t="n"/>
      <c r="E336" s="56" t="n"/>
      <c r="F336" s="56" t="n"/>
      <c r="G336" s="57">
        <f>IF(AND(D336&lt;&gt;"已完成",D336&lt;&gt;"",E336&lt;&gt;"",E336&lt;TODAY()),"⚠️延期","")</f>
        <v/>
      </c>
      <c r="H336" s="54" t="n"/>
      <c r="I336" s="55" t="n"/>
    </row>
    <row r="337" ht="16.5" customHeight="1" s="50">
      <c r="A337" s="54" t="n"/>
      <c r="B337" s="55" t="n"/>
      <c r="C337" s="54" t="n"/>
      <c r="D337" s="54" t="n"/>
      <c r="E337" s="56" t="n"/>
      <c r="F337" s="56" t="n"/>
      <c r="G337" s="57">
        <f>IF(AND(D337&lt;&gt;"已完成",D337&lt;&gt;"",E337&lt;&gt;"",E337&lt;TODAY()),"⚠️延期","")</f>
        <v/>
      </c>
      <c r="H337" s="54" t="n"/>
      <c r="I337" s="55" t="n"/>
    </row>
    <row r="338" ht="16.5" customHeight="1" s="50">
      <c r="A338" s="54" t="n"/>
      <c r="B338" s="55" t="n"/>
      <c r="C338" s="54" t="n"/>
      <c r="D338" s="54" t="n"/>
      <c r="E338" s="56" t="n"/>
      <c r="F338" s="56" t="n"/>
      <c r="G338" s="57">
        <f>IF(AND(D338&lt;&gt;"已完成",D338&lt;&gt;"",E338&lt;&gt;"",E338&lt;TODAY()),"⚠️延期","")</f>
        <v/>
      </c>
      <c r="H338" s="54" t="n"/>
      <c r="I338" s="55" t="n"/>
    </row>
    <row r="339" ht="16.5" customHeight="1" s="50">
      <c r="A339" s="54" t="n"/>
      <c r="B339" s="55" t="n"/>
      <c r="C339" s="54" t="n"/>
      <c r="D339" s="54" t="n"/>
      <c r="E339" s="56" t="n"/>
      <c r="F339" s="56" t="n"/>
      <c r="G339" s="57">
        <f>IF(AND(D339&lt;&gt;"已完成",D339&lt;&gt;"",E339&lt;&gt;"",E339&lt;TODAY()),"⚠️延期","")</f>
        <v/>
      </c>
      <c r="H339" s="54" t="n"/>
      <c r="I339" s="55" t="n"/>
    </row>
    <row r="340" ht="16.5" customHeight="1" s="50">
      <c r="A340" s="54" t="n"/>
      <c r="B340" s="55" t="n"/>
      <c r="C340" s="54" t="n"/>
      <c r="D340" s="54" t="n"/>
      <c r="E340" s="56" t="n"/>
      <c r="F340" s="56" t="n"/>
      <c r="G340" s="57">
        <f>IF(AND(D340&lt;&gt;"已完成",D340&lt;&gt;"",E340&lt;&gt;"",E340&lt;TODAY()),"⚠️延期","")</f>
        <v/>
      </c>
      <c r="H340" s="54" t="n"/>
      <c r="I340" s="55" t="n"/>
    </row>
    <row r="341" ht="16.5" customHeight="1" s="50">
      <c r="A341" s="54" t="n"/>
      <c r="B341" s="55" t="n"/>
      <c r="C341" s="54" t="n"/>
      <c r="D341" s="54" t="n"/>
      <c r="E341" s="56" t="n"/>
      <c r="F341" s="56" t="n"/>
      <c r="G341" s="57">
        <f>IF(AND(D341&lt;&gt;"已完成",D341&lt;&gt;"",E341&lt;&gt;"",E341&lt;TODAY()),"⚠️延期","")</f>
        <v/>
      </c>
      <c r="H341" s="54" t="n"/>
      <c r="I341" s="55" t="n"/>
    </row>
    <row r="342" ht="16.5" customHeight="1" s="50">
      <c r="A342" s="54" t="n"/>
      <c r="B342" s="55" t="n"/>
      <c r="C342" s="54" t="n"/>
      <c r="D342" s="54" t="n"/>
      <c r="E342" s="56" t="n"/>
      <c r="F342" s="56" t="n"/>
      <c r="G342" s="57">
        <f>IF(AND(D342&lt;&gt;"已完成",D342&lt;&gt;"",E342&lt;&gt;"",E342&lt;TODAY()),"⚠️延期","")</f>
        <v/>
      </c>
      <c r="H342" s="54" t="n"/>
      <c r="I342" s="55" t="n"/>
    </row>
    <row r="343" ht="16.5" customHeight="1" s="50">
      <c r="A343" s="54" t="n"/>
      <c r="B343" s="55" t="n"/>
      <c r="C343" s="54" t="n"/>
      <c r="D343" s="54" t="n"/>
      <c r="E343" s="56" t="n"/>
      <c r="F343" s="56" t="n"/>
      <c r="G343" s="57">
        <f>IF(AND(D343&lt;&gt;"已完成",D343&lt;&gt;"",E343&lt;&gt;"",E343&lt;TODAY()),"⚠️延期","")</f>
        <v/>
      </c>
      <c r="H343" s="54" t="n"/>
      <c r="I343" s="55" t="n"/>
    </row>
    <row r="344" ht="16.5" customHeight="1" s="50">
      <c r="A344" s="54" t="n"/>
      <c r="B344" s="55" t="n"/>
      <c r="C344" s="54" t="n"/>
      <c r="D344" s="54" t="n"/>
      <c r="E344" s="56" t="n"/>
      <c r="F344" s="56" t="n"/>
      <c r="G344" s="57">
        <f>IF(AND(D344&lt;&gt;"已完成",D344&lt;&gt;"",E344&lt;&gt;"",E344&lt;TODAY()),"⚠️延期","")</f>
        <v/>
      </c>
      <c r="H344" s="54" t="n"/>
      <c r="I344" s="55" t="n"/>
    </row>
    <row r="345" ht="16.5" customHeight="1" s="50">
      <c r="A345" s="54" t="n"/>
      <c r="B345" s="55" t="n"/>
      <c r="C345" s="54" t="n"/>
      <c r="D345" s="54" t="n"/>
      <c r="E345" s="56" t="n"/>
      <c r="F345" s="56" t="n"/>
      <c r="G345" s="57">
        <f>IF(AND(D345&lt;&gt;"已完成",D345&lt;&gt;"",E345&lt;&gt;"",E345&lt;TODAY()),"⚠️延期","")</f>
        <v/>
      </c>
      <c r="H345" s="54" t="n"/>
      <c r="I345" s="55" t="n"/>
    </row>
    <row r="346" ht="16.5" customHeight="1" s="50">
      <c r="A346" s="54" t="n"/>
      <c r="B346" s="55" t="n"/>
      <c r="C346" s="54" t="n"/>
      <c r="D346" s="54" t="n"/>
      <c r="E346" s="56" t="n"/>
      <c r="F346" s="56" t="n"/>
      <c r="G346" s="57">
        <f>IF(AND(D346&lt;&gt;"已完成",D346&lt;&gt;"",E346&lt;&gt;"",E346&lt;TODAY()),"⚠️延期","")</f>
        <v/>
      </c>
      <c r="H346" s="54" t="n"/>
      <c r="I346" s="55" t="n"/>
    </row>
    <row r="347" ht="16.5" customHeight="1" s="50">
      <c r="A347" s="54" t="n"/>
      <c r="B347" s="55" t="n"/>
      <c r="C347" s="54" t="n"/>
      <c r="D347" s="54" t="n"/>
      <c r="E347" s="56" t="n"/>
      <c r="F347" s="56" t="n"/>
      <c r="G347" s="57">
        <f>IF(AND(D347&lt;&gt;"已完成",D347&lt;&gt;"",E347&lt;&gt;"",E347&lt;TODAY()),"⚠️延期","")</f>
        <v/>
      </c>
      <c r="H347" s="54" t="n"/>
      <c r="I347" s="55" t="n"/>
    </row>
    <row r="348" ht="16.5" customHeight="1" s="50">
      <c r="A348" s="54" t="n"/>
      <c r="B348" s="55" t="n"/>
      <c r="C348" s="54" t="n"/>
      <c r="D348" s="54" t="n"/>
      <c r="E348" s="56" t="n"/>
      <c r="F348" s="56" t="n"/>
      <c r="G348" s="57">
        <f>IF(AND(D348&lt;&gt;"已完成",D348&lt;&gt;"",E348&lt;&gt;"",E348&lt;TODAY()),"⚠️延期","")</f>
        <v/>
      </c>
      <c r="H348" s="54" t="n"/>
      <c r="I348" s="55" t="n"/>
    </row>
    <row r="349" ht="16.5" customHeight="1" s="50">
      <c r="A349" s="54" t="n"/>
      <c r="B349" s="55" t="n"/>
      <c r="C349" s="54" t="n"/>
      <c r="D349" s="54" t="n"/>
      <c r="E349" s="56" t="n"/>
      <c r="F349" s="56" t="n"/>
      <c r="G349" s="57">
        <f>IF(AND(D349&lt;&gt;"已完成",D349&lt;&gt;"",E349&lt;&gt;"",E349&lt;TODAY()),"⚠️延期","")</f>
        <v/>
      </c>
      <c r="H349" s="54" t="n"/>
      <c r="I349" s="55" t="n"/>
    </row>
    <row r="350" ht="16.5" customHeight="1" s="50">
      <c r="A350" s="54" t="n"/>
      <c r="B350" s="55" t="n"/>
      <c r="C350" s="54" t="n"/>
      <c r="D350" s="54" t="n"/>
      <c r="E350" s="56" t="n"/>
      <c r="F350" s="56" t="n"/>
      <c r="G350" s="57">
        <f>IF(AND(D350&lt;&gt;"已完成",D350&lt;&gt;"",E350&lt;&gt;"",E350&lt;TODAY()),"⚠️延期","")</f>
        <v/>
      </c>
      <c r="H350" s="54" t="n"/>
      <c r="I350" s="55" t="n"/>
    </row>
    <row r="351" ht="16.5" customHeight="1" s="50">
      <c r="A351" s="54" t="n"/>
      <c r="B351" s="55" t="n"/>
      <c r="C351" s="54" t="n"/>
      <c r="D351" s="54" t="n"/>
      <c r="E351" s="56" t="n"/>
      <c r="F351" s="56" t="n"/>
      <c r="G351" s="57">
        <f>IF(AND(D351&lt;&gt;"已完成",D351&lt;&gt;"",E351&lt;&gt;"",E351&lt;TODAY()),"⚠️延期","")</f>
        <v/>
      </c>
      <c r="H351" s="54" t="n"/>
      <c r="I351" s="55" t="n"/>
    </row>
    <row r="352" ht="16.5" customHeight="1" s="50">
      <c r="A352" s="54" t="n"/>
      <c r="B352" s="55" t="n"/>
      <c r="C352" s="54" t="n"/>
      <c r="D352" s="54" t="n"/>
      <c r="E352" s="56" t="n"/>
      <c r="F352" s="56" t="n"/>
      <c r="G352" s="57">
        <f>IF(AND(D352&lt;&gt;"已完成",D352&lt;&gt;"",E352&lt;&gt;"",E352&lt;TODAY()),"⚠️延期","")</f>
        <v/>
      </c>
      <c r="H352" s="54" t="n"/>
      <c r="I352" s="55" t="n"/>
    </row>
    <row r="353" ht="16.5" customHeight="1" s="50">
      <c r="A353" s="54" t="n"/>
      <c r="B353" s="55" t="n"/>
      <c r="C353" s="54" t="n"/>
      <c r="D353" s="54" t="n"/>
      <c r="E353" s="56" t="n"/>
      <c r="F353" s="56" t="n"/>
      <c r="G353" s="57">
        <f>IF(AND(D353&lt;&gt;"已完成",D353&lt;&gt;"",E353&lt;&gt;"",E353&lt;TODAY()),"⚠️延期","")</f>
        <v/>
      </c>
      <c r="H353" s="54" t="n"/>
      <c r="I353" s="55" t="n"/>
    </row>
    <row r="354" ht="16.5" customHeight="1" s="50">
      <c r="A354" s="54" t="n"/>
      <c r="B354" s="55" t="n"/>
      <c r="C354" s="54" t="n"/>
      <c r="D354" s="54" t="n"/>
      <c r="E354" s="56" t="n"/>
      <c r="F354" s="56" t="n"/>
      <c r="G354" s="57">
        <f>IF(AND(D354&lt;&gt;"已完成",D354&lt;&gt;"",E354&lt;&gt;"",E354&lt;TODAY()),"⚠️延期","")</f>
        <v/>
      </c>
      <c r="H354" s="54" t="n"/>
      <c r="I354" s="55" t="n"/>
    </row>
    <row r="355" ht="16.5" customHeight="1" s="50">
      <c r="A355" s="54" t="n"/>
      <c r="B355" s="55" t="n"/>
      <c r="C355" s="54" t="n"/>
      <c r="D355" s="54" t="n"/>
      <c r="E355" s="56" t="n"/>
      <c r="F355" s="56" t="n"/>
      <c r="G355" s="57">
        <f>IF(AND(D355&lt;&gt;"已完成",D355&lt;&gt;"",E355&lt;&gt;"",E355&lt;TODAY()),"⚠️延期","")</f>
        <v/>
      </c>
      <c r="H355" s="54" t="n"/>
      <c r="I355" s="55" t="n"/>
    </row>
    <row r="356" ht="16.5" customHeight="1" s="50">
      <c r="A356" s="54" t="n"/>
      <c r="B356" s="55" t="n"/>
      <c r="C356" s="54" t="n"/>
      <c r="D356" s="54" t="n"/>
      <c r="E356" s="56" t="n"/>
      <c r="F356" s="56" t="n"/>
      <c r="G356" s="57">
        <f>IF(AND(D356&lt;&gt;"已完成",D356&lt;&gt;"",E356&lt;&gt;"",E356&lt;TODAY()),"⚠️延期","")</f>
        <v/>
      </c>
      <c r="H356" s="54" t="n"/>
      <c r="I356" s="55" t="n"/>
    </row>
    <row r="357" ht="16.5" customHeight="1" s="50">
      <c r="A357" s="54" t="n"/>
      <c r="B357" s="55" t="n"/>
      <c r="C357" s="54" t="n"/>
      <c r="D357" s="54" t="n"/>
      <c r="E357" s="56" t="n"/>
      <c r="F357" s="56" t="n"/>
      <c r="G357" s="57">
        <f>IF(AND(D357&lt;&gt;"已完成",D357&lt;&gt;"",E357&lt;&gt;"",E357&lt;TODAY()),"⚠️延期","")</f>
        <v/>
      </c>
      <c r="H357" s="54" t="n"/>
      <c r="I357" s="55" t="n"/>
    </row>
    <row r="358" ht="16.5" customHeight="1" s="50">
      <c r="A358" s="54" t="n"/>
      <c r="B358" s="55" t="n"/>
      <c r="C358" s="54" t="n"/>
      <c r="D358" s="54" t="n"/>
      <c r="E358" s="56" t="n"/>
      <c r="F358" s="56" t="n"/>
      <c r="G358" s="57">
        <f>IF(AND(D358&lt;&gt;"已完成",D358&lt;&gt;"",E358&lt;&gt;"",E358&lt;TODAY()),"⚠️延期","")</f>
        <v/>
      </c>
      <c r="H358" s="54" t="n"/>
      <c r="I358" s="55" t="n"/>
    </row>
    <row r="359" ht="16.5" customHeight="1" s="50">
      <c r="A359" s="54" t="n"/>
      <c r="B359" s="55" t="n"/>
      <c r="C359" s="54" t="n"/>
      <c r="D359" s="54" t="n"/>
      <c r="E359" s="56" t="n"/>
      <c r="F359" s="56" t="n"/>
      <c r="G359" s="57">
        <f>IF(AND(D359&lt;&gt;"已完成",D359&lt;&gt;"",E359&lt;&gt;"",E359&lt;TODAY()),"⚠️延期","")</f>
        <v/>
      </c>
      <c r="H359" s="54" t="n"/>
      <c r="I359" s="55" t="n"/>
    </row>
    <row r="360" ht="16.5" customHeight="1" s="50">
      <c r="A360" s="54" t="n"/>
      <c r="B360" s="55" t="n"/>
      <c r="C360" s="54" t="n"/>
      <c r="D360" s="54" t="n"/>
      <c r="E360" s="56" t="n"/>
      <c r="F360" s="56" t="n"/>
      <c r="G360" s="57">
        <f>IF(AND(D360&lt;&gt;"已完成",D360&lt;&gt;"",E360&lt;&gt;"",E360&lt;TODAY()),"⚠️延期","")</f>
        <v/>
      </c>
      <c r="H360" s="54" t="n"/>
      <c r="I360" s="55" t="n"/>
    </row>
    <row r="361" ht="16.5" customHeight="1" s="50">
      <c r="A361" s="54" t="n"/>
      <c r="B361" s="55" t="n"/>
      <c r="C361" s="54" t="n"/>
      <c r="D361" s="54" t="n"/>
      <c r="E361" s="56" t="n"/>
      <c r="F361" s="56" t="n"/>
      <c r="G361" s="57">
        <f>IF(AND(D361&lt;&gt;"已完成",D361&lt;&gt;"",E361&lt;&gt;"",E361&lt;TODAY()),"⚠️延期","")</f>
        <v/>
      </c>
      <c r="H361" s="54" t="n"/>
      <c r="I361" s="55" t="n"/>
    </row>
    <row r="362" ht="16.5" customHeight="1" s="50">
      <c r="A362" s="54" t="n"/>
      <c r="B362" s="55" t="n"/>
      <c r="C362" s="54" t="n"/>
      <c r="D362" s="54" t="n"/>
      <c r="E362" s="56" t="n"/>
      <c r="F362" s="56" t="n"/>
      <c r="G362" s="57">
        <f>IF(AND(D362&lt;&gt;"已完成",D362&lt;&gt;"",E362&lt;&gt;"",E362&lt;TODAY()),"⚠️延期","")</f>
        <v/>
      </c>
      <c r="H362" s="54" t="n"/>
      <c r="I362" s="55" t="n"/>
    </row>
    <row r="363" ht="16.5" customHeight="1" s="50">
      <c r="A363" s="54" t="n"/>
      <c r="B363" s="55" t="n"/>
      <c r="C363" s="54" t="n"/>
      <c r="D363" s="54" t="n"/>
      <c r="E363" s="56" t="n"/>
      <c r="F363" s="56" t="n"/>
      <c r="G363" s="57">
        <f>IF(AND(D363&lt;&gt;"已完成",D363&lt;&gt;"",E363&lt;&gt;"",E363&lt;TODAY()),"⚠️延期","")</f>
        <v/>
      </c>
      <c r="H363" s="54" t="n"/>
      <c r="I363" s="55" t="n"/>
    </row>
    <row r="364" ht="16.5" customHeight="1" s="50">
      <c r="A364" s="54" t="n"/>
      <c r="B364" s="55" t="n"/>
      <c r="C364" s="54" t="n"/>
      <c r="D364" s="54" t="n"/>
      <c r="E364" s="56" t="n"/>
      <c r="F364" s="56" t="n"/>
      <c r="G364" s="57">
        <f>IF(AND(D364&lt;&gt;"已完成",D364&lt;&gt;"",E364&lt;&gt;"",E364&lt;TODAY()),"⚠️延期","")</f>
        <v/>
      </c>
      <c r="H364" s="54" t="n"/>
      <c r="I364" s="55" t="n"/>
    </row>
    <row r="365" ht="16.5" customHeight="1" s="50">
      <c r="A365" s="54" t="n"/>
      <c r="B365" s="55" t="n"/>
      <c r="C365" s="54" t="n"/>
      <c r="D365" s="54" t="n"/>
      <c r="E365" s="56" t="n"/>
      <c r="F365" s="56" t="n"/>
      <c r="G365" s="57">
        <f>IF(AND(D365&lt;&gt;"已完成",D365&lt;&gt;"",E365&lt;&gt;"",E365&lt;TODAY()),"⚠️延期","")</f>
        <v/>
      </c>
      <c r="H365" s="54" t="n"/>
      <c r="I365" s="55" t="n"/>
    </row>
    <row r="366" ht="16.5" customHeight="1" s="50">
      <c r="A366" s="54" t="n"/>
      <c r="B366" s="55" t="n"/>
      <c r="C366" s="54" t="n"/>
      <c r="D366" s="54" t="n"/>
      <c r="E366" s="56" t="n"/>
      <c r="F366" s="56" t="n"/>
      <c r="G366" s="57">
        <f>IF(AND(D366&lt;&gt;"已完成",D366&lt;&gt;"",E366&lt;&gt;"",E366&lt;TODAY()),"⚠️延期","")</f>
        <v/>
      </c>
      <c r="H366" s="54" t="n"/>
      <c r="I366" s="55" t="n"/>
    </row>
    <row r="367" ht="16.5" customHeight="1" s="50">
      <c r="A367" s="54" t="n"/>
      <c r="B367" s="55" t="n"/>
      <c r="C367" s="54" t="n"/>
      <c r="D367" s="54" t="n"/>
      <c r="E367" s="56" t="n"/>
      <c r="F367" s="56" t="n"/>
      <c r="G367" s="57">
        <f>IF(AND(D367&lt;&gt;"已完成",D367&lt;&gt;"",E367&lt;&gt;"",E367&lt;TODAY()),"⚠️延期","")</f>
        <v/>
      </c>
      <c r="H367" s="54" t="n"/>
      <c r="I367" s="55" t="n"/>
    </row>
    <row r="368" ht="16.5" customHeight="1" s="50">
      <c r="A368" s="54" t="n"/>
      <c r="B368" s="55" t="n"/>
      <c r="C368" s="54" t="n"/>
      <c r="D368" s="54" t="n"/>
      <c r="E368" s="56" t="n"/>
      <c r="F368" s="56" t="n"/>
      <c r="G368" s="57">
        <f>IF(AND(D368&lt;&gt;"已完成",D368&lt;&gt;"",E368&lt;&gt;"",E368&lt;TODAY()),"⚠️延期","")</f>
        <v/>
      </c>
      <c r="H368" s="54" t="n"/>
      <c r="I368" s="55" t="n"/>
    </row>
    <row r="369" ht="16.5" customHeight="1" s="50">
      <c r="A369" s="54" t="n"/>
      <c r="B369" s="55" t="n"/>
      <c r="C369" s="54" t="n"/>
      <c r="D369" s="54" t="n"/>
      <c r="E369" s="56" t="n"/>
      <c r="F369" s="56" t="n"/>
      <c r="G369" s="57">
        <f>IF(AND(D369&lt;&gt;"已完成",D369&lt;&gt;"",E369&lt;&gt;"",E369&lt;TODAY()),"⚠️延期","")</f>
        <v/>
      </c>
      <c r="H369" s="54" t="n"/>
      <c r="I369" s="55" t="n"/>
    </row>
    <row r="370" ht="16.5" customHeight="1" s="50">
      <c r="A370" s="54" t="n"/>
      <c r="B370" s="55" t="n"/>
      <c r="C370" s="54" t="n"/>
      <c r="D370" s="54" t="n"/>
      <c r="E370" s="56" t="n"/>
      <c r="F370" s="56" t="n"/>
      <c r="G370" s="57">
        <f>IF(AND(D370&lt;&gt;"已完成",D370&lt;&gt;"",E370&lt;&gt;"",E370&lt;TODAY()),"⚠️延期","")</f>
        <v/>
      </c>
      <c r="H370" s="54" t="n"/>
      <c r="I370" s="55" t="n"/>
    </row>
    <row r="371" ht="16.5" customHeight="1" s="50">
      <c r="A371" s="54" t="n"/>
      <c r="B371" s="55" t="n"/>
      <c r="C371" s="54" t="n"/>
      <c r="D371" s="54" t="n"/>
      <c r="E371" s="56" t="n"/>
      <c r="F371" s="56" t="n"/>
      <c r="G371" s="57">
        <f>IF(AND(D371&lt;&gt;"已完成",D371&lt;&gt;"",E371&lt;&gt;"",E371&lt;TODAY()),"⚠️延期","")</f>
        <v/>
      </c>
      <c r="H371" s="54" t="n"/>
      <c r="I371" s="55" t="n"/>
    </row>
    <row r="372" ht="16.5" customHeight="1" s="50">
      <c r="A372" s="54" t="n"/>
      <c r="B372" s="55" t="n"/>
      <c r="C372" s="54" t="n"/>
      <c r="D372" s="54" t="n"/>
      <c r="E372" s="56" t="n"/>
      <c r="F372" s="56" t="n"/>
      <c r="G372" s="57">
        <f>IF(AND(D372&lt;&gt;"已完成",D372&lt;&gt;"",E372&lt;&gt;"",E372&lt;TODAY()),"⚠️延期","")</f>
        <v/>
      </c>
      <c r="H372" s="54" t="n"/>
      <c r="I372" s="55" t="n"/>
    </row>
    <row r="373" ht="16.5" customHeight="1" s="50">
      <c r="A373" s="54" t="n"/>
      <c r="B373" s="55" t="n"/>
      <c r="C373" s="54" t="n"/>
      <c r="D373" s="54" t="n"/>
      <c r="E373" s="56" t="n"/>
      <c r="F373" s="56" t="n"/>
      <c r="G373" s="57">
        <f>IF(AND(D373&lt;&gt;"已完成",D373&lt;&gt;"",E373&lt;&gt;"",E373&lt;TODAY()),"⚠️延期","")</f>
        <v/>
      </c>
      <c r="H373" s="54" t="n"/>
      <c r="I373" s="55" t="n"/>
    </row>
    <row r="374" ht="16.5" customHeight="1" s="50">
      <c r="A374" s="54" t="n"/>
      <c r="B374" s="55" t="n"/>
      <c r="C374" s="54" t="n"/>
      <c r="D374" s="54" t="n"/>
      <c r="E374" s="56" t="n"/>
      <c r="F374" s="56" t="n"/>
      <c r="G374" s="57">
        <f>IF(AND(D374&lt;&gt;"已完成",D374&lt;&gt;"",E374&lt;&gt;"",E374&lt;TODAY()),"⚠️延期","")</f>
        <v/>
      </c>
      <c r="H374" s="54" t="n"/>
      <c r="I374" s="55" t="n"/>
    </row>
    <row r="375" ht="16.5" customHeight="1" s="50">
      <c r="A375" s="54" t="n"/>
      <c r="B375" s="55" t="n"/>
      <c r="C375" s="54" t="n"/>
      <c r="D375" s="54" t="n"/>
      <c r="E375" s="56" t="n"/>
      <c r="F375" s="56" t="n"/>
      <c r="G375" s="57">
        <f>IF(AND(D375&lt;&gt;"已完成",D375&lt;&gt;"",E375&lt;&gt;"",E375&lt;TODAY()),"⚠️延期","")</f>
        <v/>
      </c>
      <c r="H375" s="54" t="n"/>
      <c r="I375" s="55" t="n"/>
    </row>
    <row r="376" ht="16.5" customHeight="1" s="50">
      <c r="A376" s="54" t="n"/>
      <c r="B376" s="55" t="n"/>
      <c r="C376" s="54" t="n"/>
      <c r="D376" s="54" t="n"/>
      <c r="E376" s="56" t="n"/>
      <c r="F376" s="56" t="n"/>
      <c r="G376" s="57">
        <f>IF(AND(D376&lt;&gt;"已完成",D376&lt;&gt;"",E376&lt;&gt;"",E376&lt;TODAY()),"⚠️延期","")</f>
        <v/>
      </c>
      <c r="H376" s="54" t="n"/>
      <c r="I376" s="55" t="n"/>
    </row>
    <row r="377" ht="16.5" customHeight="1" s="50">
      <c r="A377" s="54" t="n"/>
      <c r="B377" s="55" t="n"/>
      <c r="C377" s="54" t="n"/>
      <c r="D377" s="54" t="n"/>
      <c r="E377" s="56" t="n"/>
      <c r="F377" s="56" t="n"/>
      <c r="G377" s="57">
        <f>IF(AND(D377&lt;&gt;"已完成",D377&lt;&gt;"",E377&lt;&gt;"",E377&lt;TODAY()),"⚠️延期","")</f>
        <v/>
      </c>
      <c r="H377" s="54" t="n"/>
      <c r="I377" s="55" t="n"/>
    </row>
    <row r="378" ht="16.5" customHeight="1" s="50">
      <c r="A378" s="54" t="n"/>
      <c r="B378" s="55" t="n"/>
      <c r="C378" s="54" t="n"/>
      <c r="D378" s="54" t="n"/>
      <c r="E378" s="56" t="n"/>
      <c r="F378" s="56" t="n"/>
      <c r="G378" s="57">
        <f>IF(AND(D378&lt;&gt;"已完成",D378&lt;&gt;"",E378&lt;&gt;"",E378&lt;TODAY()),"⚠️延期","")</f>
        <v/>
      </c>
      <c r="H378" s="54" t="n"/>
      <c r="I378" s="55" t="n"/>
    </row>
    <row r="379" ht="16.5" customHeight="1" s="50">
      <c r="A379" s="54" t="n"/>
      <c r="B379" s="55" t="n"/>
      <c r="C379" s="54" t="n"/>
      <c r="D379" s="54" t="n"/>
      <c r="E379" s="56" t="n"/>
      <c r="F379" s="56" t="n"/>
      <c r="G379" s="57">
        <f>IF(AND(D379&lt;&gt;"已完成",D379&lt;&gt;"",E379&lt;&gt;"",E379&lt;TODAY()),"⚠️延期","")</f>
        <v/>
      </c>
      <c r="H379" s="54" t="n"/>
      <c r="I379" s="55" t="n"/>
    </row>
    <row r="380" ht="16.5" customHeight="1" s="50">
      <c r="A380" s="54" t="n"/>
      <c r="B380" s="55" t="n"/>
      <c r="C380" s="54" t="n"/>
      <c r="D380" s="54" t="n"/>
      <c r="E380" s="56" t="n"/>
      <c r="F380" s="56" t="n"/>
      <c r="G380" s="57">
        <f>IF(AND(D380&lt;&gt;"已完成",D380&lt;&gt;"",E380&lt;&gt;"",E380&lt;TODAY()),"⚠️延期","")</f>
        <v/>
      </c>
      <c r="H380" s="54" t="n"/>
      <c r="I380" s="55" t="n"/>
    </row>
    <row r="381" ht="16.5" customHeight="1" s="50">
      <c r="A381" s="54" t="n"/>
      <c r="B381" s="55" t="n"/>
      <c r="C381" s="54" t="n"/>
      <c r="D381" s="54" t="n"/>
      <c r="E381" s="56" t="n"/>
      <c r="F381" s="56" t="n"/>
      <c r="G381" s="57">
        <f>IF(AND(D381&lt;&gt;"已完成",D381&lt;&gt;"",E381&lt;&gt;"",E381&lt;TODAY()),"⚠️延期","")</f>
        <v/>
      </c>
      <c r="H381" s="54" t="n"/>
      <c r="I381" s="55" t="n"/>
    </row>
    <row r="382" ht="16.5" customHeight="1" s="50">
      <c r="A382" s="54" t="n"/>
      <c r="B382" s="55" t="n"/>
      <c r="C382" s="54" t="n"/>
      <c r="D382" s="54" t="n"/>
      <c r="E382" s="56" t="n"/>
      <c r="F382" s="56" t="n"/>
      <c r="G382" s="57">
        <f>IF(AND(D382&lt;&gt;"已完成",D382&lt;&gt;"",E382&lt;&gt;"",E382&lt;TODAY()),"⚠️延期","")</f>
        <v/>
      </c>
      <c r="H382" s="54" t="n"/>
      <c r="I382" s="55" t="n"/>
    </row>
    <row r="383" ht="16.5" customHeight="1" s="50">
      <c r="A383" s="54" t="n"/>
      <c r="B383" s="55" t="n"/>
      <c r="C383" s="54" t="n"/>
      <c r="D383" s="54" t="n"/>
      <c r="E383" s="56" t="n"/>
      <c r="F383" s="56" t="n"/>
      <c r="G383" s="57">
        <f>IF(AND(D383&lt;&gt;"已完成",D383&lt;&gt;"",E383&lt;&gt;"",E383&lt;TODAY()),"⚠️延期","")</f>
        <v/>
      </c>
      <c r="H383" s="54" t="n"/>
      <c r="I383" s="55" t="n"/>
    </row>
    <row r="384" ht="16.5" customHeight="1" s="50">
      <c r="A384" s="54" t="n"/>
      <c r="B384" s="55" t="n"/>
      <c r="C384" s="54" t="n"/>
      <c r="D384" s="54" t="n"/>
      <c r="E384" s="56" t="n"/>
      <c r="F384" s="56" t="n"/>
      <c r="G384" s="57">
        <f>IF(AND(D384&lt;&gt;"已完成",D384&lt;&gt;"",E384&lt;&gt;"",E384&lt;TODAY()),"⚠️延期","")</f>
        <v/>
      </c>
      <c r="H384" s="54" t="n"/>
      <c r="I384" s="55" t="n"/>
    </row>
    <row r="385" ht="16.5" customHeight="1" s="50">
      <c r="A385" s="54" t="n"/>
      <c r="B385" s="55" t="n"/>
      <c r="C385" s="54" t="n"/>
      <c r="D385" s="54" t="n"/>
      <c r="E385" s="56" t="n"/>
      <c r="F385" s="56" t="n"/>
      <c r="G385" s="57">
        <f>IF(AND(D385&lt;&gt;"已完成",D385&lt;&gt;"",E385&lt;&gt;"",E385&lt;TODAY()),"⚠️延期","")</f>
        <v/>
      </c>
      <c r="H385" s="54" t="n"/>
      <c r="I385" s="55" t="n"/>
    </row>
    <row r="386" ht="16.5" customHeight="1" s="50">
      <c r="A386" s="54" t="n"/>
      <c r="B386" s="55" t="n"/>
      <c r="C386" s="54" t="n"/>
      <c r="D386" s="54" t="n"/>
      <c r="E386" s="56" t="n"/>
      <c r="F386" s="56" t="n"/>
      <c r="G386" s="57">
        <f>IF(AND(D386&lt;&gt;"已完成",D386&lt;&gt;"",E386&lt;&gt;"",E386&lt;TODAY()),"⚠️延期","")</f>
        <v/>
      </c>
      <c r="H386" s="54" t="n"/>
      <c r="I386" s="55" t="n"/>
    </row>
    <row r="387" ht="16.5" customHeight="1" s="50">
      <c r="A387" s="54" t="n"/>
      <c r="B387" s="55" t="n"/>
      <c r="C387" s="54" t="n"/>
      <c r="D387" s="54" t="n"/>
      <c r="E387" s="56" t="n"/>
      <c r="F387" s="56" t="n"/>
      <c r="G387" s="57">
        <f>IF(AND(D387&lt;&gt;"已完成",D387&lt;&gt;"",E387&lt;&gt;"",E387&lt;TODAY()),"⚠️延期","")</f>
        <v/>
      </c>
      <c r="H387" s="54" t="n"/>
      <c r="I387" s="55" t="n"/>
    </row>
    <row r="388" ht="16.5" customHeight="1" s="50">
      <c r="A388" s="54" t="n"/>
      <c r="B388" s="55" t="n"/>
      <c r="C388" s="54" t="n"/>
      <c r="D388" s="54" t="n"/>
      <c r="E388" s="56" t="n"/>
      <c r="F388" s="56" t="n"/>
      <c r="G388" s="57">
        <f>IF(AND(D388&lt;&gt;"已完成",D388&lt;&gt;"",E388&lt;&gt;"",E388&lt;TODAY()),"⚠️延期","")</f>
        <v/>
      </c>
      <c r="H388" s="54" t="n"/>
      <c r="I388" s="55" t="n"/>
    </row>
    <row r="389" ht="16.5" customHeight="1" s="50">
      <c r="A389" s="54" t="n"/>
      <c r="B389" s="55" t="n"/>
      <c r="C389" s="54" t="n"/>
      <c r="D389" s="54" t="n"/>
      <c r="E389" s="56" t="n"/>
      <c r="F389" s="56" t="n"/>
      <c r="G389" s="57">
        <f>IF(AND(D389&lt;&gt;"已完成",D389&lt;&gt;"",E389&lt;&gt;"",E389&lt;TODAY()),"⚠️延期","")</f>
        <v/>
      </c>
      <c r="H389" s="54" t="n"/>
      <c r="I389" s="55" t="n"/>
    </row>
    <row r="390" ht="16.5" customHeight="1" s="50">
      <c r="A390" s="54" t="n"/>
      <c r="B390" s="55" t="n"/>
      <c r="C390" s="54" t="n"/>
      <c r="D390" s="54" t="n"/>
      <c r="E390" s="56" t="n"/>
      <c r="F390" s="56" t="n"/>
      <c r="G390" s="57">
        <f>IF(AND(D390&lt;&gt;"已完成",D390&lt;&gt;"",E390&lt;&gt;"",E390&lt;TODAY()),"⚠️延期","")</f>
        <v/>
      </c>
      <c r="H390" s="54" t="n"/>
      <c r="I390" s="55" t="n"/>
    </row>
    <row r="391" ht="16.5" customHeight="1" s="50">
      <c r="A391" s="54" t="n"/>
      <c r="B391" s="55" t="n"/>
      <c r="C391" s="54" t="n"/>
      <c r="D391" s="54" t="n"/>
      <c r="E391" s="56" t="n"/>
      <c r="F391" s="56" t="n"/>
      <c r="G391" s="57">
        <f>IF(AND(D391&lt;&gt;"已完成",D391&lt;&gt;"",E391&lt;&gt;"",E391&lt;TODAY()),"⚠️延期","")</f>
        <v/>
      </c>
      <c r="H391" s="54" t="n"/>
      <c r="I391" s="55" t="n"/>
    </row>
    <row r="392" ht="16.5" customHeight="1" s="50">
      <c r="A392" s="54" t="n"/>
      <c r="B392" s="55" t="n"/>
      <c r="C392" s="54" t="n"/>
      <c r="D392" s="54" t="n"/>
      <c r="E392" s="56" t="n"/>
      <c r="F392" s="56" t="n"/>
      <c r="G392" s="57">
        <f>IF(AND(D392&lt;&gt;"已完成",D392&lt;&gt;"",E392&lt;&gt;"",E392&lt;TODAY()),"⚠️延期","")</f>
        <v/>
      </c>
      <c r="H392" s="54" t="n"/>
      <c r="I392" s="55" t="n"/>
    </row>
    <row r="393" ht="16.5" customHeight="1" s="50">
      <c r="A393" s="54" t="n"/>
      <c r="B393" s="55" t="n"/>
      <c r="C393" s="54" t="n"/>
      <c r="D393" s="54" t="n"/>
      <c r="E393" s="56" t="n"/>
      <c r="F393" s="56" t="n"/>
      <c r="G393" s="57">
        <f>IF(AND(D393&lt;&gt;"已完成",D393&lt;&gt;"",E393&lt;&gt;"",E393&lt;TODAY()),"⚠️延期","")</f>
        <v/>
      </c>
      <c r="H393" s="54" t="n"/>
      <c r="I393" s="55" t="n"/>
    </row>
    <row r="394" ht="16.5" customHeight="1" s="50">
      <c r="A394" s="54" t="n"/>
      <c r="B394" s="55" t="n"/>
      <c r="C394" s="54" t="n"/>
      <c r="D394" s="54" t="n"/>
      <c r="E394" s="56" t="n"/>
      <c r="F394" s="56" t="n"/>
      <c r="G394" s="57">
        <f>IF(AND(D394&lt;&gt;"已完成",D394&lt;&gt;"",E394&lt;&gt;"",E394&lt;TODAY()),"⚠️延期","")</f>
        <v/>
      </c>
      <c r="H394" s="54" t="n"/>
      <c r="I394" s="55" t="n"/>
    </row>
    <row r="395" ht="16.5" customHeight="1" s="50">
      <c r="A395" s="54" t="n"/>
      <c r="B395" s="55" t="n"/>
      <c r="C395" s="54" t="n"/>
      <c r="D395" s="54" t="n"/>
      <c r="E395" s="56" t="n"/>
      <c r="F395" s="56" t="n"/>
      <c r="G395" s="57">
        <f>IF(AND(D395&lt;&gt;"已完成",D395&lt;&gt;"",E395&lt;&gt;"",E395&lt;TODAY()),"⚠️延期","")</f>
        <v/>
      </c>
      <c r="H395" s="54" t="n"/>
      <c r="I395" s="55" t="n"/>
    </row>
    <row r="396" ht="16.5" customHeight="1" s="50">
      <c r="A396" s="54" t="n"/>
      <c r="B396" s="55" t="n"/>
      <c r="C396" s="54" t="n"/>
      <c r="D396" s="54" t="n"/>
      <c r="E396" s="56" t="n"/>
      <c r="F396" s="56" t="n"/>
      <c r="G396" s="57">
        <f>IF(AND(D396&lt;&gt;"已完成",D396&lt;&gt;"",E396&lt;&gt;"",E396&lt;TODAY()),"⚠️延期","")</f>
        <v/>
      </c>
      <c r="H396" s="54" t="n"/>
      <c r="I396" s="55" t="n"/>
    </row>
    <row r="397" ht="16.5" customHeight="1" s="50">
      <c r="A397" s="54" t="n"/>
      <c r="B397" s="55" t="n"/>
      <c r="C397" s="54" t="n"/>
      <c r="D397" s="54" t="n"/>
      <c r="E397" s="56" t="n"/>
      <c r="F397" s="56" t="n"/>
      <c r="G397" s="57">
        <f>IF(AND(D397&lt;&gt;"已完成",D397&lt;&gt;"",E397&lt;&gt;"",E397&lt;TODAY()),"⚠️延期","")</f>
        <v/>
      </c>
      <c r="H397" s="54" t="n"/>
      <c r="I397" s="55" t="n"/>
    </row>
    <row r="398" ht="16.5" customHeight="1" s="50">
      <c r="A398" s="54" t="n"/>
      <c r="B398" s="55" t="n"/>
      <c r="C398" s="54" t="n"/>
      <c r="D398" s="54" t="n"/>
      <c r="E398" s="56" t="n"/>
      <c r="F398" s="56" t="n"/>
      <c r="G398" s="57">
        <f>IF(AND(D398&lt;&gt;"已完成",D398&lt;&gt;"",E398&lt;&gt;"",E398&lt;TODAY()),"⚠️延期","")</f>
        <v/>
      </c>
      <c r="H398" s="54" t="n"/>
      <c r="I398" s="55" t="n"/>
    </row>
    <row r="399" ht="16.5" customHeight="1" s="50">
      <c r="A399" s="54" t="n"/>
      <c r="B399" s="55" t="n"/>
      <c r="C399" s="54" t="n"/>
      <c r="D399" s="54" t="n"/>
      <c r="E399" s="56" t="n"/>
      <c r="F399" s="56" t="n"/>
      <c r="G399" s="57">
        <f>IF(AND(D399&lt;&gt;"已完成",D399&lt;&gt;"",E399&lt;&gt;"",E399&lt;TODAY()),"⚠️延期","")</f>
        <v/>
      </c>
      <c r="H399" s="54" t="n"/>
      <c r="I399" s="55" t="n"/>
    </row>
    <row r="400" ht="16.5" customHeight="1" s="50">
      <c r="A400" s="54" t="n"/>
      <c r="B400" s="55" t="n"/>
      <c r="C400" s="54" t="n"/>
      <c r="D400" s="54" t="n"/>
      <c r="E400" s="56" t="n"/>
      <c r="F400" s="56" t="n"/>
      <c r="G400" s="57">
        <f>IF(AND(D400&lt;&gt;"已完成",D400&lt;&gt;"",E400&lt;&gt;"",E400&lt;TODAY()),"⚠️延期","")</f>
        <v/>
      </c>
      <c r="H400" s="54" t="n"/>
      <c r="I400" s="55" t="n"/>
    </row>
    <row r="401" ht="16.5" customHeight="1" s="50">
      <c r="A401" s="54" t="n"/>
      <c r="B401" s="55" t="n"/>
      <c r="C401" s="54" t="n"/>
      <c r="D401" s="54" t="n"/>
      <c r="E401" s="56" t="n"/>
      <c r="F401" s="56" t="n"/>
      <c r="G401" s="57">
        <f>IF(AND(D401&lt;&gt;"已完成",D401&lt;&gt;"",E401&lt;&gt;"",E401&lt;TODAY()),"⚠️延期","")</f>
        <v/>
      </c>
      <c r="H401" s="54" t="n"/>
      <c r="I401" s="55" t="n"/>
    </row>
    <row r="402" ht="16.5" customHeight="1" s="50">
      <c r="A402" s="54" t="n"/>
      <c r="B402" s="55" t="n"/>
      <c r="C402" s="54" t="n"/>
      <c r="D402" s="54" t="n"/>
      <c r="E402" s="56" t="n"/>
      <c r="F402" s="56" t="n"/>
      <c r="G402" s="57">
        <f>IF(AND(D402&lt;&gt;"已完成",D402&lt;&gt;"",E402&lt;&gt;"",E402&lt;TODAY()),"⚠️延期","")</f>
        <v/>
      </c>
      <c r="H402" s="54" t="n"/>
      <c r="I402" s="55" t="n"/>
    </row>
    <row r="403" ht="16.5" customHeight="1" s="50">
      <c r="A403" s="54" t="n"/>
      <c r="B403" s="55" t="n"/>
      <c r="C403" s="54" t="n"/>
      <c r="D403" s="54" t="n"/>
      <c r="E403" s="56" t="n"/>
      <c r="F403" s="56" t="n"/>
      <c r="G403" s="57">
        <f>IF(AND(D403&lt;&gt;"已完成",D403&lt;&gt;"",E403&lt;&gt;"",E403&lt;TODAY()),"⚠️延期","")</f>
        <v/>
      </c>
      <c r="H403" s="54" t="n"/>
      <c r="I403" s="55" t="n"/>
    </row>
    <row r="404" ht="16.5" customHeight="1" s="50">
      <c r="A404" s="54" t="n"/>
      <c r="B404" s="55" t="n"/>
      <c r="C404" s="54" t="n"/>
      <c r="D404" s="54" t="n"/>
      <c r="E404" s="56" t="n"/>
      <c r="F404" s="56" t="n"/>
      <c r="G404" s="57">
        <f>IF(AND(D404&lt;&gt;"已完成",D404&lt;&gt;"",E404&lt;&gt;"",E404&lt;TODAY()),"⚠️延期","")</f>
        <v/>
      </c>
      <c r="H404" s="54" t="n"/>
      <c r="I404" s="55" t="n"/>
    </row>
    <row r="405" ht="16.5" customHeight="1" s="50">
      <c r="A405" s="54" t="n"/>
      <c r="B405" s="55" t="n"/>
      <c r="C405" s="54" t="n"/>
      <c r="D405" s="54" t="n"/>
      <c r="E405" s="56" t="n"/>
      <c r="F405" s="56" t="n"/>
      <c r="G405" s="57">
        <f>IF(AND(D405&lt;&gt;"已完成",D405&lt;&gt;"",E405&lt;&gt;"",E405&lt;TODAY()),"⚠️延期","")</f>
        <v/>
      </c>
      <c r="H405" s="54" t="n"/>
      <c r="I405" s="55" t="n"/>
    </row>
    <row r="406" ht="16.5" customHeight="1" s="50">
      <c r="A406" s="54" t="n"/>
      <c r="B406" s="55" t="n"/>
      <c r="C406" s="54" t="n"/>
      <c r="D406" s="54" t="n"/>
      <c r="E406" s="56" t="n"/>
      <c r="F406" s="56" t="n"/>
      <c r="G406" s="57">
        <f>IF(AND(D406&lt;&gt;"已完成",D406&lt;&gt;"",E406&lt;&gt;"",E406&lt;TODAY()),"⚠️延期","")</f>
        <v/>
      </c>
      <c r="H406" s="54" t="n"/>
      <c r="I406" s="55" t="n"/>
    </row>
    <row r="407" ht="16.5" customHeight="1" s="50">
      <c r="A407" s="54" t="n"/>
      <c r="B407" s="55" t="n"/>
      <c r="C407" s="54" t="n"/>
      <c r="D407" s="54" t="n"/>
      <c r="E407" s="56" t="n"/>
      <c r="F407" s="56" t="n"/>
      <c r="G407" s="57">
        <f>IF(AND(D407&lt;&gt;"已完成",D407&lt;&gt;"",E407&lt;&gt;"",E407&lt;TODAY()),"⚠️延期","")</f>
        <v/>
      </c>
      <c r="H407" s="54" t="n"/>
      <c r="I407" s="55" t="n"/>
    </row>
    <row r="408" ht="16.5" customHeight="1" s="50">
      <c r="A408" s="54" t="n"/>
      <c r="B408" s="55" t="n"/>
      <c r="C408" s="54" t="n"/>
      <c r="D408" s="54" t="n"/>
      <c r="E408" s="56" t="n"/>
      <c r="F408" s="56" t="n"/>
      <c r="G408" s="57">
        <f>IF(AND(D408&lt;&gt;"已完成",D408&lt;&gt;"",E408&lt;&gt;"",E408&lt;TODAY()),"⚠️延期","")</f>
        <v/>
      </c>
      <c r="H408" s="54" t="n"/>
      <c r="I408" s="55" t="n"/>
    </row>
    <row r="409" ht="16.5" customHeight="1" s="50">
      <c r="A409" s="54" t="n"/>
      <c r="B409" s="55" t="n"/>
      <c r="C409" s="54" t="n"/>
      <c r="D409" s="54" t="n"/>
      <c r="E409" s="56" t="n"/>
      <c r="F409" s="56" t="n"/>
      <c r="G409" s="57">
        <f>IF(AND(D409&lt;&gt;"已完成",D409&lt;&gt;"",E409&lt;&gt;"",E409&lt;TODAY()),"⚠️延期","")</f>
        <v/>
      </c>
      <c r="H409" s="54" t="n"/>
      <c r="I409" s="55" t="n"/>
    </row>
    <row r="410" ht="16.5" customHeight="1" s="50">
      <c r="A410" s="54" t="n"/>
      <c r="B410" s="55" t="n"/>
      <c r="C410" s="54" t="n"/>
      <c r="D410" s="54" t="n"/>
      <c r="E410" s="56" t="n"/>
      <c r="F410" s="56" t="n"/>
      <c r="G410" s="57">
        <f>IF(AND(D410&lt;&gt;"已完成",D410&lt;&gt;"",E410&lt;&gt;"",E410&lt;TODAY()),"⚠️延期","")</f>
        <v/>
      </c>
      <c r="H410" s="54" t="n"/>
      <c r="I410" s="55" t="n"/>
    </row>
    <row r="411" ht="16.5" customHeight="1" s="50">
      <c r="A411" s="54" t="n"/>
      <c r="B411" s="55" t="n"/>
      <c r="C411" s="54" t="n"/>
      <c r="D411" s="54" t="n"/>
      <c r="E411" s="56" t="n"/>
      <c r="F411" s="56" t="n"/>
      <c r="G411" s="57">
        <f>IF(AND(D411&lt;&gt;"已完成",D411&lt;&gt;"",E411&lt;&gt;"",E411&lt;TODAY()),"⚠️延期","")</f>
        <v/>
      </c>
      <c r="H411" s="54" t="n"/>
      <c r="I411" s="55" t="n"/>
    </row>
    <row r="412" ht="16.5" customHeight="1" s="50">
      <c r="A412" s="54" t="n"/>
      <c r="B412" s="55" t="n"/>
      <c r="C412" s="54" t="n"/>
      <c r="D412" s="54" t="n"/>
      <c r="E412" s="56" t="n"/>
      <c r="F412" s="56" t="n"/>
      <c r="G412" s="57">
        <f>IF(AND(D412&lt;&gt;"已完成",D412&lt;&gt;"",E412&lt;&gt;"",E412&lt;TODAY()),"⚠️延期","")</f>
        <v/>
      </c>
      <c r="H412" s="54" t="n"/>
      <c r="I412" s="55" t="n"/>
    </row>
    <row r="413" ht="16.5" customHeight="1" s="50">
      <c r="A413" s="54" t="n"/>
      <c r="B413" s="55" t="n"/>
      <c r="C413" s="54" t="n"/>
      <c r="D413" s="54" t="n"/>
      <c r="E413" s="56" t="n"/>
      <c r="F413" s="56" t="n"/>
      <c r="G413" s="57">
        <f>IF(AND(D413&lt;&gt;"已完成",D413&lt;&gt;"",E413&lt;&gt;"",E413&lt;TODAY()),"⚠️延期","")</f>
        <v/>
      </c>
      <c r="H413" s="54" t="n"/>
      <c r="I413" s="55" t="n"/>
    </row>
    <row r="414" ht="16.5" customHeight="1" s="50">
      <c r="A414" s="54" t="n"/>
      <c r="B414" s="55" t="n"/>
      <c r="C414" s="54" t="n"/>
      <c r="D414" s="54" t="n"/>
      <c r="E414" s="56" t="n"/>
      <c r="F414" s="56" t="n"/>
      <c r="G414" s="57">
        <f>IF(AND(D414&lt;&gt;"已完成",D414&lt;&gt;"",E414&lt;&gt;"",E414&lt;TODAY()),"⚠️延期","")</f>
        <v/>
      </c>
      <c r="H414" s="54" t="n"/>
      <c r="I414" s="55" t="n"/>
    </row>
    <row r="415" ht="16.5" customHeight="1" s="50">
      <c r="A415" s="54" t="n"/>
      <c r="B415" s="55" t="n"/>
      <c r="C415" s="54" t="n"/>
      <c r="D415" s="54" t="n"/>
      <c r="E415" s="56" t="n"/>
      <c r="F415" s="56" t="n"/>
      <c r="G415" s="57">
        <f>IF(AND(D415&lt;&gt;"已完成",D415&lt;&gt;"",E415&lt;&gt;"",E415&lt;TODAY()),"⚠️延期","")</f>
        <v/>
      </c>
      <c r="H415" s="54" t="n"/>
      <c r="I415" s="55" t="n"/>
    </row>
    <row r="416" ht="16.5" customHeight="1" s="50">
      <c r="A416" s="54" t="n"/>
      <c r="B416" s="55" t="n"/>
      <c r="C416" s="54" t="n"/>
      <c r="D416" s="54" t="n"/>
      <c r="E416" s="56" t="n"/>
      <c r="F416" s="56" t="n"/>
      <c r="G416" s="57">
        <f>IF(AND(D416&lt;&gt;"已完成",D416&lt;&gt;"",E416&lt;&gt;"",E416&lt;TODAY()),"⚠️延期","")</f>
        <v/>
      </c>
      <c r="H416" s="54" t="n"/>
      <c r="I416" s="55" t="n"/>
    </row>
    <row r="417" ht="16.5" customHeight="1" s="50">
      <c r="A417" s="54" t="n"/>
      <c r="B417" s="55" t="n"/>
      <c r="C417" s="54" t="n"/>
      <c r="D417" s="54" t="n"/>
      <c r="E417" s="56" t="n"/>
      <c r="F417" s="56" t="n"/>
      <c r="G417" s="57">
        <f>IF(AND(D417&lt;&gt;"已完成",D417&lt;&gt;"",E417&lt;&gt;"",E417&lt;TODAY()),"⚠️延期","")</f>
        <v/>
      </c>
      <c r="H417" s="54" t="n"/>
      <c r="I417" s="55" t="n"/>
    </row>
    <row r="418" ht="16.5" customHeight="1" s="50">
      <c r="A418" s="54" t="n"/>
      <c r="B418" s="55" t="n"/>
      <c r="C418" s="54" t="n"/>
      <c r="D418" s="54" t="n"/>
      <c r="E418" s="56" t="n"/>
      <c r="F418" s="56" t="n"/>
      <c r="G418" s="57">
        <f>IF(AND(D418&lt;&gt;"已完成",D418&lt;&gt;"",E418&lt;&gt;"",E418&lt;TODAY()),"⚠️延期","")</f>
        <v/>
      </c>
      <c r="H418" s="54" t="n"/>
      <c r="I418" s="55" t="n"/>
    </row>
    <row r="419" ht="16.5" customHeight="1" s="50">
      <c r="A419" s="54" t="n"/>
      <c r="B419" s="55" t="n"/>
      <c r="C419" s="54" t="n"/>
      <c r="D419" s="54" t="n"/>
      <c r="E419" s="56" t="n"/>
      <c r="F419" s="56" t="n"/>
      <c r="G419" s="57">
        <f>IF(AND(D419&lt;&gt;"已完成",D419&lt;&gt;"",E419&lt;&gt;"",E419&lt;TODAY()),"⚠️延期","")</f>
        <v/>
      </c>
      <c r="H419" s="54" t="n"/>
      <c r="I419" s="55" t="n"/>
    </row>
    <row r="420" ht="16.5" customHeight="1" s="50">
      <c r="A420" s="54" t="n"/>
      <c r="B420" s="55" t="n"/>
      <c r="C420" s="54" t="n"/>
      <c r="D420" s="54" t="n"/>
      <c r="E420" s="56" t="n"/>
      <c r="F420" s="56" t="n"/>
      <c r="G420" s="57">
        <f>IF(AND(D420&lt;&gt;"已完成",D420&lt;&gt;"",E420&lt;&gt;"",E420&lt;TODAY()),"⚠️延期","")</f>
        <v/>
      </c>
      <c r="H420" s="54" t="n"/>
      <c r="I420" s="55" t="n"/>
    </row>
    <row r="421" ht="16.5" customHeight="1" s="50">
      <c r="A421" s="54" t="n"/>
      <c r="B421" s="55" t="n"/>
      <c r="C421" s="54" t="n"/>
      <c r="D421" s="54" t="n"/>
      <c r="E421" s="56" t="n"/>
      <c r="F421" s="56" t="n"/>
      <c r="G421" s="57">
        <f>IF(AND(D421&lt;&gt;"已完成",D421&lt;&gt;"",E421&lt;&gt;"",E421&lt;TODAY()),"⚠️延期","")</f>
        <v/>
      </c>
      <c r="H421" s="54" t="n"/>
      <c r="I421" s="55" t="n"/>
    </row>
    <row r="422" ht="16.5" customHeight="1" s="50">
      <c r="A422" s="54" t="n"/>
      <c r="B422" s="55" t="n"/>
      <c r="C422" s="54" t="n"/>
      <c r="D422" s="54" t="n"/>
      <c r="E422" s="56" t="n"/>
      <c r="F422" s="56" t="n"/>
      <c r="G422" s="57">
        <f>IF(AND(D422&lt;&gt;"已完成",D422&lt;&gt;"",E422&lt;&gt;"",E422&lt;TODAY()),"⚠️延期","")</f>
        <v/>
      </c>
      <c r="H422" s="54" t="n"/>
      <c r="I422" s="55" t="n"/>
    </row>
    <row r="423" ht="16.5" customHeight="1" s="50">
      <c r="A423" s="54" t="n"/>
      <c r="B423" s="55" t="n"/>
      <c r="C423" s="54" t="n"/>
      <c r="D423" s="54" t="n"/>
      <c r="E423" s="56" t="n"/>
      <c r="F423" s="56" t="n"/>
      <c r="G423" s="57">
        <f>IF(AND(D423&lt;&gt;"已完成",D423&lt;&gt;"",E423&lt;&gt;"",E423&lt;TODAY()),"⚠️延期","")</f>
        <v/>
      </c>
      <c r="H423" s="54" t="n"/>
      <c r="I423" s="55" t="n"/>
    </row>
    <row r="424" ht="16.5" customHeight="1" s="50">
      <c r="A424" s="54" t="n"/>
      <c r="B424" s="55" t="n"/>
      <c r="C424" s="54" t="n"/>
      <c r="D424" s="54" t="n"/>
      <c r="E424" s="56" t="n"/>
      <c r="F424" s="56" t="n"/>
      <c r="G424" s="57">
        <f>IF(AND(D424&lt;&gt;"已完成",D424&lt;&gt;"",E424&lt;&gt;"",E424&lt;TODAY()),"⚠️延期","")</f>
        <v/>
      </c>
      <c r="H424" s="54" t="n"/>
      <c r="I424" s="55" t="n"/>
    </row>
    <row r="425" ht="16.5" customHeight="1" s="50">
      <c r="A425" s="54" t="n"/>
      <c r="B425" s="55" t="n"/>
      <c r="C425" s="54" t="n"/>
      <c r="D425" s="54" t="n"/>
      <c r="E425" s="56" t="n"/>
      <c r="F425" s="56" t="n"/>
      <c r="G425" s="57">
        <f>IF(AND(D425&lt;&gt;"已完成",D425&lt;&gt;"",E425&lt;&gt;"",E425&lt;TODAY()),"⚠️延期","")</f>
        <v/>
      </c>
      <c r="H425" s="54" t="n"/>
      <c r="I425" s="55" t="n"/>
    </row>
    <row r="426" ht="16.5" customHeight="1" s="50">
      <c r="A426" s="54" t="n"/>
      <c r="B426" s="55" t="n"/>
      <c r="C426" s="54" t="n"/>
      <c r="D426" s="54" t="n"/>
      <c r="E426" s="56" t="n"/>
      <c r="F426" s="56" t="n"/>
      <c r="G426" s="57">
        <f>IF(AND(D426&lt;&gt;"已完成",D426&lt;&gt;"",E426&lt;&gt;"",E426&lt;TODAY()),"⚠️延期","")</f>
        <v/>
      </c>
      <c r="H426" s="54" t="n"/>
      <c r="I426" s="55" t="n"/>
    </row>
    <row r="427" ht="16.5" customHeight="1" s="50">
      <c r="A427" s="54" t="n"/>
      <c r="B427" s="55" t="n"/>
      <c r="C427" s="54" t="n"/>
      <c r="D427" s="54" t="n"/>
      <c r="E427" s="56" t="n"/>
      <c r="F427" s="56" t="n"/>
      <c r="G427" s="57">
        <f>IF(AND(D427&lt;&gt;"已完成",D427&lt;&gt;"",E427&lt;&gt;"",E427&lt;TODAY()),"⚠️延期","")</f>
        <v/>
      </c>
      <c r="H427" s="54" t="n"/>
      <c r="I427" s="55" t="n"/>
    </row>
    <row r="428" ht="16.5" customHeight="1" s="50">
      <c r="A428" s="54" t="n"/>
      <c r="B428" s="55" t="n"/>
      <c r="C428" s="54" t="n"/>
      <c r="D428" s="54" t="n"/>
      <c r="E428" s="56" t="n"/>
      <c r="F428" s="56" t="n"/>
      <c r="G428" s="57">
        <f>IF(AND(D428&lt;&gt;"已完成",D428&lt;&gt;"",E428&lt;&gt;"",E428&lt;TODAY()),"⚠️延期","")</f>
        <v/>
      </c>
      <c r="H428" s="54" t="n"/>
      <c r="I428" s="55" t="n"/>
    </row>
    <row r="429" ht="16.5" customHeight="1" s="50">
      <c r="A429" s="54" t="n"/>
      <c r="B429" s="55" t="n"/>
      <c r="C429" s="54" t="n"/>
      <c r="D429" s="54" t="n"/>
      <c r="E429" s="56" t="n"/>
      <c r="F429" s="56" t="n"/>
      <c r="G429" s="57">
        <f>IF(AND(D429&lt;&gt;"已完成",D429&lt;&gt;"",E429&lt;&gt;"",E429&lt;TODAY()),"⚠️延期","")</f>
        <v/>
      </c>
      <c r="H429" s="54" t="n"/>
      <c r="I429" s="55" t="n"/>
    </row>
    <row r="430" ht="16.5" customHeight="1" s="50">
      <c r="A430" s="54" t="n"/>
      <c r="B430" s="55" t="n"/>
      <c r="C430" s="54" t="n"/>
      <c r="D430" s="54" t="n"/>
      <c r="E430" s="56" t="n"/>
      <c r="F430" s="56" t="n"/>
      <c r="G430" s="57">
        <f>IF(AND(D430&lt;&gt;"已完成",D430&lt;&gt;"",E430&lt;&gt;"",E430&lt;TODAY()),"⚠️延期","")</f>
        <v/>
      </c>
      <c r="H430" s="54" t="n"/>
      <c r="I430" s="55" t="n"/>
    </row>
    <row r="431" ht="16.5" customHeight="1" s="50">
      <c r="A431" s="54" t="n"/>
      <c r="B431" s="55" t="n"/>
      <c r="C431" s="54" t="n"/>
      <c r="D431" s="54" t="n"/>
      <c r="E431" s="56" t="n"/>
      <c r="F431" s="56" t="n"/>
      <c r="G431" s="57">
        <f>IF(AND(D431&lt;&gt;"已完成",D431&lt;&gt;"",E431&lt;&gt;"",E431&lt;TODAY()),"⚠️延期","")</f>
        <v/>
      </c>
      <c r="H431" s="54" t="n"/>
      <c r="I431" s="55" t="n"/>
    </row>
    <row r="432" ht="16.5" customHeight="1" s="50">
      <c r="A432" s="54" t="n"/>
      <c r="B432" s="55" t="n"/>
      <c r="C432" s="54" t="n"/>
      <c r="D432" s="54" t="n"/>
      <c r="E432" s="56" t="n"/>
      <c r="F432" s="56" t="n"/>
      <c r="G432" s="57">
        <f>IF(AND(D432&lt;&gt;"已完成",D432&lt;&gt;"",E432&lt;&gt;"",E432&lt;TODAY()),"⚠️延期","")</f>
        <v/>
      </c>
      <c r="H432" s="54" t="n"/>
      <c r="I432" s="55" t="n"/>
    </row>
    <row r="433" ht="16.5" customHeight="1" s="50">
      <c r="A433" s="54" t="n"/>
      <c r="B433" s="55" t="n"/>
      <c r="C433" s="54" t="n"/>
      <c r="D433" s="54" t="n"/>
      <c r="E433" s="56" t="n"/>
      <c r="F433" s="56" t="n"/>
      <c r="G433" s="57">
        <f>IF(AND(D433&lt;&gt;"已完成",D433&lt;&gt;"",E433&lt;&gt;"",E433&lt;TODAY()),"⚠️延期","")</f>
        <v/>
      </c>
      <c r="H433" s="54" t="n"/>
      <c r="I433" s="55" t="n"/>
    </row>
    <row r="434" ht="16.5" customHeight="1" s="50">
      <c r="A434" s="54" t="n"/>
      <c r="B434" s="55" t="n"/>
      <c r="C434" s="54" t="n"/>
      <c r="D434" s="54" t="n"/>
      <c r="E434" s="56" t="n"/>
      <c r="F434" s="56" t="n"/>
      <c r="G434" s="57">
        <f>IF(AND(D434&lt;&gt;"已完成",D434&lt;&gt;"",E434&lt;&gt;"",E434&lt;TODAY()),"⚠️延期","")</f>
        <v/>
      </c>
      <c r="H434" s="54" t="n"/>
      <c r="I434" s="55" t="n"/>
    </row>
    <row r="435" ht="16.5" customHeight="1" s="50">
      <c r="A435" s="54" t="n"/>
      <c r="B435" s="55" t="n"/>
      <c r="C435" s="54" t="n"/>
      <c r="D435" s="54" t="n"/>
      <c r="E435" s="56" t="n"/>
      <c r="F435" s="56" t="n"/>
      <c r="G435" s="57">
        <f>IF(AND(D435&lt;&gt;"已完成",D435&lt;&gt;"",E435&lt;&gt;"",E435&lt;TODAY()),"⚠️延期","")</f>
        <v/>
      </c>
      <c r="H435" s="54" t="n"/>
      <c r="I435" s="55" t="n"/>
    </row>
    <row r="436" ht="16.5" customHeight="1" s="50">
      <c r="A436" s="54" t="n"/>
      <c r="B436" s="55" t="n"/>
      <c r="C436" s="54" t="n"/>
      <c r="D436" s="54" t="n"/>
      <c r="E436" s="56" t="n"/>
      <c r="F436" s="56" t="n"/>
      <c r="G436" s="57">
        <f>IF(AND(D436&lt;&gt;"已完成",D436&lt;&gt;"",E436&lt;&gt;"",E436&lt;TODAY()),"⚠️延期","")</f>
        <v/>
      </c>
      <c r="H436" s="54" t="n"/>
      <c r="I436" s="55" t="n"/>
    </row>
    <row r="437" ht="16.5" customHeight="1" s="50">
      <c r="A437" s="54" t="n"/>
      <c r="B437" s="55" t="n"/>
      <c r="C437" s="54" t="n"/>
      <c r="D437" s="54" t="n"/>
      <c r="E437" s="56" t="n"/>
      <c r="F437" s="56" t="n"/>
      <c r="G437" s="57">
        <f>IF(AND(D437&lt;&gt;"已完成",D437&lt;&gt;"",E437&lt;&gt;"",E437&lt;TODAY()),"⚠️延期","")</f>
        <v/>
      </c>
      <c r="H437" s="54" t="n"/>
      <c r="I437" s="55" t="n"/>
    </row>
    <row r="438" ht="16.5" customHeight="1" s="50">
      <c r="A438" s="54" t="n"/>
      <c r="B438" s="55" t="n"/>
      <c r="C438" s="54" t="n"/>
      <c r="D438" s="54" t="n"/>
      <c r="E438" s="56" t="n"/>
      <c r="F438" s="56" t="n"/>
      <c r="G438" s="57">
        <f>IF(AND(D438&lt;&gt;"已完成",D438&lt;&gt;"",E438&lt;&gt;"",E438&lt;TODAY()),"⚠️延期","")</f>
        <v/>
      </c>
      <c r="H438" s="54" t="n"/>
      <c r="I438" s="55" t="n"/>
    </row>
    <row r="439" ht="16.5" customHeight="1" s="50">
      <c r="A439" s="54" t="n"/>
      <c r="B439" s="55" t="n"/>
      <c r="C439" s="54" t="n"/>
      <c r="D439" s="54" t="n"/>
      <c r="E439" s="56" t="n"/>
      <c r="F439" s="56" t="n"/>
      <c r="G439" s="57">
        <f>IF(AND(D439&lt;&gt;"已完成",D439&lt;&gt;"",E439&lt;&gt;"",E439&lt;TODAY()),"⚠️延期","")</f>
        <v/>
      </c>
      <c r="H439" s="54" t="n"/>
      <c r="I439" s="55" t="n"/>
    </row>
    <row r="440" ht="16.5" customHeight="1" s="50">
      <c r="A440" s="54" t="n"/>
      <c r="B440" s="55" t="n"/>
      <c r="C440" s="54" t="n"/>
      <c r="D440" s="54" t="n"/>
      <c r="E440" s="56" t="n"/>
      <c r="F440" s="56" t="n"/>
      <c r="G440" s="57">
        <f>IF(AND(D440&lt;&gt;"已完成",D440&lt;&gt;"",E440&lt;&gt;"",E440&lt;TODAY()),"⚠️延期","")</f>
        <v/>
      </c>
      <c r="H440" s="54" t="n"/>
      <c r="I440" s="55" t="n"/>
    </row>
    <row r="441" ht="16.5" customHeight="1" s="50">
      <c r="A441" s="54" t="n"/>
      <c r="B441" s="55" t="n"/>
      <c r="C441" s="54" t="n"/>
      <c r="D441" s="54" t="n"/>
      <c r="E441" s="56" t="n"/>
      <c r="F441" s="56" t="n"/>
      <c r="G441" s="57">
        <f>IF(AND(D441&lt;&gt;"已完成",D441&lt;&gt;"",E441&lt;&gt;"",E441&lt;TODAY()),"⚠️延期","")</f>
        <v/>
      </c>
      <c r="H441" s="54" t="n"/>
      <c r="I441" s="55" t="n"/>
    </row>
    <row r="442" ht="16.5" customHeight="1" s="50">
      <c r="A442" s="54" t="n"/>
      <c r="B442" s="55" t="n"/>
      <c r="C442" s="54" t="n"/>
      <c r="D442" s="54" t="n"/>
      <c r="E442" s="56" t="n"/>
      <c r="F442" s="56" t="n"/>
      <c r="G442" s="57">
        <f>IF(AND(D442&lt;&gt;"已完成",D442&lt;&gt;"",E442&lt;&gt;"",E442&lt;TODAY()),"⚠️延期","")</f>
        <v/>
      </c>
      <c r="H442" s="54" t="n"/>
      <c r="I442" s="55" t="n"/>
    </row>
    <row r="443" ht="16.5" customHeight="1" s="50">
      <c r="A443" s="54" t="n"/>
      <c r="B443" s="55" t="n"/>
      <c r="C443" s="54" t="n"/>
      <c r="D443" s="54" t="n"/>
      <c r="E443" s="56" t="n"/>
      <c r="F443" s="56" t="n"/>
      <c r="G443" s="57">
        <f>IF(AND(D443&lt;&gt;"已完成",D443&lt;&gt;"",E443&lt;&gt;"",E443&lt;TODAY()),"⚠️延期","")</f>
        <v/>
      </c>
      <c r="H443" s="54" t="n"/>
      <c r="I443" s="55" t="n"/>
    </row>
    <row r="444" ht="16.5" customHeight="1" s="50">
      <c r="A444" s="54" t="n"/>
      <c r="B444" s="55" t="n"/>
      <c r="C444" s="54" t="n"/>
      <c r="D444" s="54" t="n"/>
      <c r="E444" s="56" t="n"/>
      <c r="F444" s="56" t="n"/>
      <c r="G444" s="57">
        <f>IF(AND(D444&lt;&gt;"已完成",D444&lt;&gt;"",E444&lt;&gt;"",E444&lt;TODAY()),"⚠️延期","")</f>
        <v/>
      </c>
      <c r="H444" s="54" t="n"/>
      <c r="I444" s="55" t="n"/>
    </row>
    <row r="445" ht="16.5" customHeight="1" s="50">
      <c r="A445" s="54" t="n"/>
      <c r="B445" s="55" t="n"/>
      <c r="C445" s="54" t="n"/>
      <c r="D445" s="54" t="n"/>
      <c r="E445" s="56" t="n"/>
      <c r="F445" s="56" t="n"/>
      <c r="G445" s="57">
        <f>IF(AND(D445&lt;&gt;"已完成",D445&lt;&gt;"",E445&lt;&gt;"",E445&lt;TODAY()),"⚠️延期","")</f>
        <v/>
      </c>
      <c r="H445" s="54" t="n"/>
      <c r="I445" s="55" t="n"/>
    </row>
    <row r="446" ht="16.5" customHeight="1" s="50">
      <c r="A446" s="54" t="n"/>
      <c r="B446" s="55" t="n"/>
      <c r="C446" s="54" t="n"/>
      <c r="D446" s="54" t="n"/>
      <c r="E446" s="56" t="n"/>
      <c r="F446" s="56" t="n"/>
      <c r="G446" s="57">
        <f>IF(AND(D446&lt;&gt;"已完成",D446&lt;&gt;"",E446&lt;&gt;"",E446&lt;TODAY()),"⚠️延期","")</f>
        <v/>
      </c>
      <c r="H446" s="54" t="n"/>
      <c r="I446" s="55" t="n"/>
    </row>
    <row r="447" ht="16.5" customHeight="1" s="50">
      <c r="A447" s="54" t="n"/>
      <c r="B447" s="55" t="n"/>
      <c r="C447" s="54" t="n"/>
      <c r="D447" s="54" t="n"/>
      <c r="E447" s="56" t="n"/>
      <c r="F447" s="56" t="n"/>
      <c r="G447" s="57">
        <f>IF(AND(D447&lt;&gt;"已完成",D447&lt;&gt;"",E447&lt;&gt;"",E447&lt;TODAY()),"⚠️延期","")</f>
        <v/>
      </c>
      <c r="H447" s="54" t="n"/>
      <c r="I447" s="55" t="n"/>
    </row>
    <row r="448" ht="16.5" customHeight="1" s="50">
      <c r="A448" s="54" t="n"/>
      <c r="B448" s="55" t="n"/>
      <c r="C448" s="54" t="n"/>
      <c r="D448" s="54" t="n"/>
      <c r="E448" s="56" t="n"/>
      <c r="F448" s="56" t="n"/>
      <c r="G448" s="57">
        <f>IF(AND(D448&lt;&gt;"已完成",D448&lt;&gt;"",E448&lt;&gt;"",E448&lt;TODAY()),"⚠️延期","")</f>
        <v/>
      </c>
      <c r="H448" s="54" t="n"/>
      <c r="I448" s="55" t="n"/>
    </row>
    <row r="449" ht="16.5" customHeight="1" s="50">
      <c r="A449" s="54" t="n"/>
      <c r="B449" s="55" t="n"/>
      <c r="C449" s="54" t="n"/>
      <c r="D449" s="54" t="n"/>
      <c r="E449" s="56" t="n"/>
      <c r="F449" s="56" t="n"/>
      <c r="G449" s="57">
        <f>IF(AND(D449&lt;&gt;"已完成",D449&lt;&gt;"",E449&lt;&gt;"",E449&lt;TODAY()),"⚠️延期","")</f>
        <v/>
      </c>
      <c r="H449" s="54" t="n"/>
      <c r="I449" s="55" t="n"/>
    </row>
    <row r="450" ht="16.5" customHeight="1" s="50">
      <c r="A450" s="54" t="n"/>
      <c r="B450" s="55" t="n"/>
      <c r="C450" s="54" t="n"/>
      <c r="D450" s="54" t="n"/>
      <c r="E450" s="56" t="n"/>
      <c r="F450" s="56" t="n"/>
      <c r="G450" s="57">
        <f>IF(AND(D450&lt;&gt;"已完成",D450&lt;&gt;"",E450&lt;&gt;"",E450&lt;TODAY()),"⚠️延期","")</f>
        <v/>
      </c>
      <c r="H450" s="54" t="n"/>
      <c r="I450" s="55" t="n"/>
    </row>
    <row r="451" ht="16.5" customHeight="1" s="50">
      <c r="A451" s="54" t="n"/>
      <c r="B451" s="55" t="n"/>
      <c r="C451" s="54" t="n"/>
      <c r="D451" s="54" t="n"/>
      <c r="E451" s="56" t="n"/>
      <c r="F451" s="56" t="n"/>
      <c r="G451" s="57">
        <f>IF(AND(D451&lt;&gt;"已完成",D451&lt;&gt;"",E451&lt;&gt;"",E451&lt;TODAY()),"⚠️延期","")</f>
        <v/>
      </c>
      <c r="H451" s="54" t="n"/>
      <c r="I451" s="55" t="n"/>
    </row>
    <row r="452" ht="16.5" customHeight="1" s="50">
      <c r="A452" s="54" t="n"/>
      <c r="B452" s="55" t="n"/>
      <c r="C452" s="54" t="n"/>
      <c r="D452" s="54" t="n"/>
      <c r="E452" s="56" t="n"/>
      <c r="F452" s="56" t="n"/>
      <c r="G452" s="57">
        <f>IF(AND(D452&lt;&gt;"已完成",D452&lt;&gt;"",E452&lt;&gt;"",E452&lt;TODAY()),"⚠️延期","")</f>
        <v/>
      </c>
      <c r="H452" s="54" t="n"/>
      <c r="I452" s="55" t="n"/>
    </row>
    <row r="453" ht="16.5" customHeight="1" s="50">
      <c r="A453" s="54" t="n"/>
      <c r="B453" s="55" t="n"/>
      <c r="C453" s="54" t="n"/>
      <c r="D453" s="54" t="n"/>
      <c r="E453" s="56" t="n"/>
      <c r="F453" s="56" t="n"/>
      <c r="G453" s="57">
        <f>IF(AND(D453&lt;&gt;"已完成",D453&lt;&gt;"",E453&lt;&gt;"",E453&lt;TODAY()),"⚠️延期","")</f>
        <v/>
      </c>
      <c r="H453" s="54" t="n"/>
      <c r="I453" s="55" t="n"/>
    </row>
    <row r="454" ht="16.5" customHeight="1" s="50">
      <c r="A454" s="54" t="n"/>
      <c r="B454" s="55" t="n"/>
      <c r="C454" s="54" t="n"/>
      <c r="D454" s="54" t="n"/>
      <c r="E454" s="56" t="n"/>
      <c r="F454" s="56" t="n"/>
      <c r="G454" s="57">
        <f>IF(AND(D454&lt;&gt;"已完成",D454&lt;&gt;"",E454&lt;&gt;"",E454&lt;TODAY()),"⚠️延期","")</f>
        <v/>
      </c>
      <c r="H454" s="54" t="n"/>
      <c r="I454" s="55" t="n"/>
    </row>
    <row r="455" ht="16.5" customHeight="1" s="50">
      <c r="A455" s="54" t="n"/>
      <c r="B455" s="55" t="n"/>
      <c r="C455" s="54" t="n"/>
      <c r="D455" s="54" t="n"/>
      <c r="E455" s="56" t="n"/>
      <c r="F455" s="56" t="n"/>
      <c r="G455" s="57">
        <f>IF(AND(D455&lt;&gt;"已完成",D455&lt;&gt;"",E455&lt;&gt;"",E455&lt;TODAY()),"⚠️延期","")</f>
        <v/>
      </c>
      <c r="H455" s="54" t="n"/>
      <c r="I455" s="55" t="n"/>
    </row>
    <row r="456" ht="16.5" customHeight="1" s="50">
      <c r="A456" s="54" t="n"/>
      <c r="B456" s="55" t="n"/>
      <c r="C456" s="54" t="n"/>
      <c r="D456" s="54" t="n"/>
      <c r="E456" s="56" t="n"/>
      <c r="F456" s="56" t="n"/>
      <c r="G456" s="57">
        <f>IF(AND(D456&lt;&gt;"已完成",D456&lt;&gt;"",E456&lt;&gt;"",E456&lt;TODAY()),"⚠️延期","")</f>
        <v/>
      </c>
      <c r="H456" s="54" t="n"/>
      <c r="I456" s="55" t="n"/>
    </row>
    <row r="457" ht="16.5" customHeight="1" s="50">
      <c r="A457" s="54" t="n"/>
      <c r="B457" s="55" t="n"/>
      <c r="C457" s="54" t="n"/>
      <c r="D457" s="54" t="n"/>
      <c r="E457" s="56" t="n"/>
      <c r="F457" s="56" t="n"/>
      <c r="G457" s="57">
        <f>IF(AND(D457&lt;&gt;"已完成",D457&lt;&gt;"",E457&lt;&gt;"",E457&lt;TODAY()),"⚠️延期","")</f>
        <v/>
      </c>
      <c r="H457" s="54" t="n"/>
      <c r="I457" s="55" t="n"/>
    </row>
    <row r="458" ht="16.5" customHeight="1" s="50">
      <c r="A458" s="54" t="n"/>
      <c r="B458" s="55" t="n"/>
      <c r="C458" s="54" t="n"/>
      <c r="D458" s="54" t="n"/>
      <c r="E458" s="56" t="n"/>
      <c r="F458" s="56" t="n"/>
      <c r="G458" s="57">
        <f>IF(AND(D458&lt;&gt;"已完成",D458&lt;&gt;"",E458&lt;&gt;"",E458&lt;TODAY()),"⚠️延期","")</f>
        <v/>
      </c>
      <c r="H458" s="54" t="n"/>
      <c r="I458" s="55" t="n"/>
    </row>
    <row r="459" ht="16.5" customHeight="1" s="50">
      <c r="A459" s="54" t="n"/>
      <c r="B459" s="55" t="n"/>
      <c r="C459" s="54" t="n"/>
      <c r="D459" s="54" t="n"/>
      <c r="E459" s="56" t="n"/>
      <c r="F459" s="56" t="n"/>
      <c r="G459" s="57">
        <f>IF(AND(D459&lt;&gt;"已完成",D459&lt;&gt;"",E459&lt;&gt;"",E459&lt;TODAY()),"⚠️延期","")</f>
        <v/>
      </c>
      <c r="H459" s="54" t="n"/>
      <c r="I459" s="55" t="n"/>
    </row>
    <row r="460" ht="16.5" customHeight="1" s="50">
      <c r="A460" s="54" t="n"/>
      <c r="B460" s="55" t="n"/>
      <c r="C460" s="54" t="n"/>
      <c r="D460" s="54" t="n"/>
      <c r="E460" s="56" t="n"/>
      <c r="F460" s="56" t="n"/>
      <c r="G460" s="57">
        <f>IF(AND(D460&lt;&gt;"已完成",D460&lt;&gt;"",E460&lt;&gt;"",E460&lt;TODAY()),"⚠️延期","")</f>
        <v/>
      </c>
      <c r="H460" s="54" t="n"/>
      <c r="I460" s="55" t="n"/>
    </row>
    <row r="461" ht="16.5" customHeight="1" s="50">
      <c r="A461" s="54" t="n"/>
      <c r="B461" s="55" t="n"/>
      <c r="C461" s="54" t="n"/>
      <c r="D461" s="54" t="n"/>
      <c r="E461" s="56" t="n"/>
      <c r="F461" s="56" t="n"/>
      <c r="G461" s="57">
        <f>IF(AND(D461&lt;&gt;"已完成",D461&lt;&gt;"",E461&lt;&gt;"",E461&lt;TODAY()),"⚠️延期","")</f>
        <v/>
      </c>
      <c r="H461" s="54" t="n"/>
      <c r="I461" s="55" t="n"/>
    </row>
    <row r="462" ht="16.5" customHeight="1" s="50">
      <c r="A462" s="54" t="n"/>
      <c r="B462" s="55" t="n"/>
      <c r="C462" s="54" t="n"/>
      <c r="D462" s="54" t="n"/>
      <c r="E462" s="56" t="n"/>
      <c r="F462" s="56" t="n"/>
      <c r="G462" s="57">
        <f>IF(AND(D462&lt;&gt;"已完成",D462&lt;&gt;"",E462&lt;&gt;"",E462&lt;TODAY()),"⚠️延期","")</f>
        <v/>
      </c>
      <c r="H462" s="54" t="n"/>
      <c r="I462" s="55" t="n"/>
    </row>
    <row r="463" ht="16.5" customHeight="1" s="50">
      <c r="A463" s="54" t="n"/>
      <c r="B463" s="55" t="n"/>
      <c r="C463" s="54" t="n"/>
      <c r="D463" s="54" t="n"/>
      <c r="E463" s="56" t="n"/>
      <c r="F463" s="56" t="n"/>
      <c r="G463" s="57">
        <f>IF(AND(D463&lt;&gt;"已完成",D463&lt;&gt;"",E463&lt;&gt;"",E463&lt;TODAY()),"⚠️延期","")</f>
        <v/>
      </c>
      <c r="H463" s="54" t="n"/>
      <c r="I463" s="55" t="n"/>
    </row>
    <row r="464" ht="16.5" customHeight="1" s="50">
      <c r="A464" s="54" t="n"/>
      <c r="B464" s="55" t="n"/>
      <c r="C464" s="54" t="n"/>
      <c r="D464" s="54" t="n"/>
      <c r="E464" s="56" t="n"/>
      <c r="F464" s="56" t="n"/>
      <c r="G464" s="57">
        <f>IF(AND(D464&lt;&gt;"已完成",D464&lt;&gt;"",E464&lt;&gt;"",E464&lt;TODAY()),"⚠️延期","")</f>
        <v/>
      </c>
      <c r="H464" s="54" t="n"/>
      <c r="I464" s="55" t="n"/>
    </row>
    <row r="465" ht="16.5" customHeight="1" s="50">
      <c r="A465" s="54" t="n"/>
      <c r="B465" s="55" t="n"/>
      <c r="C465" s="54" t="n"/>
      <c r="D465" s="54" t="n"/>
      <c r="E465" s="56" t="n"/>
      <c r="F465" s="56" t="n"/>
      <c r="G465" s="57">
        <f>IF(AND(D465&lt;&gt;"已完成",D465&lt;&gt;"",E465&lt;&gt;"",E465&lt;TODAY()),"⚠️延期","")</f>
        <v/>
      </c>
      <c r="H465" s="54" t="n"/>
      <c r="I465" s="55" t="n"/>
    </row>
    <row r="466" ht="16.5" customHeight="1" s="50">
      <c r="A466" s="54" t="n"/>
      <c r="B466" s="55" t="n"/>
      <c r="C466" s="54" t="n"/>
      <c r="D466" s="54" t="n"/>
      <c r="E466" s="56" t="n"/>
      <c r="F466" s="56" t="n"/>
      <c r="G466" s="57">
        <f>IF(AND(D466&lt;&gt;"已完成",D466&lt;&gt;"",E466&lt;&gt;"",E466&lt;TODAY()),"⚠️延期","")</f>
        <v/>
      </c>
      <c r="H466" s="54" t="n"/>
      <c r="I466" s="55" t="n"/>
    </row>
    <row r="467" ht="16.5" customHeight="1" s="50">
      <c r="A467" s="54" t="n"/>
      <c r="B467" s="55" t="n"/>
      <c r="C467" s="54" t="n"/>
      <c r="D467" s="54" t="n"/>
      <c r="E467" s="56" t="n"/>
      <c r="F467" s="56" t="n"/>
      <c r="G467" s="57">
        <f>IF(AND(D467&lt;&gt;"已完成",D467&lt;&gt;"",E467&lt;&gt;"",E467&lt;TODAY()),"⚠️延期","")</f>
        <v/>
      </c>
      <c r="H467" s="54" t="n"/>
      <c r="I467" s="55" t="n"/>
    </row>
    <row r="468" ht="16.5" customHeight="1" s="50">
      <c r="A468" s="54" t="n"/>
      <c r="B468" s="55" t="n"/>
      <c r="C468" s="54" t="n"/>
      <c r="D468" s="54" t="n"/>
      <c r="E468" s="56" t="n"/>
      <c r="F468" s="56" t="n"/>
      <c r="G468" s="57">
        <f>IF(AND(D468&lt;&gt;"已完成",D468&lt;&gt;"",E468&lt;&gt;"",E468&lt;TODAY()),"⚠️延期","")</f>
        <v/>
      </c>
      <c r="H468" s="54" t="n"/>
      <c r="I468" s="55" t="n"/>
    </row>
    <row r="469" ht="16.5" customHeight="1" s="50">
      <c r="A469" s="54" t="n"/>
      <c r="B469" s="55" t="n"/>
      <c r="C469" s="54" t="n"/>
      <c r="D469" s="54" t="n"/>
      <c r="E469" s="56" t="n"/>
      <c r="F469" s="56" t="n"/>
      <c r="G469" s="57">
        <f>IF(AND(D469&lt;&gt;"已完成",D469&lt;&gt;"",E469&lt;&gt;"",E469&lt;TODAY()),"⚠️延期","")</f>
        <v/>
      </c>
      <c r="H469" s="54" t="n"/>
      <c r="I469" s="55" t="n"/>
    </row>
    <row r="470" ht="16.5" customHeight="1" s="50">
      <c r="A470" s="54" t="n"/>
      <c r="B470" s="55" t="n"/>
      <c r="C470" s="54" t="n"/>
      <c r="D470" s="54" t="n"/>
      <c r="E470" s="56" t="n"/>
      <c r="F470" s="56" t="n"/>
      <c r="G470" s="57">
        <f>IF(AND(D470&lt;&gt;"已完成",D470&lt;&gt;"",E470&lt;&gt;"",E470&lt;TODAY()),"⚠️延期","")</f>
        <v/>
      </c>
      <c r="H470" s="54" t="n"/>
      <c r="I470" s="55" t="n"/>
    </row>
    <row r="471" ht="16.5" customHeight="1" s="50">
      <c r="A471" s="54" t="n"/>
      <c r="B471" s="55" t="n"/>
      <c r="C471" s="54" t="n"/>
      <c r="D471" s="54" t="n"/>
      <c r="E471" s="56" t="n"/>
      <c r="F471" s="56" t="n"/>
      <c r="G471" s="57">
        <f>IF(AND(D471&lt;&gt;"已完成",D471&lt;&gt;"",E471&lt;&gt;"",E471&lt;TODAY()),"⚠️延期","")</f>
        <v/>
      </c>
      <c r="H471" s="54" t="n"/>
      <c r="I471" s="55" t="n"/>
    </row>
    <row r="472" ht="16.5" customHeight="1" s="50">
      <c r="A472" s="54" t="n"/>
      <c r="B472" s="55" t="n"/>
      <c r="C472" s="54" t="n"/>
      <c r="D472" s="54" t="n"/>
      <c r="E472" s="56" t="n"/>
      <c r="F472" s="56" t="n"/>
      <c r="G472" s="57">
        <f>IF(AND(D472&lt;&gt;"已完成",D472&lt;&gt;"",E472&lt;&gt;"",E472&lt;TODAY()),"⚠️延期","")</f>
        <v/>
      </c>
      <c r="H472" s="54" t="n"/>
      <c r="I472" s="55" t="n"/>
    </row>
    <row r="473" ht="16.5" customHeight="1" s="50">
      <c r="A473" s="54" t="n"/>
      <c r="B473" s="55" t="n"/>
      <c r="C473" s="54" t="n"/>
      <c r="D473" s="54" t="n"/>
      <c r="E473" s="56" t="n"/>
      <c r="F473" s="56" t="n"/>
      <c r="G473" s="57">
        <f>IF(AND(D473&lt;&gt;"已完成",D473&lt;&gt;"",E473&lt;&gt;"",E473&lt;TODAY()),"⚠️延期","")</f>
        <v/>
      </c>
      <c r="H473" s="54" t="n"/>
      <c r="I473" s="55" t="n"/>
    </row>
    <row r="474" ht="16.5" customHeight="1" s="50">
      <c r="A474" s="54" t="n"/>
      <c r="B474" s="55" t="n"/>
      <c r="C474" s="54" t="n"/>
      <c r="D474" s="54" t="n"/>
      <c r="E474" s="56" t="n"/>
      <c r="F474" s="56" t="n"/>
      <c r="G474" s="57">
        <f>IF(AND(D474&lt;&gt;"已完成",D474&lt;&gt;"",E474&lt;&gt;"",E474&lt;TODAY()),"⚠️延期","")</f>
        <v/>
      </c>
      <c r="H474" s="54" t="n"/>
      <c r="I474" s="55" t="n"/>
    </row>
    <row r="475" ht="16.5" customHeight="1" s="50">
      <c r="A475" s="54" t="n"/>
      <c r="B475" s="55" t="n"/>
      <c r="C475" s="54" t="n"/>
      <c r="D475" s="54" t="n"/>
      <c r="E475" s="56" t="n"/>
      <c r="F475" s="56" t="n"/>
      <c r="G475" s="57">
        <f>IF(AND(D475&lt;&gt;"已完成",D475&lt;&gt;"",E475&lt;&gt;"",E475&lt;TODAY()),"⚠️延期","")</f>
        <v/>
      </c>
      <c r="H475" s="54" t="n"/>
      <c r="I475" s="55" t="n"/>
    </row>
    <row r="476" ht="16.5" customHeight="1" s="50">
      <c r="A476" s="54" t="n"/>
      <c r="B476" s="55" t="n"/>
      <c r="C476" s="54" t="n"/>
      <c r="D476" s="54" t="n"/>
      <c r="E476" s="56" t="n"/>
      <c r="F476" s="56" t="n"/>
      <c r="G476" s="57">
        <f>IF(AND(D476&lt;&gt;"已完成",D476&lt;&gt;"",E476&lt;&gt;"",E476&lt;TODAY()),"⚠️延期","")</f>
        <v/>
      </c>
      <c r="H476" s="54" t="n"/>
      <c r="I476" s="55" t="n"/>
    </row>
    <row r="477" ht="16.5" customHeight="1" s="50">
      <c r="A477" s="54" t="n"/>
      <c r="B477" s="55" t="n"/>
      <c r="C477" s="54" t="n"/>
      <c r="D477" s="54" t="n"/>
      <c r="E477" s="56" t="n"/>
      <c r="F477" s="56" t="n"/>
      <c r="G477" s="57">
        <f>IF(AND(D477&lt;&gt;"已完成",D477&lt;&gt;"",E477&lt;&gt;"",E477&lt;TODAY()),"⚠️延期","")</f>
        <v/>
      </c>
      <c r="H477" s="54" t="n"/>
      <c r="I477" s="55" t="n"/>
    </row>
    <row r="478" ht="16.5" customHeight="1" s="50">
      <c r="A478" s="54" t="n"/>
      <c r="B478" s="55" t="n"/>
      <c r="C478" s="54" t="n"/>
      <c r="D478" s="54" t="n"/>
      <c r="E478" s="56" t="n"/>
      <c r="F478" s="56" t="n"/>
      <c r="G478" s="57">
        <f>IF(AND(D478&lt;&gt;"已完成",D478&lt;&gt;"",E478&lt;&gt;"",E478&lt;TODAY()),"⚠️延期","")</f>
        <v/>
      </c>
      <c r="H478" s="54" t="n"/>
      <c r="I478" s="55" t="n"/>
    </row>
    <row r="479" ht="16.5" customHeight="1" s="50">
      <c r="A479" s="54" t="n"/>
      <c r="B479" s="55" t="n"/>
      <c r="C479" s="54" t="n"/>
      <c r="D479" s="54" t="n"/>
      <c r="E479" s="56" t="n"/>
      <c r="F479" s="56" t="n"/>
      <c r="G479" s="57">
        <f>IF(AND(D479&lt;&gt;"已完成",D479&lt;&gt;"",E479&lt;&gt;"",E479&lt;TODAY()),"⚠️延期","")</f>
        <v/>
      </c>
      <c r="H479" s="54" t="n"/>
      <c r="I479" s="55" t="n"/>
    </row>
    <row r="480" ht="16.5" customHeight="1" s="50">
      <c r="A480" s="54" t="n"/>
      <c r="B480" s="55" t="n"/>
      <c r="C480" s="54" t="n"/>
      <c r="D480" s="54" t="n"/>
      <c r="E480" s="56" t="n"/>
      <c r="F480" s="56" t="n"/>
      <c r="G480" s="57">
        <f>IF(AND(D480&lt;&gt;"已完成",D480&lt;&gt;"",E480&lt;&gt;"",E480&lt;TODAY()),"⚠️延期","")</f>
        <v/>
      </c>
      <c r="H480" s="54" t="n"/>
      <c r="I480" s="55" t="n"/>
    </row>
    <row r="481" ht="16.5" customHeight="1" s="50">
      <c r="A481" s="54" t="n"/>
      <c r="B481" s="55" t="n"/>
      <c r="C481" s="54" t="n"/>
      <c r="D481" s="54" t="n"/>
      <c r="E481" s="56" t="n"/>
      <c r="F481" s="56" t="n"/>
      <c r="G481" s="57">
        <f>IF(AND(D481&lt;&gt;"已完成",D481&lt;&gt;"",E481&lt;&gt;"",E481&lt;TODAY()),"⚠️延期","")</f>
        <v/>
      </c>
      <c r="H481" s="54" t="n"/>
      <c r="I481" s="55" t="n"/>
    </row>
    <row r="482" ht="16.5" customHeight="1" s="50">
      <c r="A482" s="54" t="n"/>
      <c r="B482" s="55" t="n"/>
      <c r="C482" s="54" t="n"/>
      <c r="D482" s="54" t="n"/>
      <c r="E482" s="56" t="n"/>
      <c r="F482" s="56" t="n"/>
      <c r="G482" s="57">
        <f>IF(AND(D482&lt;&gt;"已完成",D482&lt;&gt;"",E482&lt;&gt;"",E482&lt;TODAY()),"⚠️延期","")</f>
        <v/>
      </c>
      <c r="H482" s="54" t="n"/>
      <c r="I482" s="55" t="n"/>
    </row>
    <row r="483" ht="16.5" customHeight="1" s="50">
      <c r="A483" s="54" t="n"/>
      <c r="B483" s="55" t="n"/>
      <c r="C483" s="54" t="n"/>
      <c r="D483" s="54" t="n"/>
      <c r="E483" s="56" t="n"/>
      <c r="F483" s="56" t="n"/>
      <c r="G483" s="57">
        <f>IF(AND(D483&lt;&gt;"已完成",D483&lt;&gt;"",E483&lt;&gt;"",E483&lt;TODAY()),"⚠️延期","")</f>
        <v/>
      </c>
      <c r="H483" s="54" t="n"/>
      <c r="I483" s="55" t="n"/>
    </row>
    <row r="484" ht="16.5" customHeight="1" s="50">
      <c r="A484" s="54" t="n"/>
      <c r="B484" s="55" t="n"/>
      <c r="C484" s="54" t="n"/>
      <c r="D484" s="54" t="n"/>
      <c r="E484" s="56" t="n"/>
      <c r="F484" s="56" t="n"/>
      <c r="G484" s="57">
        <f>IF(AND(D484&lt;&gt;"已完成",D484&lt;&gt;"",E484&lt;&gt;"",E484&lt;TODAY()),"⚠️延期","")</f>
        <v/>
      </c>
      <c r="H484" s="54" t="n"/>
      <c r="I484" s="55" t="n"/>
    </row>
    <row r="485" ht="16.5" customHeight="1" s="50">
      <c r="A485" s="54" t="n"/>
      <c r="B485" s="55" t="n"/>
      <c r="C485" s="54" t="n"/>
      <c r="D485" s="54" t="n"/>
      <c r="E485" s="56" t="n"/>
      <c r="F485" s="56" t="n"/>
      <c r="G485" s="57">
        <f>IF(AND(D485&lt;&gt;"已完成",D485&lt;&gt;"",E485&lt;&gt;"",E485&lt;TODAY()),"⚠️延期","")</f>
        <v/>
      </c>
      <c r="H485" s="54" t="n"/>
      <c r="I485" s="55" t="n"/>
    </row>
    <row r="486" ht="16.5" customHeight="1" s="50">
      <c r="A486" s="54" t="n"/>
      <c r="B486" s="55" t="n"/>
      <c r="C486" s="54" t="n"/>
      <c r="D486" s="54" t="n"/>
      <c r="E486" s="56" t="n"/>
      <c r="F486" s="56" t="n"/>
      <c r="G486" s="57">
        <f>IF(AND(D486&lt;&gt;"已完成",D486&lt;&gt;"",E486&lt;&gt;"",E486&lt;TODAY()),"⚠️延期","")</f>
        <v/>
      </c>
      <c r="H486" s="54" t="n"/>
      <c r="I486" s="55" t="n"/>
    </row>
    <row r="487" ht="16.5" customHeight="1" s="50">
      <c r="A487" s="54" t="n"/>
      <c r="B487" s="55" t="n"/>
      <c r="C487" s="54" t="n"/>
      <c r="D487" s="54" t="n"/>
      <c r="E487" s="56" t="n"/>
      <c r="F487" s="56" t="n"/>
      <c r="G487" s="57">
        <f>IF(AND(D487&lt;&gt;"已完成",D487&lt;&gt;"",E487&lt;&gt;"",E487&lt;TODAY()),"⚠️延期","")</f>
        <v/>
      </c>
      <c r="H487" s="54" t="n"/>
      <c r="I487" s="55" t="n"/>
    </row>
    <row r="488" ht="16.5" customHeight="1" s="50">
      <c r="A488" s="54" t="n"/>
      <c r="B488" s="55" t="n"/>
      <c r="C488" s="54" t="n"/>
      <c r="D488" s="54" t="n"/>
      <c r="E488" s="56" t="n"/>
      <c r="F488" s="56" t="n"/>
      <c r="G488" s="57">
        <f>IF(AND(D488&lt;&gt;"已完成",D488&lt;&gt;"",E488&lt;&gt;"",E488&lt;TODAY()),"⚠️延期","")</f>
        <v/>
      </c>
      <c r="H488" s="54" t="n"/>
      <c r="I488" s="55" t="n"/>
    </row>
    <row r="489" ht="16.5" customHeight="1" s="50">
      <c r="A489" s="54" t="n"/>
      <c r="B489" s="55" t="n"/>
      <c r="C489" s="54" t="n"/>
      <c r="D489" s="54" t="n"/>
      <c r="E489" s="56" t="n"/>
      <c r="F489" s="56" t="n"/>
      <c r="G489" s="57">
        <f>IF(AND(D489&lt;&gt;"已完成",D489&lt;&gt;"",E489&lt;&gt;"",E489&lt;TODAY()),"⚠️延期","")</f>
        <v/>
      </c>
      <c r="H489" s="54" t="n"/>
      <c r="I489" s="55" t="n"/>
    </row>
    <row r="490" ht="16.5" customHeight="1" s="50">
      <c r="A490" s="54" t="n"/>
      <c r="B490" s="55" t="n"/>
      <c r="C490" s="54" t="n"/>
      <c r="D490" s="54" t="n"/>
      <c r="E490" s="56" t="n"/>
      <c r="F490" s="56" t="n"/>
      <c r="G490" s="57">
        <f>IF(AND(D490&lt;&gt;"已完成",D490&lt;&gt;"",E490&lt;&gt;"",E490&lt;TODAY()),"⚠️延期","")</f>
        <v/>
      </c>
      <c r="H490" s="54" t="n"/>
      <c r="I490" s="55" t="n"/>
    </row>
    <row r="491" ht="16.5" customHeight="1" s="50">
      <c r="A491" s="54" t="n"/>
      <c r="B491" s="55" t="n"/>
      <c r="C491" s="54" t="n"/>
      <c r="D491" s="54" t="n"/>
      <c r="E491" s="56" t="n"/>
      <c r="F491" s="56" t="n"/>
      <c r="G491" s="57">
        <f>IF(AND(D491&lt;&gt;"已完成",D491&lt;&gt;"",E491&lt;&gt;"",E491&lt;TODAY()),"⚠️延期","")</f>
        <v/>
      </c>
      <c r="H491" s="54" t="n"/>
      <c r="I491" s="55" t="n"/>
    </row>
    <row r="492" ht="16.5" customHeight="1" s="50">
      <c r="A492" s="54" t="n"/>
      <c r="B492" s="55" t="n"/>
      <c r="C492" s="54" t="n"/>
      <c r="D492" s="54" t="n"/>
      <c r="E492" s="56" t="n"/>
      <c r="F492" s="56" t="n"/>
      <c r="G492" s="57">
        <f>IF(AND(D492&lt;&gt;"已完成",D492&lt;&gt;"",E492&lt;&gt;"",E492&lt;TODAY()),"⚠️延期","")</f>
        <v/>
      </c>
      <c r="H492" s="54" t="n"/>
      <c r="I492" s="55" t="n"/>
    </row>
    <row r="493" ht="16.5" customHeight="1" s="50">
      <c r="A493" s="54" t="n"/>
      <c r="B493" s="55" t="n"/>
      <c r="C493" s="54" t="n"/>
      <c r="D493" s="54" t="n"/>
      <c r="E493" s="56" t="n"/>
      <c r="F493" s="56" t="n"/>
      <c r="G493" s="57">
        <f>IF(AND(D493&lt;&gt;"已完成",D493&lt;&gt;"",E493&lt;&gt;"",E493&lt;TODAY()),"⚠️延期","")</f>
        <v/>
      </c>
      <c r="H493" s="54" t="n"/>
      <c r="I493" s="55" t="n"/>
    </row>
    <row r="494" ht="16.5" customHeight="1" s="50">
      <c r="A494" s="54" t="n"/>
      <c r="B494" s="55" t="n"/>
      <c r="C494" s="54" t="n"/>
      <c r="D494" s="54" t="n"/>
      <c r="E494" s="56" t="n"/>
      <c r="F494" s="56" t="n"/>
      <c r="G494" s="57">
        <f>IF(AND(D494&lt;&gt;"已完成",D494&lt;&gt;"",E494&lt;&gt;"",E494&lt;TODAY()),"⚠️延期","")</f>
        <v/>
      </c>
      <c r="H494" s="54" t="n"/>
      <c r="I494" s="55" t="n"/>
    </row>
    <row r="495" ht="16.5" customHeight="1" s="50">
      <c r="A495" s="54" t="n"/>
      <c r="B495" s="55" t="n"/>
      <c r="C495" s="54" t="n"/>
      <c r="D495" s="54" t="n"/>
      <c r="E495" s="56" t="n"/>
      <c r="F495" s="56" t="n"/>
      <c r="G495" s="57">
        <f>IF(AND(D495&lt;&gt;"已完成",D495&lt;&gt;"",E495&lt;&gt;"",E495&lt;TODAY()),"⚠️延期","")</f>
        <v/>
      </c>
      <c r="H495" s="54" t="n"/>
      <c r="I495" s="55" t="n"/>
    </row>
    <row r="496" ht="16.5" customHeight="1" s="50">
      <c r="A496" s="54" t="n"/>
      <c r="B496" s="55" t="n"/>
      <c r="C496" s="54" t="n"/>
      <c r="D496" s="54" t="n"/>
      <c r="E496" s="56" t="n"/>
      <c r="F496" s="56" t="n"/>
      <c r="G496" s="57">
        <f>IF(AND(D496&lt;&gt;"已完成",D496&lt;&gt;"",E496&lt;&gt;"",E496&lt;TODAY()),"⚠️延期","")</f>
        <v/>
      </c>
      <c r="H496" s="54" t="n"/>
      <c r="I496" s="55" t="n"/>
    </row>
    <row r="497" ht="16.5" customHeight="1" s="50">
      <c r="A497" s="54" t="n"/>
      <c r="B497" s="55" t="n"/>
      <c r="C497" s="54" t="n"/>
      <c r="D497" s="54" t="n"/>
      <c r="E497" s="56" t="n"/>
      <c r="F497" s="56" t="n"/>
      <c r="G497" s="57">
        <f>IF(AND(D497&lt;&gt;"已完成",D497&lt;&gt;"",E497&lt;&gt;"",E497&lt;TODAY()),"⚠️延期","")</f>
        <v/>
      </c>
      <c r="H497" s="54" t="n"/>
      <c r="I497" s="55" t="n"/>
    </row>
    <row r="498" ht="16.5" customHeight="1" s="50">
      <c r="A498" s="54" t="n"/>
      <c r="B498" s="55" t="n"/>
      <c r="C498" s="54" t="n"/>
      <c r="D498" s="54" t="n"/>
      <c r="E498" s="56" t="n"/>
      <c r="F498" s="56" t="n"/>
      <c r="G498" s="57">
        <f>IF(AND(D498&lt;&gt;"已完成",D498&lt;&gt;"",E498&lt;&gt;"",E498&lt;TODAY()),"⚠️延期","")</f>
        <v/>
      </c>
      <c r="H498" s="54" t="n"/>
      <c r="I498" s="55" t="n"/>
    </row>
    <row r="499" ht="16.5" customHeight="1" s="50">
      <c r="A499" s="54" t="n"/>
      <c r="B499" s="55" t="n"/>
      <c r="C499" s="54" t="n"/>
      <c r="D499" s="54" t="n"/>
      <c r="E499" s="56" t="n"/>
      <c r="F499" s="56" t="n"/>
      <c r="G499" s="57">
        <f>IF(AND(D499&lt;&gt;"已完成",D499&lt;&gt;"",E499&lt;&gt;"",E499&lt;TODAY()),"⚠️延期","")</f>
        <v/>
      </c>
      <c r="H499" s="54" t="n"/>
      <c r="I499" s="55" t="n"/>
    </row>
    <row r="500" ht="16.5" customHeight="1" s="50">
      <c r="A500" s="54" t="n"/>
      <c r="B500" s="55" t="n"/>
      <c r="C500" s="54" t="n"/>
      <c r="D500" s="54" t="n"/>
      <c r="E500" s="56" t="n"/>
      <c r="F500" s="56" t="n"/>
      <c r="G500" s="57">
        <f>IF(AND(D500&lt;&gt;"已完成",D500&lt;&gt;"",E500&lt;&gt;"",E500&lt;TODAY()),"⚠️延期","")</f>
        <v/>
      </c>
      <c r="H500" s="54" t="n"/>
      <c r="I500" s="55" t="n"/>
    </row>
    <row r="501" ht="16.5" customHeight="1" s="50"/>
    <row r="502" ht="16.5" customHeight="1" s="50"/>
    <row r="503" ht="16.5" customHeight="1" s="50"/>
    <row r="504" ht="16.5" customHeight="1" s="50"/>
    <row r="505" ht="16.5" customHeight="1" s="50"/>
    <row r="506" ht="16.5" customHeight="1" s="50"/>
    <row r="507" ht="16.5" customHeight="1" s="50"/>
    <row r="508" ht="16.5" customHeight="1" s="50"/>
    <row r="509" ht="16.5" customHeight="1" s="50"/>
    <row r="510" ht="16.5" customHeight="1" s="50"/>
    <row r="511" ht="16.5" customHeight="1" s="50"/>
    <row r="512" ht="16.5" customHeight="1" s="50"/>
    <row r="513" ht="16.5" customHeight="1" s="50"/>
    <row r="514" ht="16.5" customHeight="1" s="50"/>
    <row r="515" ht="16.5" customHeight="1" s="50"/>
    <row r="516" ht="16.5" customHeight="1" s="50"/>
    <row r="517" ht="16.5" customHeight="1" s="50"/>
    <row r="518" ht="16.5" customHeight="1" s="50"/>
    <row r="519" ht="16.5" customHeight="1" s="50"/>
    <row r="520" ht="16.5" customHeight="1" s="50"/>
    <row r="521" ht="16.5" customHeight="1" s="50"/>
    <row r="522" ht="16.5" customHeight="1" s="50"/>
    <row r="523" ht="16.5" customHeight="1" s="50"/>
    <row r="524" ht="16.5" customHeight="1" s="50"/>
    <row r="525" ht="16.5" customHeight="1" s="50"/>
    <row r="526" ht="16.5" customHeight="1" s="50"/>
    <row r="527" ht="16.5" customHeight="1" s="50"/>
    <row r="528" ht="16.5" customHeight="1" s="50"/>
    <row r="529" ht="16.5" customHeight="1" s="50"/>
    <row r="530" ht="16.5" customHeight="1" s="50"/>
    <row r="531" ht="16.5" customHeight="1" s="50"/>
    <row r="532" ht="16.5" customHeight="1" s="50"/>
    <row r="533" ht="16.5" customHeight="1" s="50"/>
    <row r="534" ht="16.5" customHeight="1" s="50"/>
    <row r="535" ht="16.5" customHeight="1" s="50"/>
    <row r="536" ht="16.5" customHeight="1" s="50"/>
    <row r="537" ht="16.5" customHeight="1" s="50"/>
    <row r="538" ht="16.5" customHeight="1" s="50"/>
    <row r="539" ht="16.5" customHeight="1" s="50"/>
    <row r="540" ht="16.5" customHeight="1" s="50"/>
    <row r="541" ht="16.5" customHeight="1" s="50"/>
    <row r="542" ht="16.5" customHeight="1" s="50"/>
    <row r="543" ht="16.5" customHeight="1" s="50"/>
    <row r="544" ht="16.5" customHeight="1" s="50"/>
    <row r="545" ht="16.5" customHeight="1" s="50"/>
    <row r="546" ht="16.5" customHeight="1" s="50"/>
    <row r="547" ht="16.5" customHeight="1" s="50"/>
    <row r="548" ht="16.5" customHeight="1" s="50"/>
    <row r="549" ht="16.5" customHeight="1" s="50"/>
    <row r="550" ht="16.5" customHeight="1" s="50"/>
    <row r="551" ht="16.5" customHeight="1" s="50"/>
    <row r="552" ht="16.5" customHeight="1" s="50"/>
    <row r="553" ht="16.5" customHeight="1" s="50"/>
    <row r="554" ht="16.5" customHeight="1" s="50"/>
    <row r="555" ht="16.5" customHeight="1" s="50"/>
    <row r="556" ht="16.5" customHeight="1" s="50"/>
    <row r="557" ht="16.5" customHeight="1" s="50"/>
    <row r="558" ht="16.5" customHeight="1" s="50"/>
    <row r="559" ht="16.5" customHeight="1" s="50"/>
    <row r="560" ht="16.5" customHeight="1" s="50"/>
    <row r="561" ht="16.5" customHeight="1" s="50"/>
    <row r="562" ht="16.5" customHeight="1" s="50"/>
    <row r="563" ht="16.5" customHeight="1" s="50"/>
    <row r="564" ht="16.5" customHeight="1" s="50"/>
    <row r="565" ht="16.5" customHeight="1" s="50"/>
    <row r="566" ht="16.5" customHeight="1" s="50"/>
    <row r="567" ht="16.5" customHeight="1" s="50"/>
    <row r="568" ht="16.5" customHeight="1" s="50"/>
    <row r="569" ht="16.5" customHeight="1" s="50"/>
    <row r="570" ht="16.5" customHeight="1" s="50"/>
    <row r="571" ht="16.5" customHeight="1" s="50"/>
    <row r="572" ht="16.5" customHeight="1" s="50"/>
    <row r="573" ht="16.5" customHeight="1" s="50"/>
    <row r="574" ht="16.5" customHeight="1" s="50"/>
    <row r="575" ht="16.5" customHeight="1" s="50"/>
    <row r="576" ht="16.5" customHeight="1" s="50"/>
    <row r="577" ht="16.5" customHeight="1" s="50"/>
    <row r="578" ht="16.5" customHeight="1" s="50"/>
    <row r="579" ht="16.5" customHeight="1" s="50"/>
    <row r="580" ht="16.5" customHeight="1" s="50"/>
    <row r="581" ht="16.5" customHeight="1" s="50"/>
    <row r="582" ht="16.5" customHeight="1" s="50"/>
    <row r="583" ht="16.5" customHeight="1" s="50"/>
    <row r="584" ht="16.5" customHeight="1" s="50"/>
    <row r="585" ht="16.5" customHeight="1" s="50"/>
    <row r="586" ht="16.5" customHeight="1" s="50"/>
    <row r="587" ht="16.5" customHeight="1" s="50"/>
    <row r="588" ht="16.5" customHeight="1" s="50"/>
    <row r="589" ht="16.5" customHeight="1" s="50"/>
    <row r="590" ht="16.5" customHeight="1" s="50"/>
    <row r="591" ht="16.5" customHeight="1" s="50"/>
    <row r="592" ht="16.5" customHeight="1" s="50"/>
    <row r="593" ht="16.5" customHeight="1" s="50"/>
    <row r="594" ht="16.5" customHeight="1" s="50"/>
    <row r="595" ht="16.5" customHeight="1" s="50"/>
    <row r="596" ht="16.5" customHeight="1" s="50"/>
    <row r="597" ht="16.5" customHeight="1" s="50"/>
    <row r="598" ht="16.5" customHeight="1" s="50"/>
    <row r="599" ht="16.5" customHeight="1" s="50"/>
    <row r="600" ht="16.5" customHeight="1" s="50"/>
    <row r="601" ht="16.5" customHeight="1" s="50"/>
    <row r="602" ht="16.5" customHeight="1" s="50"/>
    <row r="603" ht="16.5" customHeight="1" s="50"/>
    <row r="604" ht="16.5" customHeight="1" s="50"/>
    <row r="605" ht="16.5" customHeight="1" s="50"/>
    <row r="606" ht="16.5" customHeight="1" s="50"/>
    <row r="607" ht="16.5" customHeight="1" s="50"/>
    <row r="608" ht="16.5" customHeight="1" s="50"/>
    <row r="609" ht="16.5" customHeight="1" s="50"/>
    <row r="610" ht="16.5" customHeight="1" s="50"/>
    <row r="611" ht="16.5" customHeight="1" s="50"/>
    <row r="612" ht="16.5" customHeight="1" s="50"/>
    <row r="613" ht="16.5" customHeight="1" s="50"/>
    <row r="614" ht="16.5" customHeight="1" s="50"/>
    <row r="615" ht="16.5" customHeight="1" s="50"/>
    <row r="616" ht="16.5" customHeight="1" s="50"/>
    <row r="617" ht="16.5" customHeight="1" s="50"/>
    <row r="618" ht="16.5" customHeight="1" s="50"/>
    <row r="619" ht="16.5" customHeight="1" s="50"/>
    <row r="620" ht="16.5" customHeight="1" s="50"/>
    <row r="621" ht="16.5" customHeight="1" s="50"/>
    <row r="622" ht="16.5" customHeight="1" s="50"/>
    <row r="623" ht="16.5" customHeight="1" s="50"/>
    <row r="624" ht="16.5" customHeight="1" s="50"/>
    <row r="625" ht="16.5" customHeight="1" s="50"/>
    <row r="626" ht="16.5" customHeight="1" s="50"/>
    <row r="627" ht="16.5" customHeight="1" s="50"/>
    <row r="628" ht="16.5" customHeight="1" s="50"/>
    <row r="629" ht="16.5" customHeight="1" s="50"/>
    <row r="630" ht="16.5" customHeight="1" s="50"/>
    <row r="631" ht="16.5" customHeight="1" s="50"/>
    <row r="632" ht="16.5" customHeight="1" s="50"/>
    <row r="633" ht="16.5" customHeight="1" s="50"/>
    <row r="634" ht="16.5" customHeight="1" s="50"/>
    <row r="635" ht="16.5" customHeight="1" s="50"/>
    <row r="636" ht="16.5" customHeight="1" s="50"/>
    <row r="637" ht="16.5" customHeight="1" s="50"/>
    <row r="638" ht="16.5" customHeight="1" s="50"/>
    <row r="639" ht="16.5" customHeight="1" s="50"/>
    <row r="640" ht="16.5" customHeight="1" s="50"/>
    <row r="641" ht="16.5" customHeight="1" s="50"/>
    <row r="642" ht="16.5" customHeight="1" s="50"/>
    <row r="643" ht="16.5" customHeight="1" s="50"/>
    <row r="644" ht="16.5" customHeight="1" s="50"/>
    <row r="645" ht="16.5" customHeight="1" s="50"/>
    <row r="646" ht="16.5" customHeight="1" s="50"/>
    <row r="647" ht="16.5" customHeight="1" s="50"/>
    <row r="648" ht="16.5" customHeight="1" s="50"/>
    <row r="649" ht="16.5" customHeight="1" s="50"/>
    <row r="650" ht="16.5" customHeight="1" s="50"/>
    <row r="651" ht="16.5" customHeight="1" s="50"/>
    <row r="652" ht="16.5" customHeight="1" s="50"/>
    <row r="653" ht="16.5" customHeight="1" s="50"/>
    <row r="654" ht="16.5" customHeight="1" s="50"/>
    <row r="655" ht="16.5" customHeight="1" s="50"/>
    <row r="656" ht="16.5" customHeight="1" s="50"/>
    <row r="657" ht="16.5" customHeight="1" s="50"/>
    <row r="658" ht="16.5" customHeight="1" s="50"/>
    <row r="659" ht="16.5" customHeight="1" s="50"/>
    <row r="660" ht="16.5" customHeight="1" s="50"/>
    <row r="661" ht="16.5" customHeight="1" s="50"/>
    <row r="662" ht="16.5" customHeight="1" s="50"/>
    <row r="663" ht="16.5" customHeight="1" s="50"/>
    <row r="664" ht="16.5" customHeight="1" s="50"/>
    <row r="665" ht="16.5" customHeight="1" s="50"/>
    <row r="666" ht="16.5" customHeight="1" s="50"/>
    <row r="667" ht="16.5" customHeight="1" s="50"/>
    <row r="668" ht="16.5" customHeight="1" s="50"/>
    <row r="669" ht="16.5" customHeight="1" s="50"/>
    <row r="670" ht="16.5" customHeight="1" s="50"/>
    <row r="671" ht="16.5" customHeight="1" s="50"/>
    <row r="672" ht="16.5" customHeight="1" s="50"/>
    <row r="673" ht="16.5" customHeight="1" s="50"/>
    <row r="674" ht="16.5" customHeight="1" s="50"/>
    <row r="675" ht="16.5" customHeight="1" s="50"/>
    <row r="676" ht="16.5" customHeight="1" s="50"/>
    <row r="677" ht="16.5" customHeight="1" s="50"/>
    <row r="678" ht="16.5" customHeight="1" s="50"/>
    <row r="679" ht="16.5" customHeight="1" s="50"/>
    <row r="680" ht="16.5" customHeight="1" s="50"/>
    <row r="681" ht="16.5" customHeight="1" s="50"/>
    <row r="682" ht="16.5" customHeight="1" s="50"/>
    <row r="683" ht="16.5" customHeight="1" s="50"/>
    <row r="684" ht="16.5" customHeight="1" s="50"/>
    <row r="685" ht="16.5" customHeight="1" s="50"/>
    <row r="686" ht="16.5" customHeight="1" s="50"/>
    <row r="687" ht="16.5" customHeight="1" s="50"/>
    <row r="688" ht="16.5" customHeight="1" s="50"/>
    <row r="689" ht="16.5" customHeight="1" s="50"/>
    <row r="690" ht="16.5" customHeight="1" s="50"/>
    <row r="691" ht="16.5" customHeight="1" s="50"/>
    <row r="692" ht="16.5" customHeight="1" s="50"/>
    <row r="693" ht="16.5" customHeight="1" s="50"/>
    <row r="694" ht="16.5" customHeight="1" s="50"/>
    <row r="695" ht="16.5" customHeight="1" s="50"/>
    <row r="696" ht="16.5" customHeight="1" s="50"/>
    <row r="697" ht="16.5" customHeight="1" s="50"/>
    <row r="698" ht="16.5" customHeight="1" s="50"/>
    <row r="699" ht="16.5" customHeight="1" s="50"/>
    <row r="700" ht="16.5" customHeight="1" s="50"/>
    <row r="701" ht="16.5" customHeight="1" s="50"/>
    <row r="702" ht="16.5" customHeight="1" s="50"/>
    <row r="703" ht="16.5" customHeight="1" s="50"/>
    <row r="704" ht="16.5" customHeight="1" s="50"/>
    <row r="705" ht="16.5" customHeight="1" s="50"/>
    <row r="706" ht="16.5" customHeight="1" s="50"/>
    <row r="707" ht="16.5" customHeight="1" s="50"/>
    <row r="708" ht="16.5" customHeight="1" s="50"/>
    <row r="709" ht="16.5" customHeight="1" s="50"/>
    <row r="710" ht="16.5" customHeight="1" s="50"/>
    <row r="711" ht="16.5" customHeight="1" s="50"/>
    <row r="712" ht="16.5" customHeight="1" s="50"/>
    <row r="713" ht="16.5" customHeight="1" s="50"/>
    <row r="714" ht="16.5" customHeight="1" s="50"/>
    <row r="715" ht="16.5" customHeight="1" s="50"/>
    <row r="716" ht="16.5" customHeight="1" s="50"/>
    <row r="717" ht="16.5" customHeight="1" s="50"/>
    <row r="718" ht="16.5" customHeight="1" s="50"/>
    <row r="719" ht="16.5" customHeight="1" s="50"/>
    <row r="720" ht="16.5" customHeight="1" s="50"/>
    <row r="721" ht="16.5" customHeight="1" s="50"/>
    <row r="722" ht="16.5" customHeight="1" s="50"/>
    <row r="723" ht="16.5" customHeight="1" s="50"/>
    <row r="724" ht="16.5" customHeight="1" s="50"/>
    <row r="725" ht="16.5" customHeight="1" s="50"/>
    <row r="726" ht="16.5" customHeight="1" s="50"/>
    <row r="727" ht="16.5" customHeight="1" s="50"/>
    <row r="728" ht="16.5" customHeight="1" s="50"/>
    <row r="729" ht="16.5" customHeight="1" s="50"/>
    <row r="730" ht="16.5" customHeight="1" s="50"/>
    <row r="731" ht="16.5" customHeight="1" s="50"/>
    <row r="732" ht="16.5" customHeight="1" s="50"/>
    <row r="733" ht="16.5" customHeight="1" s="50"/>
    <row r="734" ht="16.5" customHeight="1" s="50"/>
    <row r="735" ht="16.5" customHeight="1" s="50"/>
    <row r="736" ht="16.5" customHeight="1" s="50"/>
    <row r="737" ht="16.5" customHeight="1" s="50"/>
    <row r="738" ht="16.5" customHeight="1" s="50"/>
    <row r="739" ht="16.5" customHeight="1" s="50"/>
    <row r="740" ht="16.5" customHeight="1" s="50"/>
    <row r="741" ht="16.5" customHeight="1" s="50"/>
    <row r="742" ht="16.5" customHeight="1" s="50"/>
    <row r="743" ht="16.5" customHeight="1" s="50"/>
    <row r="744" ht="16.5" customHeight="1" s="50"/>
    <row r="745" ht="16.5" customHeight="1" s="50"/>
    <row r="746" ht="16.5" customHeight="1" s="50"/>
    <row r="747" ht="16.5" customHeight="1" s="50"/>
    <row r="748" ht="16.5" customHeight="1" s="50"/>
    <row r="749" ht="16.5" customHeight="1" s="50"/>
    <row r="750" ht="16.5" customHeight="1" s="50"/>
    <row r="751" ht="16.5" customHeight="1" s="50"/>
    <row r="752" ht="16.5" customHeight="1" s="50"/>
    <row r="753" ht="16.5" customHeight="1" s="50"/>
    <row r="754" ht="16.5" customHeight="1" s="50"/>
    <row r="755" ht="16.5" customHeight="1" s="50"/>
    <row r="756" ht="16.5" customHeight="1" s="50"/>
    <row r="757" ht="16.5" customHeight="1" s="50"/>
    <row r="758" ht="16.5" customHeight="1" s="50"/>
    <row r="759" ht="16.5" customHeight="1" s="50"/>
    <row r="760" ht="16.5" customHeight="1" s="50"/>
    <row r="761" ht="16.5" customHeight="1" s="50"/>
    <row r="762" ht="16.5" customHeight="1" s="50"/>
    <row r="763" ht="16.5" customHeight="1" s="50"/>
    <row r="764" ht="16.5" customHeight="1" s="50"/>
    <row r="765" ht="16.5" customHeight="1" s="50"/>
    <row r="766" ht="16.5" customHeight="1" s="50"/>
    <row r="767" ht="16.5" customHeight="1" s="50"/>
    <row r="768" ht="16.5" customHeight="1" s="50"/>
    <row r="769" ht="16.5" customHeight="1" s="50"/>
    <row r="770" ht="16.5" customHeight="1" s="50"/>
    <row r="771" ht="16.5" customHeight="1" s="50"/>
    <row r="772" ht="16.5" customHeight="1" s="50"/>
    <row r="773" ht="16.5" customHeight="1" s="50"/>
    <row r="774" ht="16.5" customHeight="1" s="50"/>
    <row r="775" ht="16.5" customHeight="1" s="50"/>
    <row r="776" ht="16.5" customHeight="1" s="50"/>
    <row r="777" ht="16.5" customHeight="1" s="50"/>
    <row r="778" ht="16.5" customHeight="1" s="50"/>
    <row r="779" ht="16.5" customHeight="1" s="50"/>
    <row r="780" ht="16.5" customHeight="1" s="50"/>
    <row r="781" ht="16.5" customHeight="1" s="50"/>
    <row r="782" ht="16.5" customHeight="1" s="50"/>
    <row r="783" ht="16.5" customHeight="1" s="50"/>
    <row r="784" ht="16.5" customHeight="1" s="50"/>
    <row r="785" ht="16.5" customHeight="1" s="50"/>
    <row r="786" ht="16.5" customHeight="1" s="50"/>
    <row r="787" ht="16.5" customHeight="1" s="50"/>
    <row r="788" ht="16.5" customHeight="1" s="50"/>
    <row r="789" ht="16.5" customHeight="1" s="50"/>
    <row r="790" ht="16.5" customHeight="1" s="50"/>
    <row r="791" ht="16.5" customHeight="1" s="50"/>
    <row r="792" ht="16.5" customHeight="1" s="50"/>
    <row r="793" ht="16.5" customHeight="1" s="50"/>
    <row r="794" ht="16.5" customHeight="1" s="50"/>
    <row r="795" ht="16.5" customHeight="1" s="50"/>
    <row r="796" ht="16.5" customHeight="1" s="50"/>
    <row r="797" ht="16.5" customHeight="1" s="50"/>
    <row r="798" ht="16.5" customHeight="1" s="50"/>
    <row r="799" ht="16.5" customHeight="1" s="50"/>
    <row r="800" ht="16.5" customHeight="1" s="50"/>
    <row r="801" ht="16.5" customHeight="1" s="50"/>
    <row r="802" ht="16.5" customHeight="1" s="50"/>
    <row r="803" ht="16.5" customHeight="1" s="50"/>
    <row r="804" ht="16.5" customHeight="1" s="50"/>
    <row r="805" ht="16.5" customHeight="1" s="50"/>
    <row r="806" ht="16.5" customHeight="1" s="50"/>
    <row r="807" ht="16.5" customHeight="1" s="50"/>
    <row r="808" ht="16.5" customHeight="1" s="50"/>
    <row r="809" ht="16.5" customHeight="1" s="50"/>
    <row r="810" ht="16.5" customHeight="1" s="50"/>
    <row r="811" ht="16.5" customHeight="1" s="50"/>
    <row r="812" ht="16.5" customHeight="1" s="50"/>
    <row r="813" ht="16.5" customHeight="1" s="50"/>
    <row r="814" ht="16.5" customHeight="1" s="50"/>
    <row r="815" ht="16.5" customHeight="1" s="50"/>
    <row r="816" ht="16.5" customHeight="1" s="50"/>
    <row r="817" ht="16.5" customHeight="1" s="50"/>
    <row r="818" ht="16.5" customHeight="1" s="50"/>
    <row r="819" ht="16.5" customHeight="1" s="50"/>
    <row r="820" ht="16.5" customHeight="1" s="50"/>
    <row r="821" ht="16.5" customHeight="1" s="50"/>
    <row r="822" ht="16.5" customHeight="1" s="50"/>
    <row r="823" ht="16.5" customHeight="1" s="50"/>
    <row r="824" ht="16.5" customHeight="1" s="50"/>
    <row r="825" ht="16.5" customHeight="1" s="50"/>
    <row r="826" ht="16.5" customHeight="1" s="50"/>
    <row r="827" ht="16.5" customHeight="1" s="50"/>
    <row r="828" ht="16.5" customHeight="1" s="50"/>
    <row r="829" ht="16.5" customHeight="1" s="50"/>
    <row r="830" ht="16.5" customHeight="1" s="50"/>
    <row r="831" ht="16.5" customHeight="1" s="50"/>
    <row r="832" ht="16.5" customHeight="1" s="50"/>
    <row r="833" ht="16.5" customHeight="1" s="50"/>
    <row r="834" ht="16.5" customHeight="1" s="50"/>
    <row r="835" ht="16.5" customHeight="1" s="50"/>
    <row r="836" ht="16.5" customHeight="1" s="50"/>
    <row r="837" ht="16.5" customHeight="1" s="50"/>
    <row r="838" ht="16.5" customHeight="1" s="50"/>
    <row r="839" ht="16.5" customHeight="1" s="50"/>
    <row r="840" ht="16.5" customHeight="1" s="50"/>
    <row r="841" ht="16.5" customHeight="1" s="50"/>
    <row r="842" ht="16.5" customHeight="1" s="50"/>
    <row r="843" ht="16.5" customHeight="1" s="50"/>
    <row r="844" ht="16.5" customHeight="1" s="50"/>
    <row r="845" ht="16.5" customHeight="1" s="50"/>
    <row r="846" ht="16.5" customHeight="1" s="50"/>
    <row r="847" ht="16.5" customHeight="1" s="50"/>
    <row r="848" ht="16.5" customHeight="1" s="50"/>
    <row r="849" ht="16.5" customHeight="1" s="50"/>
    <row r="850" ht="16.5" customHeight="1" s="50"/>
    <row r="851" ht="16.5" customHeight="1" s="50"/>
    <row r="852" ht="16.5" customHeight="1" s="50"/>
    <row r="853" ht="16.5" customHeight="1" s="50"/>
    <row r="854" ht="16.5" customHeight="1" s="50"/>
    <row r="855" ht="16.5" customHeight="1" s="50"/>
    <row r="856" ht="16.5" customHeight="1" s="50"/>
    <row r="857" ht="16.5" customHeight="1" s="50"/>
    <row r="858" ht="16.5" customHeight="1" s="50"/>
    <row r="859" ht="16.5" customHeight="1" s="50"/>
    <row r="860" ht="16.5" customHeight="1" s="50"/>
    <row r="861" ht="16.5" customHeight="1" s="50"/>
    <row r="862" ht="16.5" customHeight="1" s="50"/>
    <row r="863" ht="16.5" customHeight="1" s="50"/>
    <row r="864" ht="16.5" customHeight="1" s="50"/>
    <row r="865" ht="16.5" customHeight="1" s="50"/>
    <row r="866" ht="16.5" customHeight="1" s="50"/>
    <row r="867" ht="16.5" customHeight="1" s="50"/>
    <row r="868" ht="16.5" customHeight="1" s="50"/>
    <row r="869" ht="16.5" customHeight="1" s="50"/>
    <row r="870" ht="16.5" customHeight="1" s="50"/>
    <row r="871" ht="16.5" customHeight="1" s="50"/>
    <row r="872" ht="16.5" customHeight="1" s="50"/>
    <row r="873" ht="16.5" customHeight="1" s="50"/>
    <row r="874" ht="16.5" customHeight="1" s="50"/>
    <row r="875" ht="16.5" customHeight="1" s="50"/>
    <row r="876" ht="16.5" customHeight="1" s="50"/>
    <row r="877" ht="16.5" customHeight="1" s="50"/>
    <row r="878" ht="16.5" customHeight="1" s="50"/>
    <row r="879" ht="16.5" customHeight="1" s="50"/>
    <row r="880" ht="16.5" customHeight="1" s="50"/>
    <row r="881" ht="16.5" customHeight="1" s="50"/>
    <row r="882" ht="16.5" customHeight="1" s="50"/>
    <row r="883" ht="16.5" customHeight="1" s="50"/>
    <row r="884" ht="16.5" customHeight="1" s="50"/>
    <row r="885" ht="16.5" customHeight="1" s="50"/>
    <row r="886" ht="16.5" customHeight="1" s="50"/>
    <row r="887" ht="16.5" customHeight="1" s="50"/>
    <row r="888" ht="16.5" customHeight="1" s="50"/>
    <row r="889" ht="16.5" customHeight="1" s="50"/>
    <row r="890" ht="16.5" customHeight="1" s="50"/>
    <row r="891" ht="16.5" customHeight="1" s="50"/>
    <row r="892" ht="16.5" customHeight="1" s="50"/>
    <row r="893" ht="16.5" customHeight="1" s="50"/>
    <row r="894" ht="16.5" customHeight="1" s="50"/>
    <row r="895" ht="16.5" customHeight="1" s="50"/>
    <row r="896" ht="16.5" customHeight="1" s="50"/>
    <row r="897" ht="16.5" customHeight="1" s="50"/>
    <row r="898" ht="16.5" customHeight="1" s="50"/>
    <row r="899" ht="16.5" customHeight="1" s="50"/>
    <row r="900" ht="16.5" customHeight="1" s="50"/>
    <row r="901" ht="16.5" customHeight="1" s="50"/>
    <row r="902" ht="16.5" customHeight="1" s="50"/>
    <row r="903" ht="16.5" customHeight="1" s="50"/>
    <row r="904" ht="16.5" customHeight="1" s="50"/>
    <row r="905" ht="16.5" customHeight="1" s="50"/>
    <row r="906" ht="16.5" customHeight="1" s="50"/>
    <row r="907" ht="16.5" customHeight="1" s="50"/>
    <row r="908" ht="16.5" customHeight="1" s="50"/>
    <row r="909" ht="16.5" customHeight="1" s="50"/>
    <row r="910" ht="16.5" customHeight="1" s="50"/>
    <row r="911" ht="16.5" customHeight="1" s="50"/>
    <row r="912" ht="16.5" customHeight="1" s="50"/>
    <row r="913" ht="16.5" customHeight="1" s="50"/>
    <row r="914" ht="16.5" customHeight="1" s="50"/>
    <row r="915" ht="16.5" customHeight="1" s="50"/>
    <row r="916" ht="16.5" customHeight="1" s="50"/>
    <row r="917" ht="16.5" customHeight="1" s="50"/>
    <row r="918" ht="16.5" customHeight="1" s="50"/>
    <row r="919" ht="16.5" customHeight="1" s="50"/>
    <row r="920" ht="16.5" customHeight="1" s="50"/>
    <row r="921" ht="16.5" customHeight="1" s="50"/>
    <row r="922" ht="16.5" customHeight="1" s="50"/>
    <row r="923" ht="16.5" customHeight="1" s="50"/>
    <row r="924" ht="16.5" customHeight="1" s="50"/>
    <row r="925" ht="16.5" customHeight="1" s="50"/>
    <row r="926" ht="16.5" customHeight="1" s="50"/>
    <row r="927" ht="16.5" customHeight="1" s="50"/>
    <row r="928" ht="16.5" customHeight="1" s="50"/>
    <row r="929" ht="16.5" customHeight="1" s="50"/>
    <row r="930" ht="16.5" customHeight="1" s="50"/>
    <row r="931" ht="16.5" customHeight="1" s="50"/>
    <row r="932" ht="16.5" customHeight="1" s="50"/>
    <row r="933" ht="16.5" customHeight="1" s="50"/>
    <row r="934" ht="16.5" customHeight="1" s="50"/>
    <row r="935" ht="16.5" customHeight="1" s="50"/>
    <row r="936" ht="16.5" customHeight="1" s="50"/>
    <row r="937" ht="16.5" customHeight="1" s="50"/>
    <row r="938" ht="16.5" customHeight="1" s="50"/>
    <row r="939" ht="16.5" customHeight="1" s="50"/>
    <row r="940" ht="16.5" customHeight="1" s="50"/>
    <row r="941" ht="16.5" customHeight="1" s="50"/>
    <row r="942" ht="16.5" customHeight="1" s="50"/>
    <row r="943" ht="16.5" customHeight="1" s="50"/>
    <row r="944" ht="16.5" customHeight="1" s="50"/>
    <row r="945" ht="16.5" customHeight="1" s="50"/>
    <row r="946" ht="16.5" customHeight="1" s="50"/>
    <row r="947" ht="16.5" customHeight="1" s="50"/>
    <row r="948" ht="16.5" customHeight="1" s="50"/>
    <row r="949" ht="16.5" customHeight="1" s="50"/>
    <row r="950" ht="16.5" customHeight="1" s="50"/>
    <row r="951" ht="16.5" customHeight="1" s="50"/>
    <row r="952" ht="16.5" customHeight="1" s="50"/>
    <row r="953" ht="16.5" customHeight="1" s="50"/>
    <row r="954" ht="16.5" customHeight="1" s="50"/>
    <row r="955" ht="16.5" customHeight="1" s="50"/>
    <row r="956" ht="16.5" customHeight="1" s="50"/>
    <row r="957" ht="16.5" customHeight="1" s="50"/>
    <row r="958" ht="16.5" customHeight="1" s="50"/>
    <row r="959" ht="16.5" customHeight="1" s="50"/>
    <row r="960" ht="16.5" customHeight="1" s="50"/>
    <row r="961" ht="16.5" customHeight="1" s="50"/>
    <row r="962" ht="16.5" customHeight="1" s="50"/>
    <row r="963" ht="16.5" customHeight="1" s="50"/>
    <row r="964" ht="16.5" customHeight="1" s="50"/>
    <row r="965" ht="16.5" customHeight="1" s="50"/>
    <row r="966" ht="16.5" customHeight="1" s="50"/>
    <row r="967" ht="16.5" customHeight="1" s="50"/>
    <row r="968" ht="16.5" customHeight="1" s="50"/>
    <row r="969" ht="16.5" customHeight="1" s="50"/>
    <row r="970" ht="16.5" customHeight="1" s="50"/>
    <row r="971" ht="16.5" customHeight="1" s="50"/>
    <row r="972" ht="16.5" customHeight="1" s="50"/>
    <row r="973" ht="16.5" customHeight="1" s="50"/>
    <row r="974" ht="16.5" customHeight="1" s="50"/>
    <row r="975" ht="16.5" customHeight="1" s="50"/>
    <row r="976" ht="16.5" customHeight="1" s="50"/>
    <row r="977" ht="16.5" customHeight="1" s="50"/>
    <row r="978" ht="16.5" customHeight="1" s="50"/>
    <row r="979" ht="16.5" customHeight="1" s="50"/>
    <row r="980" ht="16.5" customHeight="1" s="50"/>
    <row r="981" ht="16.5" customHeight="1" s="50"/>
    <row r="982" ht="16.5" customHeight="1" s="50"/>
    <row r="983" ht="16.5" customHeight="1" s="50"/>
    <row r="984" ht="16.5" customHeight="1" s="50"/>
    <row r="985" ht="16.5" customHeight="1" s="50"/>
    <row r="986" ht="16.5" customHeight="1" s="50"/>
    <row r="987" ht="16.5" customHeight="1" s="50"/>
    <row r="988" ht="16.5" customHeight="1" s="50"/>
    <row r="989" ht="16.5" customHeight="1" s="50"/>
    <row r="990" ht="16.5" customHeight="1" s="50"/>
    <row r="991" ht="16.5" customHeight="1" s="50"/>
    <row r="992" ht="16.5" customHeight="1" s="50"/>
    <row r="993" ht="16.5" customHeight="1" s="50"/>
    <row r="994" ht="16.5" customHeight="1" s="50"/>
    <row r="995" ht="16.5" customHeight="1" s="50"/>
    <row r="996" ht="16.5" customHeight="1" s="50"/>
    <row r="997" ht="16.5" customHeight="1" s="50"/>
    <row r="998" ht="16.5" customHeight="1" s="50"/>
    <row r="999" ht="16.5" customHeight="1" s="50"/>
  </sheetData>
  <autoFilter ref="$A$2:$Y$18"/>
  <mergeCells count="1">
    <mergeCell ref="A1:I1"/>
  </mergeCells>
  <conditionalFormatting sqref="C3:C500">
    <cfRule type="cellIs" priority="1" operator="equal" dxfId="5">
      <formula>"高"</formula>
    </cfRule>
    <cfRule type="cellIs" priority="2" operator="equal" dxfId="6">
      <formula>"中"</formula>
    </cfRule>
    <cfRule type="cellIs" priority="3" operator="equal" dxfId="7">
      <formula>"低"</formula>
    </cfRule>
  </conditionalFormatting>
  <conditionalFormatting sqref="D3:D500">
    <cfRule type="cellIs" priority="4" operator="equal" dxfId="8">
      <formula>"未开始"</formula>
    </cfRule>
    <cfRule type="cellIs" priority="5" operator="equal" dxfId="6">
      <formula>"进行中"</formula>
    </cfRule>
    <cfRule type="cellIs" priority="6" operator="equal" dxfId="9">
      <formula>"已完成"</formula>
    </cfRule>
    <cfRule type="cellIs" priority="7" operator="equal" dxfId="0">
      <formula>"已延期"</formula>
    </cfRule>
    <cfRule type="cellIs" priority="8" operator="equal" dxfId="10">
      <formula>"搁置"</formula>
    </cfRule>
  </conditionalFormatting>
  <conditionalFormatting sqref="A3:I500">
    <cfRule type="expression" priority="9" dxfId="11">
      <formula>$G3="⚠️延期"</formula>
    </cfRule>
  </conditionalFormatting>
  <dataValidations count="4">
    <dataValidation sqref="D3:D500" showDropDown="0" showInputMessage="0" showErrorMessage="0" allowBlank="1" type="list">
      <formula1>'选项'!$C$2:$C$6</formula1>
    </dataValidation>
    <dataValidation sqref="H3:H500" showDropDown="0" showInputMessage="0" showErrorMessage="0" allowBlank="1" type="list">
      <formula1>'选项'!$D$2:$D$13</formula1>
    </dataValidation>
    <dataValidation sqref="C3:C500" showDropDown="0" showInputMessage="0" showErrorMessage="0" allowBlank="1" type="list">
      <formula1>'选项'!$B$2:$B$4</formula1>
    </dataValidation>
    <dataValidation sqref="A3:A500" showDropDown="0" showInputMessage="0" showErrorMessage="0" allowBlank="1" type="list">
      <formula1>'选项'!$A$2:$A$11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0" customWidth="1" style="50" min="1" max="1"/>
    <col width="74" customWidth="1" style="50" min="2" max="2"/>
    <col width="9" customWidth="1" style="50" min="3" max="26"/>
  </cols>
  <sheetData>
    <row r="1" ht="18" customHeight="1" s="50">
      <c r="A1" s="40" t="inlineStr">
        <is>
          <t>我的工作进度表 · 说明</t>
        </is>
      </c>
      <c r="B1" s="41" t="inlineStr"/>
    </row>
    <row r="2" ht="18" customHeight="1" s="50">
      <c r="A2" s="42" t="inlineStr">
        <is>
          <t>结构</t>
        </is>
      </c>
      <c r="B2" s="41" t="inlineStr">
        <is>
          <t>① 我的看板(自动) + ② 我的任务(录入) + 说明/选项。</t>
        </is>
      </c>
    </row>
    <row r="3" ht="30" customHeight="1" s="50">
      <c r="A3" s="42" t="inlineStr">
        <is>
          <t>我的任务</t>
        </is>
      </c>
      <c r="B3" s="41" t="inlineStr">
        <is>
          <t>一行一个任务：录入日/项目条线/任务内容/优先级/状态/计划完成日/(实际)/关联协作/备注。</t>
        </is>
      </c>
    </row>
    <row r="4" ht="30" customHeight="1" s="50">
      <c r="A4" s="42" t="inlineStr">
        <is>
          <t>项目条线</t>
        </is>
      </c>
      <c r="B4" s="41" t="inlineStr">
        <is>
          <t>按你的并行条线分：面膜代运营/自有Sakuranomori/小红书/天猫/团队管理/品牌方汇报/对日本HQ/战略/个人-日语。</t>
        </is>
      </c>
    </row>
    <row r="5" ht="18" customHeight="1" s="50">
      <c r="A5" s="42" t="inlineStr">
        <is>
          <t>优先级·自动上色</t>
        </is>
      </c>
      <c r="B5" s="41" t="inlineStr">
        <is>
          <t>高🔴 中🟡 低⚪；状态：已完成🟢 进行中🟡 未开始⚪ 延期🔴 搁置🔵。</t>
        </is>
      </c>
    </row>
    <row r="6" ht="18" customHeight="1" s="50">
      <c r="A6" s="42" t="inlineStr">
        <is>
          <t>延期自动预警</t>
        </is>
      </c>
      <c r="B6" s="41" t="inlineStr">
        <is>
          <t>状态非『已完成』且计划完成日已过 → ⚠️延期，整行标红。</t>
        </is>
      </c>
    </row>
    <row r="7" ht="30" customHeight="1" s="50">
      <c r="A7" s="42" t="inlineStr">
        <is>
          <t>我的看板</t>
        </is>
      </c>
      <c r="B7" s="41" t="inlineStr">
        <is>
          <t>总完成率 + 待办提醒(今日到期/未来7天/已逾期) + 按项目条线完成率 + 按优先级。</t>
        </is>
      </c>
    </row>
    <row r="8" ht="18" customHeight="1" s="50">
      <c r="A8" s="42" t="inlineStr">
        <is>
          <t>用法</t>
        </is>
      </c>
      <c r="B8" s="41" t="inlineStr">
        <is>
          <t>每天把要做/在做的事记进「我的任务」，选项目/优先级/状态；看板与提醒自动更新。</t>
        </is>
      </c>
    </row>
    <row r="9" ht="18" customHeight="1" s="50">
      <c r="A9" s="42" t="inlineStr">
        <is>
          <t>导入Google Sheets</t>
        </is>
      </c>
      <c r="B9" s="41" t="inlineStr">
        <is>
          <t>文件→导入→上传→新建/替换。下拉/颜色/进度条基本保留。</t>
        </is>
      </c>
    </row>
    <row r="10" ht="16.5" customHeight="1" s="50"/>
    <row r="11" ht="16.5" customHeight="1" s="50"/>
    <row r="12" ht="16.5" customHeight="1" s="50"/>
    <row r="13" ht="16.5" customHeight="1" s="50"/>
    <row r="14" ht="16.5" customHeight="1" s="50"/>
    <row r="15" ht="16.5" customHeight="1" s="50"/>
    <row r="16" ht="16.5" customHeight="1" s="50"/>
    <row r="17" ht="16.5" customHeight="1" s="50"/>
    <row r="18" ht="16.5" customHeight="1" s="50"/>
    <row r="19" ht="16.5" customHeight="1" s="50"/>
    <row r="20" ht="16.5" customHeight="1" s="50"/>
    <row r="21" ht="16.5" customHeight="1" s="50"/>
    <row r="22" ht="16.5" customHeight="1" s="50"/>
    <row r="23" ht="16.5" customHeight="1" s="50"/>
    <row r="24" ht="16.5" customHeight="1" s="50"/>
    <row r="25" ht="16.5" customHeight="1" s="50"/>
    <row r="26" ht="16.5" customHeight="1" s="50"/>
    <row r="27" ht="16.5" customHeight="1" s="50"/>
    <row r="28" ht="16.5" customHeight="1" s="50"/>
    <row r="29" ht="16.5" customHeight="1" s="50"/>
    <row r="30" ht="16.5" customHeight="1" s="50"/>
    <row r="31" ht="16.5" customHeight="1" s="50"/>
    <row r="32" ht="16.5" customHeight="1" s="50"/>
    <row r="33" ht="16.5" customHeight="1" s="50"/>
    <row r="34" ht="16.5" customHeight="1" s="50"/>
    <row r="35" ht="16.5" customHeight="1" s="50"/>
    <row r="36" ht="16.5" customHeight="1" s="50"/>
    <row r="37" ht="16.5" customHeight="1" s="50"/>
    <row r="38" ht="16.5" customHeight="1" s="50"/>
    <row r="39" ht="16.5" customHeight="1" s="50"/>
    <row r="40" ht="16.5" customHeight="1" s="50"/>
    <row r="41" ht="16.5" customHeight="1" s="50"/>
    <row r="42" ht="16.5" customHeight="1" s="50"/>
    <row r="43" ht="16.5" customHeight="1" s="50"/>
    <row r="44" ht="16.5" customHeight="1" s="50"/>
    <row r="45" ht="16.5" customHeight="1" s="50"/>
    <row r="46" ht="16.5" customHeight="1" s="50"/>
    <row r="47" ht="16.5" customHeight="1" s="50"/>
    <row r="48" ht="16.5" customHeight="1" s="50"/>
    <row r="49" ht="16.5" customHeight="1" s="50"/>
    <row r="50" ht="16.5" customHeight="1" s="50"/>
    <row r="51" ht="16.5" customHeight="1" s="50"/>
    <row r="52" ht="16.5" customHeight="1" s="50"/>
    <row r="53" ht="16.5" customHeight="1" s="50"/>
    <row r="54" ht="16.5" customHeight="1" s="50"/>
    <row r="55" ht="16.5" customHeight="1" s="50"/>
    <row r="56" ht="16.5" customHeight="1" s="50"/>
    <row r="57" ht="16.5" customHeight="1" s="50"/>
    <row r="58" ht="16.5" customHeight="1" s="50"/>
    <row r="59" ht="16.5" customHeight="1" s="50"/>
    <row r="60" ht="16.5" customHeight="1" s="50"/>
    <row r="61" ht="16.5" customHeight="1" s="50"/>
    <row r="62" ht="16.5" customHeight="1" s="50"/>
    <row r="63" ht="16.5" customHeight="1" s="50"/>
    <row r="64" ht="16.5" customHeight="1" s="50"/>
    <row r="65" ht="16.5" customHeight="1" s="50"/>
    <row r="66" ht="16.5" customHeight="1" s="50"/>
    <row r="67" ht="16.5" customHeight="1" s="50"/>
    <row r="68" ht="16.5" customHeight="1" s="50"/>
    <row r="69" ht="16.5" customHeight="1" s="50"/>
    <row r="70" ht="16.5" customHeight="1" s="50"/>
    <row r="71" ht="16.5" customHeight="1" s="50"/>
    <row r="72" ht="16.5" customHeight="1" s="50"/>
    <row r="73" ht="16.5" customHeight="1" s="50"/>
    <row r="74" ht="16.5" customHeight="1" s="50"/>
    <row r="75" ht="16.5" customHeight="1" s="50"/>
    <row r="76" ht="16.5" customHeight="1" s="50"/>
    <row r="77" ht="16.5" customHeight="1" s="50"/>
    <row r="78" ht="16.5" customHeight="1" s="50"/>
    <row r="79" ht="16.5" customHeight="1" s="50"/>
    <row r="80" ht="16.5" customHeight="1" s="50"/>
    <row r="81" ht="16.5" customHeight="1" s="50"/>
    <row r="82" ht="16.5" customHeight="1" s="50"/>
    <row r="83" ht="16.5" customHeight="1" s="50"/>
    <row r="84" ht="16.5" customHeight="1" s="50"/>
    <row r="85" ht="16.5" customHeight="1" s="50"/>
    <row r="86" ht="16.5" customHeight="1" s="50"/>
    <row r="87" ht="16.5" customHeight="1" s="50"/>
    <row r="88" ht="16.5" customHeight="1" s="50"/>
    <row r="89" ht="16.5" customHeight="1" s="50"/>
    <row r="90" ht="16.5" customHeight="1" s="50"/>
    <row r="91" ht="16.5" customHeight="1" s="50"/>
    <row r="92" ht="16.5" customHeight="1" s="50"/>
    <row r="93" ht="16.5" customHeight="1" s="50"/>
    <row r="94" ht="16.5" customHeight="1" s="50"/>
    <row r="95" ht="16.5" customHeight="1" s="50"/>
    <row r="96" ht="16.5" customHeight="1" s="50"/>
    <row r="97" ht="16.5" customHeight="1" s="50"/>
    <row r="98" ht="16.5" customHeight="1" s="50"/>
    <row r="99" ht="16.5" customHeight="1" s="50"/>
    <row r="100" ht="16.5" customHeight="1" s="50"/>
    <row r="101" ht="16.5" customHeight="1" s="50"/>
    <row r="102" ht="16.5" customHeight="1" s="50"/>
    <row r="103" ht="16.5" customHeight="1" s="50"/>
    <row r="104" ht="16.5" customHeight="1" s="50"/>
    <row r="105" ht="16.5" customHeight="1" s="50"/>
    <row r="106" ht="16.5" customHeight="1" s="50"/>
    <row r="107" ht="16.5" customHeight="1" s="50"/>
    <row r="108" ht="16.5" customHeight="1" s="50"/>
    <row r="109" ht="16.5" customHeight="1" s="50"/>
    <row r="110" ht="16.5" customHeight="1" s="50"/>
    <row r="111" ht="16.5" customHeight="1" s="50"/>
    <row r="112" ht="16.5" customHeight="1" s="50"/>
    <row r="113" ht="16.5" customHeight="1" s="50"/>
    <row r="114" ht="16.5" customHeight="1" s="50"/>
    <row r="115" ht="16.5" customHeight="1" s="50"/>
    <row r="116" ht="16.5" customHeight="1" s="50"/>
    <row r="117" ht="16.5" customHeight="1" s="50"/>
    <row r="118" ht="16.5" customHeight="1" s="50"/>
    <row r="119" ht="16.5" customHeight="1" s="50"/>
    <row r="120" ht="16.5" customHeight="1" s="50"/>
    <row r="121" ht="16.5" customHeight="1" s="50"/>
    <row r="122" ht="16.5" customHeight="1" s="50"/>
    <row r="123" ht="16.5" customHeight="1" s="50"/>
    <row r="124" ht="16.5" customHeight="1" s="50"/>
    <row r="125" ht="16.5" customHeight="1" s="50"/>
    <row r="126" ht="16.5" customHeight="1" s="50"/>
    <row r="127" ht="16.5" customHeight="1" s="50"/>
    <row r="128" ht="16.5" customHeight="1" s="50"/>
    <row r="129" ht="16.5" customHeight="1" s="50"/>
    <row r="130" ht="16.5" customHeight="1" s="50"/>
    <row r="131" ht="16.5" customHeight="1" s="50"/>
    <row r="132" ht="16.5" customHeight="1" s="50"/>
    <row r="133" ht="16.5" customHeight="1" s="50"/>
    <row r="134" ht="16.5" customHeight="1" s="50"/>
    <row r="135" ht="16.5" customHeight="1" s="50"/>
    <row r="136" ht="16.5" customHeight="1" s="50"/>
    <row r="137" ht="16.5" customHeight="1" s="50"/>
    <row r="138" ht="16.5" customHeight="1" s="50"/>
    <row r="139" ht="16.5" customHeight="1" s="50"/>
    <row r="140" ht="16.5" customHeight="1" s="50"/>
    <row r="141" ht="16.5" customHeight="1" s="50"/>
    <row r="142" ht="16.5" customHeight="1" s="50"/>
    <row r="143" ht="16.5" customHeight="1" s="50"/>
    <row r="144" ht="16.5" customHeight="1" s="50"/>
    <row r="145" ht="16.5" customHeight="1" s="50"/>
    <row r="146" ht="16.5" customHeight="1" s="50"/>
    <row r="147" ht="16.5" customHeight="1" s="50"/>
    <row r="148" ht="16.5" customHeight="1" s="50"/>
    <row r="149" ht="16.5" customHeight="1" s="50"/>
    <row r="150" ht="16.5" customHeight="1" s="50"/>
    <row r="151" ht="16.5" customHeight="1" s="50"/>
    <row r="152" ht="16.5" customHeight="1" s="50"/>
    <row r="153" ht="16.5" customHeight="1" s="50"/>
    <row r="154" ht="16.5" customHeight="1" s="50"/>
    <row r="155" ht="16.5" customHeight="1" s="50"/>
    <row r="156" ht="16.5" customHeight="1" s="50"/>
    <row r="157" ht="16.5" customHeight="1" s="50"/>
    <row r="158" ht="16.5" customHeight="1" s="50"/>
    <row r="159" ht="16.5" customHeight="1" s="50"/>
    <row r="160" ht="16.5" customHeight="1" s="50"/>
    <row r="161" ht="16.5" customHeight="1" s="50"/>
    <row r="162" ht="16.5" customHeight="1" s="50"/>
    <row r="163" ht="16.5" customHeight="1" s="50"/>
    <row r="164" ht="16.5" customHeight="1" s="50"/>
    <row r="165" ht="16.5" customHeight="1" s="50"/>
    <row r="166" ht="16.5" customHeight="1" s="50"/>
    <row r="167" ht="16.5" customHeight="1" s="50"/>
    <row r="168" ht="16.5" customHeight="1" s="50"/>
    <row r="169" ht="16.5" customHeight="1" s="50"/>
    <row r="170" ht="16.5" customHeight="1" s="50"/>
    <row r="171" ht="16.5" customHeight="1" s="50"/>
    <row r="172" ht="16.5" customHeight="1" s="50"/>
    <row r="173" ht="16.5" customHeight="1" s="50"/>
    <row r="174" ht="16.5" customHeight="1" s="50"/>
    <row r="175" ht="16.5" customHeight="1" s="50"/>
    <row r="176" ht="16.5" customHeight="1" s="50"/>
    <row r="177" ht="16.5" customHeight="1" s="50"/>
    <row r="178" ht="16.5" customHeight="1" s="50"/>
    <row r="179" ht="16.5" customHeight="1" s="50"/>
    <row r="180" ht="16.5" customHeight="1" s="50"/>
    <row r="181" ht="16.5" customHeight="1" s="50"/>
    <row r="182" ht="16.5" customHeight="1" s="50"/>
    <row r="183" ht="16.5" customHeight="1" s="50"/>
    <row r="184" ht="16.5" customHeight="1" s="50"/>
    <row r="185" ht="16.5" customHeight="1" s="50"/>
    <row r="186" ht="16.5" customHeight="1" s="50"/>
    <row r="187" ht="16.5" customHeight="1" s="50"/>
    <row r="188" ht="16.5" customHeight="1" s="50"/>
    <row r="189" ht="16.5" customHeight="1" s="50"/>
    <row r="190" ht="16.5" customHeight="1" s="50"/>
    <row r="191" ht="16.5" customHeight="1" s="50"/>
    <row r="192" ht="16.5" customHeight="1" s="50"/>
    <row r="193" ht="16.5" customHeight="1" s="50"/>
    <row r="194" ht="16.5" customHeight="1" s="50"/>
    <row r="195" ht="16.5" customHeight="1" s="50"/>
    <row r="196" ht="16.5" customHeight="1" s="50"/>
    <row r="197" ht="16.5" customHeight="1" s="50"/>
    <row r="198" ht="16.5" customHeight="1" s="50"/>
    <row r="199" ht="16.5" customHeight="1" s="50"/>
    <row r="200" ht="16.5" customHeight="1" s="50"/>
    <row r="201" ht="16.5" customHeight="1" s="50"/>
    <row r="202" ht="16.5" customHeight="1" s="50"/>
    <row r="203" ht="16.5" customHeight="1" s="50"/>
    <row r="204" ht="16.5" customHeight="1" s="50"/>
    <row r="205" ht="16.5" customHeight="1" s="50"/>
    <row r="206" ht="16.5" customHeight="1" s="50"/>
    <row r="207" ht="16.5" customHeight="1" s="50"/>
    <row r="208" ht="16.5" customHeight="1" s="50"/>
    <row r="209" ht="16.5" customHeight="1" s="50"/>
    <row r="210" ht="16.5" customHeight="1" s="50"/>
    <row r="211" ht="16.5" customHeight="1" s="50"/>
    <row r="212" ht="16.5" customHeight="1" s="50"/>
    <row r="213" ht="16.5" customHeight="1" s="50"/>
    <row r="214" ht="16.5" customHeight="1" s="50"/>
    <row r="215" ht="16.5" customHeight="1" s="50"/>
    <row r="216" ht="16.5" customHeight="1" s="50"/>
    <row r="217" ht="16.5" customHeight="1" s="50"/>
    <row r="218" ht="16.5" customHeight="1" s="50"/>
    <row r="219" ht="16.5" customHeight="1" s="50"/>
    <row r="220" ht="16.5" customHeight="1" s="50"/>
    <row r="221" ht="16.5" customHeight="1" s="50"/>
    <row r="222" ht="16.5" customHeight="1" s="50"/>
    <row r="223" ht="16.5" customHeight="1" s="50"/>
    <row r="224" ht="16.5" customHeight="1" s="50"/>
    <row r="225" ht="16.5" customHeight="1" s="50"/>
    <row r="226" ht="16.5" customHeight="1" s="50"/>
    <row r="227" ht="16.5" customHeight="1" s="50"/>
    <row r="228" ht="16.5" customHeight="1" s="50"/>
    <row r="229" ht="16.5" customHeight="1" s="50"/>
    <row r="230" ht="16.5" customHeight="1" s="50"/>
    <row r="231" ht="16.5" customHeight="1" s="50"/>
    <row r="232" ht="16.5" customHeight="1" s="50"/>
    <row r="233" ht="16.5" customHeight="1" s="50"/>
    <row r="234" ht="16.5" customHeight="1" s="50"/>
    <row r="235" ht="16.5" customHeight="1" s="50"/>
    <row r="236" ht="16.5" customHeight="1" s="50"/>
    <row r="237" ht="16.5" customHeight="1" s="50"/>
    <row r="238" ht="16.5" customHeight="1" s="50"/>
    <row r="239" ht="16.5" customHeight="1" s="50"/>
    <row r="240" ht="16.5" customHeight="1" s="50"/>
    <row r="241" ht="16.5" customHeight="1" s="50"/>
    <row r="242" ht="16.5" customHeight="1" s="50"/>
    <row r="243" ht="16.5" customHeight="1" s="50"/>
    <row r="244" ht="16.5" customHeight="1" s="50"/>
    <row r="245" ht="16.5" customHeight="1" s="50"/>
    <row r="246" ht="16.5" customHeight="1" s="50"/>
    <row r="247" ht="16.5" customHeight="1" s="50"/>
    <row r="248" ht="16.5" customHeight="1" s="50"/>
    <row r="249" ht="16.5" customHeight="1" s="50"/>
    <row r="250" ht="16.5" customHeight="1" s="50"/>
    <row r="251" ht="16.5" customHeight="1" s="50"/>
    <row r="252" ht="16.5" customHeight="1" s="50"/>
    <row r="253" ht="16.5" customHeight="1" s="50"/>
    <row r="254" ht="16.5" customHeight="1" s="50"/>
    <row r="255" ht="16.5" customHeight="1" s="50"/>
    <row r="256" ht="16.5" customHeight="1" s="50"/>
    <row r="257" ht="16.5" customHeight="1" s="50"/>
    <row r="258" ht="16.5" customHeight="1" s="50"/>
    <row r="259" ht="16.5" customHeight="1" s="50"/>
    <row r="260" ht="16.5" customHeight="1" s="50"/>
    <row r="261" ht="16.5" customHeight="1" s="50"/>
    <row r="262" ht="16.5" customHeight="1" s="50"/>
    <row r="263" ht="16.5" customHeight="1" s="50"/>
    <row r="264" ht="16.5" customHeight="1" s="50"/>
    <row r="265" ht="16.5" customHeight="1" s="50"/>
    <row r="266" ht="16.5" customHeight="1" s="50"/>
    <row r="267" ht="16.5" customHeight="1" s="50"/>
    <row r="268" ht="16.5" customHeight="1" s="50"/>
    <row r="269" ht="16.5" customHeight="1" s="50"/>
    <row r="270" ht="16.5" customHeight="1" s="50"/>
    <row r="271" ht="16.5" customHeight="1" s="50"/>
    <row r="272" ht="16.5" customHeight="1" s="50"/>
    <row r="273" ht="16.5" customHeight="1" s="50"/>
    <row r="274" ht="16.5" customHeight="1" s="50"/>
    <row r="275" ht="16.5" customHeight="1" s="50"/>
    <row r="276" ht="16.5" customHeight="1" s="50"/>
    <row r="277" ht="16.5" customHeight="1" s="50"/>
    <row r="278" ht="16.5" customHeight="1" s="50"/>
    <row r="279" ht="16.5" customHeight="1" s="50"/>
    <row r="280" ht="16.5" customHeight="1" s="50"/>
    <row r="281" ht="16.5" customHeight="1" s="50"/>
    <row r="282" ht="16.5" customHeight="1" s="50"/>
    <row r="283" ht="16.5" customHeight="1" s="50"/>
    <row r="284" ht="16.5" customHeight="1" s="50"/>
    <row r="285" ht="16.5" customHeight="1" s="50"/>
    <row r="286" ht="16.5" customHeight="1" s="50"/>
    <row r="287" ht="16.5" customHeight="1" s="50"/>
    <row r="288" ht="16.5" customHeight="1" s="50"/>
    <row r="289" ht="16.5" customHeight="1" s="50"/>
    <row r="290" ht="16.5" customHeight="1" s="50"/>
    <row r="291" ht="16.5" customHeight="1" s="50"/>
    <row r="292" ht="16.5" customHeight="1" s="50"/>
    <row r="293" ht="16.5" customHeight="1" s="50"/>
    <row r="294" ht="16.5" customHeight="1" s="50"/>
    <row r="295" ht="16.5" customHeight="1" s="50"/>
    <row r="296" ht="16.5" customHeight="1" s="50"/>
    <row r="297" ht="16.5" customHeight="1" s="50"/>
    <row r="298" ht="16.5" customHeight="1" s="50"/>
    <row r="299" ht="16.5" customHeight="1" s="50"/>
    <row r="300" ht="16.5" customHeight="1" s="50"/>
    <row r="301" ht="16.5" customHeight="1" s="50"/>
    <row r="302" ht="16.5" customHeight="1" s="50"/>
    <row r="303" ht="16.5" customHeight="1" s="50"/>
    <row r="304" ht="16.5" customHeight="1" s="50"/>
    <row r="305" ht="16.5" customHeight="1" s="50"/>
    <row r="306" ht="16.5" customHeight="1" s="50"/>
    <row r="307" ht="16.5" customHeight="1" s="50"/>
    <row r="308" ht="16.5" customHeight="1" s="50"/>
    <row r="309" ht="16.5" customHeight="1" s="50"/>
    <row r="310" ht="16.5" customHeight="1" s="50"/>
    <row r="311" ht="16.5" customHeight="1" s="50"/>
    <row r="312" ht="16.5" customHeight="1" s="50"/>
    <row r="313" ht="16.5" customHeight="1" s="50"/>
    <row r="314" ht="16.5" customHeight="1" s="50"/>
    <row r="315" ht="16.5" customHeight="1" s="50"/>
    <row r="316" ht="16.5" customHeight="1" s="50"/>
    <row r="317" ht="16.5" customHeight="1" s="50"/>
    <row r="318" ht="16.5" customHeight="1" s="50"/>
    <row r="319" ht="16.5" customHeight="1" s="50"/>
    <row r="320" ht="16.5" customHeight="1" s="50"/>
    <row r="321" ht="16.5" customHeight="1" s="50"/>
    <row r="322" ht="16.5" customHeight="1" s="50"/>
    <row r="323" ht="16.5" customHeight="1" s="50"/>
    <row r="324" ht="16.5" customHeight="1" s="50"/>
    <row r="325" ht="16.5" customHeight="1" s="50"/>
    <row r="326" ht="16.5" customHeight="1" s="50"/>
    <row r="327" ht="16.5" customHeight="1" s="50"/>
    <row r="328" ht="16.5" customHeight="1" s="50"/>
    <row r="329" ht="16.5" customHeight="1" s="50"/>
    <row r="330" ht="16.5" customHeight="1" s="50"/>
    <row r="331" ht="16.5" customHeight="1" s="50"/>
    <row r="332" ht="16.5" customHeight="1" s="50"/>
    <row r="333" ht="16.5" customHeight="1" s="50"/>
    <row r="334" ht="16.5" customHeight="1" s="50"/>
    <row r="335" ht="16.5" customHeight="1" s="50"/>
    <row r="336" ht="16.5" customHeight="1" s="50"/>
    <row r="337" ht="16.5" customHeight="1" s="50"/>
    <row r="338" ht="16.5" customHeight="1" s="50"/>
    <row r="339" ht="16.5" customHeight="1" s="50"/>
    <row r="340" ht="16.5" customHeight="1" s="50"/>
    <row r="341" ht="16.5" customHeight="1" s="50"/>
    <row r="342" ht="16.5" customHeight="1" s="50"/>
    <row r="343" ht="16.5" customHeight="1" s="50"/>
    <row r="344" ht="16.5" customHeight="1" s="50"/>
    <row r="345" ht="16.5" customHeight="1" s="50"/>
    <row r="346" ht="16.5" customHeight="1" s="50"/>
    <row r="347" ht="16.5" customHeight="1" s="50"/>
    <row r="348" ht="16.5" customHeight="1" s="50"/>
    <row r="349" ht="16.5" customHeight="1" s="50"/>
    <row r="350" ht="16.5" customHeight="1" s="50"/>
    <row r="351" ht="16.5" customHeight="1" s="50"/>
    <row r="352" ht="16.5" customHeight="1" s="50"/>
    <row r="353" ht="16.5" customHeight="1" s="50"/>
    <row r="354" ht="16.5" customHeight="1" s="50"/>
    <row r="355" ht="16.5" customHeight="1" s="50"/>
    <row r="356" ht="16.5" customHeight="1" s="50"/>
    <row r="357" ht="16.5" customHeight="1" s="50"/>
    <row r="358" ht="16.5" customHeight="1" s="50"/>
    <row r="359" ht="16.5" customHeight="1" s="50"/>
    <row r="360" ht="16.5" customHeight="1" s="50"/>
    <row r="361" ht="16.5" customHeight="1" s="50"/>
    <row r="362" ht="16.5" customHeight="1" s="50"/>
    <row r="363" ht="16.5" customHeight="1" s="50"/>
    <row r="364" ht="16.5" customHeight="1" s="50"/>
    <row r="365" ht="16.5" customHeight="1" s="50"/>
    <row r="366" ht="16.5" customHeight="1" s="50"/>
    <row r="367" ht="16.5" customHeight="1" s="50"/>
    <row r="368" ht="16.5" customHeight="1" s="50"/>
    <row r="369" ht="16.5" customHeight="1" s="50"/>
    <row r="370" ht="16.5" customHeight="1" s="50"/>
    <row r="371" ht="16.5" customHeight="1" s="50"/>
    <row r="372" ht="16.5" customHeight="1" s="50"/>
    <row r="373" ht="16.5" customHeight="1" s="50"/>
    <row r="374" ht="16.5" customHeight="1" s="50"/>
    <row r="375" ht="16.5" customHeight="1" s="50"/>
    <row r="376" ht="16.5" customHeight="1" s="50"/>
    <row r="377" ht="16.5" customHeight="1" s="50"/>
    <row r="378" ht="16.5" customHeight="1" s="50"/>
    <row r="379" ht="16.5" customHeight="1" s="50"/>
    <row r="380" ht="16.5" customHeight="1" s="50"/>
    <row r="381" ht="16.5" customHeight="1" s="50"/>
    <row r="382" ht="16.5" customHeight="1" s="50"/>
    <row r="383" ht="16.5" customHeight="1" s="50"/>
    <row r="384" ht="16.5" customHeight="1" s="50"/>
    <row r="385" ht="16.5" customHeight="1" s="50"/>
    <row r="386" ht="16.5" customHeight="1" s="50"/>
    <row r="387" ht="16.5" customHeight="1" s="50"/>
    <row r="388" ht="16.5" customHeight="1" s="50"/>
    <row r="389" ht="16.5" customHeight="1" s="50"/>
    <row r="390" ht="16.5" customHeight="1" s="50"/>
    <row r="391" ht="16.5" customHeight="1" s="50"/>
    <row r="392" ht="16.5" customHeight="1" s="50"/>
    <row r="393" ht="16.5" customHeight="1" s="50"/>
    <row r="394" ht="16.5" customHeight="1" s="50"/>
    <row r="395" ht="16.5" customHeight="1" s="50"/>
    <row r="396" ht="16.5" customHeight="1" s="50"/>
    <row r="397" ht="16.5" customHeight="1" s="50"/>
    <row r="398" ht="16.5" customHeight="1" s="50"/>
    <row r="399" ht="16.5" customHeight="1" s="50"/>
    <row r="400" ht="16.5" customHeight="1" s="50"/>
    <row r="401" ht="16.5" customHeight="1" s="50"/>
    <row r="402" ht="16.5" customHeight="1" s="50"/>
    <row r="403" ht="16.5" customHeight="1" s="50"/>
    <row r="404" ht="16.5" customHeight="1" s="50"/>
    <row r="405" ht="16.5" customHeight="1" s="50"/>
    <row r="406" ht="16.5" customHeight="1" s="50"/>
    <row r="407" ht="16.5" customHeight="1" s="50"/>
    <row r="408" ht="16.5" customHeight="1" s="50"/>
    <row r="409" ht="16.5" customHeight="1" s="50"/>
    <row r="410" ht="16.5" customHeight="1" s="50"/>
    <row r="411" ht="16.5" customHeight="1" s="50"/>
    <row r="412" ht="16.5" customHeight="1" s="50"/>
    <row r="413" ht="16.5" customHeight="1" s="50"/>
    <row r="414" ht="16.5" customHeight="1" s="50"/>
    <row r="415" ht="16.5" customHeight="1" s="50"/>
    <row r="416" ht="16.5" customHeight="1" s="50"/>
    <row r="417" ht="16.5" customHeight="1" s="50"/>
    <row r="418" ht="16.5" customHeight="1" s="50"/>
    <row r="419" ht="16.5" customHeight="1" s="50"/>
    <row r="420" ht="16.5" customHeight="1" s="50"/>
    <row r="421" ht="16.5" customHeight="1" s="50"/>
    <row r="422" ht="16.5" customHeight="1" s="50"/>
    <row r="423" ht="16.5" customHeight="1" s="50"/>
    <row r="424" ht="16.5" customHeight="1" s="50"/>
    <row r="425" ht="16.5" customHeight="1" s="50"/>
    <row r="426" ht="16.5" customHeight="1" s="50"/>
    <row r="427" ht="16.5" customHeight="1" s="50"/>
    <row r="428" ht="16.5" customHeight="1" s="50"/>
    <row r="429" ht="16.5" customHeight="1" s="50"/>
    <row r="430" ht="16.5" customHeight="1" s="50"/>
    <row r="431" ht="16.5" customHeight="1" s="50"/>
    <row r="432" ht="16.5" customHeight="1" s="50"/>
    <row r="433" ht="16.5" customHeight="1" s="50"/>
    <row r="434" ht="16.5" customHeight="1" s="50"/>
    <row r="435" ht="16.5" customHeight="1" s="50"/>
    <row r="436" ht="16.5" customHeight="1" s="50"/>
    <row r="437" ht="16.5" customHeight="1" s="50"/>
    <row r="438" ht="16.5" customHeight="1" s="50"/>
    <row r="439" ht="16.5" customHeight="1" s="50"/>
    <row r="440" ht="16.5" customHeight="1" s="50"/>
    <row r="441" ht="16.5" customHeight="1" s="50"/>
    <row r="442" ht="16.5" customHeight="1" s="50"/>
    <row r="443" ht="16.5" customHeight="1" s="50"/>
    <row r="444" ht="16.5" customHeight="1" s="50"/>
    <row r="445" ht="16.5" customHeight="1" s="50"/>
    <row r="446" ht="16.5" customHeight="1" s="50"/>
    <row r="447" ht="16.5" customHeight="1" s="50"/>
    <row r="448" ht="16.5" customHeight="1" s="50"/>
    <row r="449" ht="16.5" customHeight="1" s="50"/>
    <row r="450" ht="16.5" customHeight="1" s="50"/>
    <row r="451" ht="16.5" customHeight="1" s="50"/>
    <row r="452" ht="16.5" customHeight="1" s="50"/>
    <row r="453" ht="16.5" customHeight="1" s="50"/>
    <row r="454" ht="16.5" customHeight="1" s="50"/>
    <row r="455" ht="16.5" customHeight="1" s="50"/>
    <row r="456" ht="16.5" customHeight="1" s="50"/>
    <row r="457" ht="16.5" customHeight="1" s="50"/>
    <row r="458" ht="16.5" customHeight="1" s="50"/>
    <row r="459" ht="16.5" customHeight="1" s="50"/>
    <row r="460" ht="16.5" customHeight="1" s="50"/>
    <row r="461" ht="16.5" customHeight="1" s="50"/>
    <row r="462" ht="16.5" customHeight="1" s="50"/>
    <row r="463" ht="16.5" customHeight="1" s="50"/>
    <row r="464" ht="16.5" customHeight="1" s="50"/>
    <row r="465" ht="16.5" customHeight="1" s="50"/>
    <row r="466" ht="16.5" customHeight="1" s="50"/>
    <row r="467" ht="16.5" customHeight="1" s="50"/>
    <row r="468" ht="16.5" customHeight="1" s="50"/>
    <row r="469" ht="16.5" customHeight="1" s="50"/>
    <row r="470" ht="16.5" customHeight="1" s="50"/>
    <row r="471" ht="16.5" customHeight="1" s="50"/>
    <row r="472" ht="16.5" customHeight="1" s="50"/>
    <row r="473" ht="16.5" customHeight="1" s="50"/>
    <row r="474" ht="16.5" customHeight="1" s="50"/>
    <row r="475" ht="16.5" customHeight="1" s="50"/>
    <row r="476" ht="16.5" customHeight="1" s="50"/>
    <row r="477" ht="16.5" customHeight="1" s="50"/>
    <row r="478" ht="16.5" customHeight="1" s="50"/>
    <row r="479" ht="16.5" customHeight="1" s="50"/>
    <row r="480" ht="16.5" customHeight="1" s="50"/>
    <row r="481" ht="16.5" customHeight="1" s="50"/>
    <row r="482" ht="16.5" customHeight="1" s="50"/>
    <row r="483" ht="16.5" customHeight="1" s="50"/>
    <row r="484" ht="16.5" customHeight="1" s="50"/>
    <row r="485" ht="16.5" customHeight="1" s="50"/>
    <row r="486" ht="16.5" customHeight="1" s="50"/>
    <row r="487" ht="16.5" customHeight="1" s="50"/>
    <row r="488" ht="16.5" customHeight="1" s="50"/>
    <row r="489" ht="16.5" customHeight="1" s="50"/>
    <row r="490" ht="16.5" customHeight="1" s="50"/>
    <row r="491" ht="16.5" customHeight="1" s="50"/>
    <row r="492" ht="16.5" customHeight="1" s="50"/>
    <row r="493" ht="16.5" customHeight="1" s="50"/>
    <row r="494" ht="16.5" customHeight="1" s="50"/>
    <row r="495" ht="16.5" customHeight="1" s="50"/>
    <row r="496" ht="16.5" customHeight="1" s="50"/>
    <row r="497" ht="16.5" customHeight="1" s="50"/>
    <row r="498" ht="16.5" customHeight="1" s="50"/>
    <row r="499" ht="16.5" customHeight="1" s="50"/>
    <row r="500" ht="16.5" customHeight="1" s="50"/>
    <row r="501" ht="16.5" customHeight="1" s="50"/>
    <row r="502" ht="16.5" customHeight="1" s="50"/>
    <row r="503" ht="16.5" customHeight="1" s="50"/>
    <row r="504" ht="16.5" customHeight="1" s="50"/>
    <row r="505" ht="16.5" customHeight="1" s="50"/>
    <row r="506" ht="16.5" customHeight="1" s="50"/>
    <row r="507" ht="16.5" customHeight="1" s="50"/>
    <row r="508" ht="16.5" customHeight="1" s="50"/>
    <row r="509" ht="16.5" customHeight="1" s="50"/>
    <row r="510" ht="16.5" customHeight="1" s="50"/>
    <row r="511" ht="16.5" customHeight="1" s="50"/>
    <row r="512" ht="16.5" customHeight="1" s="50"/>
    <row r="513" ht="16.5" customHeight="1" s="50"/>
    <row r="514" ht="16.5" customHeight="1" s="50"/>
    <row r="515" ht="16.5" customHeight="1" s="50"/>
    <row r="516" ht="16.5" customHeight="1" s="50"/>
    <row r="517" ht="16.5" customHeight="1" s="50"/>
    <row r="518" ht="16.5" customHeight="1" s="50"/>
    <row r="519" ht="16.5" customHeight="1" s="50"/>
    <row r="520" ht="16.5" customHeight="1" s="50"/>
    <row r="521" ht="16.5" customHeight="1" s="50"/>
    <row r="522" ht="16.5" customHeight="1" s="50"/>
    <row r="523" ht="16.5" customHeight="1" s="50"/>
    <row r="524" ht="16.5" customHeight="1" s="50"/>
    <row r="525" ht="16.5" customHeight="1" s="50"/>
    <row r="526" ht="16.5" customHeight="1" s="50"/>
    <row r="527" ht="16.5" customHeight="1" s="50"/>
    <row r="528" ht="16.5" customHeight="1" s="50"/>
    <row r="529" ht="16.5" customHeight="1" s="50"/>
    <row r="530" ht="16.5" customHeight="1" s="50"/>
    <row r="531" ht="16.5" customHeight="1" s="50"/>
    <row r="532" ht="16.5" customHeight="1" s="50"/>
    <row r="533" ht="16.5" customHeight="1" s="50"/>
    <row r="534" ht="16.5" customHeight="1" s="50"/>
    <row r="535" ht="16.5" customHeight="1" s="50"/>
    <row r="536" ht="16.5" customHeight="1" s="50"/>
    <row r="537" ht="16.5" customHeight="1" s="50"/>
    <row r="538" ht="16.5" customHeight="1" s="50"/>
    <row r="539" ht="16.5" customHeight="1" s="50"/>
    <row r="540" ht="16.5" customHeight="1" s="50"/>
    <row r="541" ht="16.5" customHeight="1" s="50"/>
    <row r="542" ht="16.5" customHeight="1" s="50"/>
    <row r="543" ht="16.5" customHeight="1" s="50"/>
    <row r="544" ht="16.5" customHeight="1" s="50"/>
    <row r="545" ht="16.5" customHeight="1" s="50"/>
    <row r="546" ht="16.5" customHeight="1" s="50"/>
    <row r="547" ht="16.5" customHeight="1" s="50"/>
    <row r="548" ht="16.5" customHeight="1" s="50"/>
    <row r="549" ht="16.5" customHeight="1" s="50"/>
    <row r="550" ht="16.5" customHeight="1" s="50"/>
    <row r="551" ht="16.5" customHeight="1" s="50"/>
    <row r="552" ht="16.5" customHeight="1" s="50"/>
    <row r="553" ht="16.5" customHeight="1" s="50"/>
    <row r="554" ht="16.5" customHeight="1" s="50"/>
    <row r="555" ht="16.5" customHeight="1" s="50"/>
    <row r="556" ht="16.5" customHeight="1" s="50"/>
    <row r="557" ht="16.5" customHeight="1" s="50"/>
    <row r="558" ht="16.5" customHeight="1" s="50"/>
    <row r="559" ht="16.5" customHeight="1" s="50"/>
    <row r="560" ht="16.5" customHeight="1" s="50"/>
    <row r="561" ht="16.5" customHeight="1" s="50"/>
    <row r="562" ht="16.5" customHeight="1" s="50"/>
    <row r="563" ht="16.5" customHeight="1" s="50"/>
    <row r="564" ht="16.5" customHeight="1" s="50"/>
    <row r="565" ht="16.5" customHeight="1" s="50"/>
    <row r="566" ht="16.5" customHeight="1" s="50"/>
    <row r="567" ht="16.5" customHeight="1" s="50"/>
    <row r="568" ht="16.5" customHeight="1" s="50"/>
    <row r="569" ht="16.5" customHeight="1" s="50"/>
    <row r="570" ht="16.5" customHeight="1" s="50"/>
    <row r="571" ht="16.5" customHeight="1" s="50"/>
    <row r="572" ht="16.5" customHeight="1" s="50"/>
    <row r="573" ht="16.5" customHeight="1" s="50"/>
    <row r="574" ht="16.5" customHeight="1" s="50"/>
    <row r="575" ht="16.5" customHeight="1" s="50"/>
    <row r="576" ht="16.5" customHeight="1" s="50"/>
    <row r="577" ht="16.5" customHeight="1" s="50"/>
    <row r="578" ht="16.5" customHeight="1" s="50"/>
    <row r="579" ht="16.5" customHeight="1" s="50"/>
    <row r="580" ht="16.5" customHeight="1" s="50"/>
    <row r="581" ht="16.5" customHeight="1" s="50"/>
    <row r="582" ht="16.5" customHeight="1" s="50"/>
    <row r="583" ht="16.5" customHeight="1" s="50"/>
    <row r="584" ht="16.5" customHeight="1" s="50"/>
    <row r="585" ht="16.5" customHeight="1" s="50"/>
    <row r="586" ht="16.5" customHeight="1" s="50"/>
    <row r="587" ht="16.5" customHeight="1" s="50"/>
    <row r="588" ht="16.5" customHeight="1" s="50"/>
    <row r="589" ht="16.5" customHeight="1" s="50"/>
    <row r="590" ht="16.5" customHeight="1" s="50"/>
    <row r="591" ht="16.5" customHeight="1" s="50"/>
    <row r="592" ht="16.5" customHeight="1" s="50"/>
    <row r="593" ht="16.5" customHeight="1" s="50"/>
    <row r="594" ht="16.5" customHeight="1" s="50"/>
    <row r="595" ht="16.5" customHeight="1" s="50"/>
    <row r="596" ht="16.5" customHeight="1" s="50"/>
    <row r="597" ht="16.5" customHeight="1" s="50"/>
    <row r="598" ht="16.5" customHeight="1" s="50"/>
    <row r="599" ht="16.5" customHeight="1" s="50"/>
    <row r="600" ht="16.5" customHeight="1" s="50"/>
    <row r="601" ht="16.5" customHeight="1" s="50"/>
    <row r="602" ht="16.5" customHeight="1" s="50"/>
    <row r="603" ht="16.5" customHeight="1" s="50"/>
    <row r="604" ht="16.5" customHeight="1" s="50"/>
    <row r="605" ht="16.5" customHeight="1" s="50"/>
    <row r="606" ht="16.5" customHeight="1" s="50"/>
    <row r="607" ht="16.5" customHeight="1" s="50"/>
    <row r="608" ht="16.5" customHeight="1" s="50"/>
    <row r="609" ht="16.5" customHeight="1" s="50"/>
    <row r="610" ht="16.5" customHeight="1" s="50"/>
    <row r="611" ht="16.5" customHeight="1" s="50"/>
    <row r="612" ht="16.5" customHeight="1" s="50"/>
    <row r="613" ht="16.5" customHeight="1" s="50"/>
    <row r="614" ht="16.5" customHeight="1" s="50"/>
    <row r="615" ht="16.5" customHeight="1" s="50"/>
    <row r="616" ht="16.5" customHeight="1" s="50"/>
    <row r="617" ht="16.5" customHeight="1" s="50"/>
    <row r="618" ht="16.5" customHeight="1" s="50"/>
    <row r="619" ht="16.5" customHeight="1" s="50"/>
    <row r="620" ht="16.5" customHeight="1" s="50"/>
    <row r="621" ht="16.5" customHeight="1" s="50"/>
    <row r="622" ht="16.5" customHeight="1" s="50"/>
    <row r="623" ht="16.5" customHeight="1" s="50"/>
    <row r="624" ht="16.5" customHeight="1" s="50"/>
    <row r="625" ht="16.5" customHeight="1" s="50"/>
    <row r="626" ht="16.5" customHeight="1" s="50"/>
    <row r="627" ht="16.5" customHeight="1" s="50"/>
    <row r="628" ht="16.5" customHeight="1" s="50"/>
    <row r="629" ht="16.5" customHeight="1" s="50"/>
    <row r="630" ht="16.5" customHeight="1" s="50"/>
    <row r="631" ht="16.5" customHeight="1" s="50"/>
    <row r="632" ht="16.5" customHeight="1" s="50"/>
    <row r="633" ht="16.5" customHeight="1" s="50"/>
    <row r="634" ht="16.5" customHeight="1" s="50"/>
    <row r="635" ht="16.5" customHeight="1" s="50"/>
    <row r="636" ht="16.5" customHeight="1" s="50"/>
    <row r="637" ht="16.5" customHeight="1" s="50"/>
    <row r="638" ht="16.5" customHeight="1" s="50"/>
    <row r="639" ht="16.5" customHeight="1" s="50"/>
    <row r="640" ht="16.5" customHeight="1" s="50"/>
    <row r="641" ht="16.5" customHeight="1" s="50"/>
    <row r="642" ht="16.5" customHeight="1" s="50"/>
    <row r="643" ht="16.5" customHeight="1" s="50"/>
    <row r="644" ht="16.5" customHeight="1" s="50"/>
    <row r="645" ht="16.5" customHeight="1" s="50"/>
    <row r="646" ht="16.5" customHeight="1" s="50"/>
    <row r="647" ht="16.5" customHeight="1" s="50"/>
    <row r="648" ht="16.5" customHeight="1" s="50"/>
    <row r="649" ht="16.5" customHeight="1" s="50"/>
    <row r="650" ht="16.5" customHeight="1" s="50"/>
    <row r="651" ht="16.5" customHeight="1" s="50"/>
    <row r="652" ht="16.5" customHeight="1" s="50"/>
    <row r="653" ht="16.5" customHeight="1" s="50"/>
    <row r="654" ht="16.5" customHeight="1" s="50"/>
    <row r="655" ht="16.5" customHeight="1" s="50"/>
    <row r="656" ht="16.5" customHeight="1" s="50"/>
    <row r="657" ht="16.5" customHeight="1" s="50"/>
    <row r="658" ht="16.5" customHeight="1" s="50"/>
    <row r="659" ht="16.5" customHeight="1" s="50"/>
    <row r="660" ht="16.5" customHeight="1" s="50"/>
    <row r="661" ht="16.5" customHeight="1" s="50"/>
    <row r="662" ht="16.5" customHeight="1" s="50"/>
    <row r="663" ht="16.5" customHeight="1" s="50"/>
    <row r="664" ht="16.5" customHeight="1" s="50"/>
    <row r="665" ht="16.5" customHeight="1" s="50"/>
    <row r="666" ht="16.5" customHeight="1" s="50"/>
    <row r="667" ht="16.5" customHeight="1" s="50"/>
    <row r="668" ht="16.5" customHeight="1" s="50"/>
    <row r="669" ht="16.5" customHeight="1" s="50"/>
    <row r="670" ht="16.5" customHeight="1" s="50"/>
    <row r="671" ht="16.5" customHeight="1" s="50"/>
    <row r="672" ht="16.5" customHeight="1" s="50"/>
    <row r="673" ht="16.5" customHeight="1" s="50"/>
    <row r="674" ht="16.5" customHeight="1" s="50"/>
    <row r="675" ht="16.5" customHeight="1" s="50"/>
    <row r="676" ht="16.5" customHeight="1" s="50"/>
    <row r="677" ht="16.5" customHeight="1" s="50"/>
    <row r="678" ht="16.5" customHeight="1" s="50"/>
    <row r="679" ht="16.5" customHeight="1" s="50"/>
    <row r="680" ht="16.5" customHeight="1" s="50"/>
    <row r="681" ht="16.5" customHeight="1" s="50"/>
    <row r="682" ht="16.5" customHeight="1" s="50"/>
    <row r="683" ht="16.5" customHeight="1" s="50"/>
    <row r="684" ht="16.5" customHeight="1" s="50"/>
    <row r="685" ht="16.5" customHeight="1" s="50"/>
    <row r="686" ht="16.5" customHeight="1" s="50"/>
    <row r="687" ht="16.5" customHeight="1" s="50"/>
    <row r="688" ht="16.5" customHeight="1" s="50"/>
    <row r="689" ht="16.5" customHeight="1" s="50"/>
    <row r="690" ht="16.5" customHeight="1" s="50"/>
    <row r="691" ht="16.5" customHeight="1" s="50"/>
    <row r="692" ht="16.5" customHeight="1" s="50"/>
    <row r="693" ht="16.5" customHeight="1" s="50"/>
    <row r="694" ht="16.5" customHeight="1" s="50"/>
    <row r="695" ht="16.5" customHeight="1" s="50"/>
    <row r="696" ht="16.5" customHeight="1" s="50"/>
    <row r="697" ht="16.5" customHeight="1" s="50"/>
    <row r="698" ht="16.5" customHeight="1" s="50"/>
    <row r="699" ht="16.5" customHeight="1" s="50"/>
    <row r="700" ht="16.5" customHeight="1" s="50"/>
    <row r="701" ht="16.5" customHeight="1" s="50"/>
    <row r="702" ht="16.5" customHeight="1" s="50"/>
    <row r="703" ht="16.5" customHeight="1" s="50"/>
    <row r="704" ht="16.5" customHeight="1" s="50"/>
    <row r="705" ht="16.5" customHeight="1" s="50"/>
    <row r="706" ht="16.5" customHeight="1" s="50"/>
    <row r="707" ht="16.5" customHeight="1" s="50"/>
    <row r="708" ht="16.5" customHeight="1" s="50"/>
    <row r="709" ht="16.5" customHeight="1" s="50"/>
    <row r="710" ht="16.5" customHeight="1" s="50"/>
    <row r="711" ht="16.5" customHeight="1" s="50"/>
    <row r="712" ht="16.5" customHeight="1" s="50"/>
    <row r="713" ht="16.5" customHeight="1" s="50"/>
    <row r="714" ht="16.5" customHeight="1" s="50"/>
    <row r="715" ht="16.5" customHeight="1" s="50"/>
    <row r="716" ht="16.5" customHeight="1" s="50"/>
    <row r="717" ht="16.5" customHeight="1" s="50"/>
    <row r="718" ht="16.5" customHeight="1" s="50"/>
    <row r="719" ht="16.5" customHeight="1" s="50"/>
    <row r="720" ht="16.5" customHeight="1" s="50"/>
    <row r="721" ht="16.5" customHeight="1" s="50"/>
    <row r="722" ht="16.5" customHeight="1" s="50"/>
    <row r="723" ht="16.5" customHeight="1" s="50"/>
    <row r="724" ht="16.5" customHeight="1" s="50"/>
    <row r="725" ht="16.5" customHeight="1" s="50"/>
    <row r="726" ht="16.5" customHeight="1" s="50"/>
    <row r="727" ht="16.5" customHeight="1" s="50"/>
    <row r="728" ht="16.5" customHeight="1" s="50"/>
    <row r="729" ht="16.5" customHeight="1" s="50"/>
    <row r="730" ht="16.5" customHeight="1" s="50"/>
    <row r="731" ht="16.5" customHeight="1" s="50"/>
    <row r="732" ht="16.5" customHeight="1" s="50"/>
    <row r="733" ht="16.5" customHeight="1" s="50"/>
    <row r="734" ht="16.5" customHeight="1" s="50"/>
    <row r="735" ht="16.5" customHeight="1" s="50"/>
    <row r="736" ht="16.5" customHeight="1" s="50"/>
    <row r="737" ht="16.5" customHeight="1" s="50"/>
    <row r="738" ht="16.5" customHeight="1" s="50"/>
    <row r="739" ht="16.5" customHeight="1" s="50"/>
    <row r="740" ht="16.5" customHeight="1" s="50"/>
    <row r="741" ht="16.5" customHeight="1" s="50"/>
    <row r="742" ht="16.5" customHeight="1" s="50"/>
    <row r="743" ht="16.5" customHeight="1" s="50"/>
    <row r="744" ht="16.5" customHeight="1" s="50"/>
    <row r="745" ht="16.5" customHeight="1" s="50"/>
    <row r="746" ht="16.5" customHeight="1" s="50"/>
    <row r="747" ht="16.5" customHeight="1" s="50"/>
    <row r="748" ht="16.5" customHeight="1" s="50"/>
    <row r="749" ht="16.5" customHeight="1" s="50"/>
    <row r="750" ht="16.5" customHeight="1" s="50"/>
    <row r="751" ht="16.5" customHeight="1" s="50"/>
    <row r="752" ht="16.5" customHeight="1" s="50"/>
    <row r="753" ht="16.5" customHeight="1" s="50"/>
    <row r="754" ht="16.5" customHeight="1" s="50"/>
    <row r="755" ht="16.5" customHeight="1" s="50"/>
    <row r="756" ht="16.5" customHeight="1" s="50"/>
    <row r="757" ht="16.5" customHeight="1" s="50"/>
    <row r="758" ht="16.5" customHeight="1" s="50"/>
    <row r="759" ht="16.5" customHeight="1" s="50"/>
    <row r="760" ht="16.5" customHeight="1" s="50"/>
    <row r="761" ht="16.5" customHeight="1" s="50"/>
    <row r="762" ht="16.5" customHeight="1" s="50"/>
    <row r="763" ht="16.5" customHeight="1" s="50"/>
    <row r="764" ht="16.5" customHeight="1" s="50"/>
    <row r="765" ht="16.5" customHeight="1" s="50"/>
    <row r="766" ht="16.5" customHeight="1" s="50"/>
    <row r="767" ht="16.5" customHeight="1" s="50"/>
    <row r="768" ht="16.5" customHeight="1" s="50"/>
    <row r="769" ht="16.5" customHeight="1" s="50"/>
    <row r="770" ht="16.5" customHeight="1" s="50"/>
    <row r="771" ht="16.5" customHeight="1" s="50"/>
    <row r="772" ht="16.5" customHeight="1" s="50"/>
    <row r="773" ht="16.5" customHeight="1" s="50"/>
    <row r="774" ht="16.5" customHeight="1" s="50"/>
    <row r="775" ht="16.5" customHeight="1" s="50"/>
    <row r="776" ht="16.5" customHeight="1" s="50"/>
    <row r="777" ht="16.5" customHeight="1" s="50"/>
    <row r="778" ht="16.5" customHeight="1" s="50"/>
    <row r="779" ht="16.5" customHeight="1" s="50"/>
    <row r="780" ht="16.5" customHeight="1" s="50"/>
    <row r="781" ht="16.5" customHeight="1" s="50"/>
    <row r="782" ht="16.5" customHeight="1" s="50"/>
    <row r="783" ht="16.5" customHeight="1" s="50"/>
    <row r="784" ht="16.5" customHeight="1" s="50"/>
    <row r="785" ht="16.5" customHeight="1" s="50"/>
    <row r="786" ht="16.5" customHeight="1" s="50"/>
    <row r="787" ht="16.5" customHeight="1" s="50"/>
    <row r="788" ht="16.5" customHeight="1" s="50"/>
    <row r="789" ht="16.5" customHeight="1" s="50"/>
    <row r="790" ht="16.5" customHeight="1" s="50"/>
    <row r="791" ht="16.5" customHeight="1" s="50"/>
    <row r="792" ht="16.5" customHeight="1" s="50"/>
    <row r="793" ht="16.5" customHeight="1" s="50"/>
    <row r="794" ht="16.5" customHeight="1" s="50"/>
    <row r="795" ht="16.5" customHeight="1" s="50"/>
    <row r="796" ht="16.5" customHeight="1" s="50"/>
    <row r="797" ht="16.5" customHeight="1" s="50"/>
    <row r="798" ht="16.5" customHeight="1" s="50"/>
    <row r="799" ht="16.5" customHeight="1" s="50"/>
    <row r="800" ht="16.5" customHeight="1" s="50"/>
    <row r="801" ht="16.5" customHeight="1" s="50"/>
    <row r="802" ht="16.5" customHeight="1" s="50"/>
    <row r="803" ht="16.5" customHeight="1" s="50"/>
    <row r="804" ht="16.5" customHeight="1" s="50"/>
    <row r="805" ht="16.5" customHeight="1" s="50"/>
    <row r="806" ht="16.5" customHeight="1" s="50"/>
    <row r="807" ht="16.5" customHeight="1" s="50"/>
    <row r="808" ht="16.5" customHeight="1" s="50"/>
    <row r="809" ht="16.5" customHeight="1" s="50"/>
    <row r="810" ht="16.5" customHeight="1" s="50"/>
    <row r="811" ht="16.5" customHeight="1" s="50"/>
    <row r="812" ht="16.5" customHeight="1" s="50"/>
    <row r="813" ht="16.5" customHeight="1" s="50"/>
    <row r="814" ht="16.5" customHeight="1" s="50"/>
    <row r="815" ht="16.5" customHeight="1" s="50"/>
    <row r="816" ht="16.5" customHeight="1" s="50"/>
    <row r="817" ht="16.5" customHeight="1" s="50"/>
    <row r="818" ht="16.5" customHeight="1" s="50"/>
    <row r="819" ht="16.5" customHeight="1" s="50"/>
    <row r="820" ht="16.5" customHeight="1" s="50"/>
    <row r="821" ht="16.5" customHeight="1" s="50"/>
    <row r="822" ht="16.5" customHeight="1" s="50"/>
    <row r="823" ht="16.5" customHeight="1" s="50"/>
    <row r="824" ht="16.5" customHeight="1" s="50"/>
    <row r="825" ht="16.5" customHeight="1" s="50"/>
    <row r="826" ht="16.5" customHeight="1" s="50"/>
    <row r="827" ht="16.5" customHeight="1" s="50"/>
    <row r="828" ht="16.5" customHeight="1" s="50"/>
    <row r="829" ht="16.5" customHeight="1" s="50"/>
    <row r="830" ht="16.5" customHeight="1" s="50"/>
    <row r="831" ht="16.5" customHeight="1" s="50"/>
    <row r="832" ht="16.5" customHeight="1" s="50"/>
    <row r="833" ht="16.5" customHeight="1" s="50"/>
    <row r="834" ht="16.5" customHeight="1" s="50"/>
    <row r="835" ht="16.5" customHeight="1" s="50"/>
    <row r="836" ht="16.5" customHeight="1" s="50"/>
    <row r="837" ht="16.5" customHeight="1" s="50"/>
    <row r="838" ht="16.5" customHeight="1" s="50"/>
    <row r="839" ht="16.5" customHeight="1" s="50"/>
    <row r="840" ht="16.5" customHeight="1" s="50"/>
    <row r="841" ht="16.5" customHeight="1" s="50"/>
    <row r="842" ht="16.5" customHeight="1" s="50"/>
    <row r="843" ht="16.5" customHeight="1" s="50"/>
    <row r="844" ht="16.5" customHeight="1" s="50"/>
    <row r="845" ht="16.5" customHeight="1" s="50"/>
    <row r="846" ht="16.5" customHeight="1" s="50"/>
    <row r="847" ht="16.5" customHeight="1" s="50"/>
    <row r="848" ht="16.5" customHeight="1" s="50"/>
    <row r="849" ht="16.5" customHeight="1" s="50"/>
    <row r="850" ht="16.5" customHeight="1" s="50"/>
    <row r="851" ht="16.5" customHeight="1" s="50"/>
    <row r="852" ht="16.5" customHeight="1" s="50"/>
    <row r="853" ht="16.5" customHeight="1" s="50"/>
    <row r="854" ht="16.5" customHeight="1" s="50"/>
    <row r="855" ht="16.5" customHeight="1" s="50"/>
    <row r="856" ht="16.5" customHeight="1" s="50"/>
    <row r="857" ht="16.5" customHeight="1" s="50"/>
    <row r="858" ht="16.5" customHeight="1" s="50"/>
    <row r="859" ht="16.5" customHeight="1" s="50"/>
    <row r="860" ht="16.5" customHeight="1" s="50"/>
    <row r="861" ht="16.5" customHeight="1" s="50"/>
    <row r="862" ht="16.5" customHeight="1" s="50"/>
    <row r="863" ht="16.5" customHeight="1" s="50"/>
    <row r="864" ht="16.5" customHeight="1" s="50"/>
    <row r="865" ht="16.5" customHeight="1" s="50"/>
    <row r="866" ht="16.5" customHeight="1" s="50"/>
    <row r="867" ht="16.5" customHeight="1" s="50"/>
    <row r="868" ht="16.5" customHeight="1" s="50"/>
    <row r="869" ht="16.5" customHeight="1" s="50"/>
    <row r="870" ht="16.5" customHeight="1" s="50"/>
    <row r="871" ht="16.5" customHeight="1" s="50"/>
    <row r="872" ht="16.5" customHeight="1" s="50"/>
    <row r="873" ht="16.5" customHeight="1" s="50"/>
    <row r="874" ht="16.5" customHeight="1" s="50"/>
    <row r="875" ht="16.5" customHeight="1" s="50"/>
    <row r="876" ht="16.5" customHeight="1" s="50"/>
    <row r="877" ht="16.5" customHeight="1" s="50"/>
    <row r="878" ht="16.5" customHeight="1" s="50"/>
    <row r="879" ht="16.5" customHeight="1" s="50"/>
    <row r="880" ht="16.5" customHeight="1" s="50"/>
    <row r="881" ht="16.5" customHeight="1" s="50"/>
    <row r="882" ht="16.5" customHeight="1" s="50"/>
    <row r="883" ht="16.5" customHeight="1" s="50"/>
    <row r="884" ht="16.5" customHeight="1" s="50"/>
    <row r="885" ht="16.5" customHeight="1" s="50"/>
    <row r="886" ht="16.5" customHeight="1" s="50"/>
    <row r="887" ht="16.5" customHeight="1" s="50"/>
    <row r="888" ht="16.5" customHeight="1" s="50"/>
    <row r="889" ht="16.5" customHeight="1" s="50"/>
    <row r="890" ht="16.5" customHeight="1" s="50"/>
    <row r="891" ht="16.5" customHeight="1" s="50"/>
    <row r="892" ht="16.5" customHeight="1" s="50"/>
    <row r="893" ht="16.5" customHeight="1" s="50"/>
    <row r="894" ht="16.5" customHeight="1" s="50"/>
    <row r="895" ht="16.5" customHeight="1" s="50"/>
    <row r="896" ht="16.5" customHeight="1" s="50"/>
    <row r="897" ht="16.5" customHeight="1" s="50"/>
    <row r="898" ht="16.5" customHeight="1" s="50"/>
    <row r="899" ht="16.5" customHeight="1" s="50"/>
    <row r="900" ht="16.5" customHeight="1" s="50"/>
    <row r="901" ht="16.5" customHeight="1" s="50"/>
    <row r="902" ht="16.5" customHeight="1" s="50"/>
    <row r="903" ht="16.5" customHeight="1" s="50"/>
    <row r="904" ht="16.5" customHeight="1" s="50"/>
    <row r="905" ht="16.5" customHeight="1" s="50"/>
    <row r="906" ht="16.5" customHeight="1" s="50"/>
    <row r="907" ht="16.5" customHeight="1" s="50"/>
    <row r="908" ht="16.5" customHeight="1" s="50"/>
    <row r="909" ht="16.5" customHeight="1" s="50"/>
    <row r="910" ht="16.5" customHeight="1" s="50"/>
    <row r="911" ht="16.5" customHeight="1" s="50"/>
    <row r="912" ht="16.5" customHeight="1" s="50"/>
    <row r="913" ht="16.5" customHeight="1" s="50"/>
    <row r="914" ht="16.5" customHeight="1" s="50"/>
    <row r="915" ht="16.5" customHeight="1" s="50"/>
    <row r="916" ht="16.5" customHeight="1" s="50"/>
    <row r="917" ht="16.5" customHeight="1" s="50"/>
    <row r="918" ht="16.5" customHeight="1" s="50"/>
    <row r="919" ht="16.5" customHeight="1" s="50"/>
    <row r="920" ht="16.5" customHeight="1" s="50"/>
    <row r="921" ht="16.5" customHeight="1" s="50"/>
    <row r="922" ht="16.5" customHeight="1" s="50"/>
    <row r="923" ht="16.5" customHeight="1" s="50"/>
    <row r="924" ht="16.5" customHeight="1" s="50"/>
    <row r="925" ht="16.5" customHeight="1" s="50"/>
    <row r="926" ht="16.5" customHeight="1" s="50"/>
    <row r="927" ht="16.5" customHeight="1" s="50"/>
    <row r="928" ht="16.5" customHeight="1" s="50"/>
    <row r="929" ht="16.5" customHeight="1" s="50"/>
    <row r="930" ht="16.5" customHeight="1" s="50"/>
    <row r="931" ht="16.5" customHeight="1" s="50"/>
    <row r="932" ht="16.5" customHeight="1" s="50"/>
    <row r="933" ht="16.5" customHeight="1" s="50"/>
    <row r="934" ht="16.5" customHeight="1" s="50"/>
    <row r="935" ht="16.5" customHeight="1" s="50"/>
    <row r="936" ht="16.5" customHeight="1" s="50"/>
    <row r="937" ht="16.5" customHeight="1" s="50"/>
    <row r="938" ht="16.5" customHeight="1" s="50"/>
    <row r="939" ht="16.5" customHeight="1" s="50"/>
    <row r="940" ht="16.5" customHeight="1" s="50"/>
    <row r="941" ht="16.5" customHeight="1" s="50"/>
    <row r="942" ht="16.5" customHeight="1" s="50"/>
    <row r="943" ht="16.5" customHeight="1" s="50"/>
    <row r="944" ht="16.5" customHeight="1" s="50"/>
    <row r="945" ht="16.5" customHeight="1" s="50"/>
    <row r="946" ht="16.5" customHeight="1" s="50"/>
    <row r="947" ht="16.5" customHeight="1" s="50"/>
    <row r="948" ht="16.5" customHeight="1" s="50"/>
    <row r="949" ht="16.5" customHeight="1" s="50"/>
    <row r="950" ht="16.5" customHeight="1" s="50"/>
    <row r="951" ht="16.5" customHeight="1" s="50"/>
    <row r="952" ht="16.5" customHeight="1" s="50"/>
    <row r="953" ht="16.5" customHeight="1" s="50"/>
    <row r="954" ht="16.5" customHeight="1" s="50"/>
    <row r="955" ht="16.5" customHeight="1" s="50"/>
    <row r="956" ht="16.5" customHeight="1" s="50"/>
    <row r="957" ht="16.5" customHeight="1" s="50"/>
    <row r="958" ht="16.5" customHeight="1" s="50"/>
    <row r="959" ht="16.5" customHeight="1" s="50"/>
    <row r="960" ht="16.5" customHeight="1" s="50"/>
    <row r="961" ht="16.5" customHeight="1" s="50"/>
    <row r="962" ht="16.5" customHeight="1" s="50"/>
    <row r="963" ht="16.5" customHeight="1" s="50"/>
    <row r="964" ht="16.5" customHeight="1" s="50"/>
    <row r="965" ht="16.5" customHeight="1" s="50"/>
    <row r="966" ht="16.5" customHeight="1" s="50"/>
    <row r="967" ht="16.5" customHeight="1" s="50"/>
    <row r="968" ht="16.5" customHeight="1" s="50"/>
    <row r="969" ht="16.5" customHeight="1" s="50"/>
    <row r="970" ht="16.5" customHeight="1" s="50"/>
    <row r="971" ht="16.5" customHeight="1" s="50"/>
    <row r="972" ht="16.5" customHeight="1" s="50"/>
    <row r="973" ht="16.5" customHeight="1" s="50"/>
    <row r="974" ht="16.5" customHeight="1" s="50"/>
    <row r="975" ht="16.5" customHeight="1" s="50"/>
    <row r="976" ht="16.5" customHeight="1" s="50"/>
    <row r="977" ht="16.5" customHeight="1" s="50"/>
    <row r="978" ht="16.5" customHeight="1" s="50"/>
    <row r="979" ht="16.5" customHeight="1" s="50"/>
    <row r="980" ht="16.5" customHeight="1" s="50"/>
    <row r="981" ht="16.5" customHeight="1" s="50"/>
    <row r="982" ht="16.5" customHeight="1" s="50"/>
    <row r="983" ht="16.5" customHeight="1" s="50"/>
    <row r="984" ht="16.5" customHeight="1" s="50"/>
    <row r="985" ht="16.5" customHeight="1" s="50"/>
    <row r="986" ht="16.5" customHeight="1" s="50"/>
    <row r="987" ht="16.5" customHeight="1" s="50"/>
    <row r="988" ht="16.5" customHeight="1" s="50"/>
    <row r="989" ht="16.5" customHeight="1" s="50"/>
    <row r="990" ht="16.5" customHeight="1" s="50"/>
    <row r="991" ht="16.5" customHeight="1" s="50"/>
    <row r="992" ht="16.5" customHeight="1" s="50"/>
    <row r="993" ht="16.5" customHeight="1" s="50"/>
    <row r="994" ht="16.5" customHeight="1" s="50"/>
    <row r="995" ht="16.5" customHeight="1" s="50"/>
    <row r="996" ht="16.5" customHeight="1" s="50"/>
    <row r="997" ht="16.5" customHeight="1" s="50"/>
    <row r="998" ht="16.5" customHeight="1" s="50"/>
    <row r="999" ht="16.5" customHeight="1" s="50"/>
    <row r="1000" ht="16.5" customHeight="1" s="50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9.86" customWidth="1" style="50" min="1" max="1"/>
    <col width="16" customWidth="1" style="50" min="2" max="4"/>
    <col width="9" customWidth="1" style="50" min="5" max="26"/>
  </cols>
  <sheetData>
    <row r="1" ht="16.5" customHeight="1" s="50">
      <c r="A1" s="43" t="inlineStr">
        <is>
          <t>项目条线</t>
        </is>
      </c>
      <c r="B1" s="43" t="inlineStr">
        <is>
          <t>优先级</t>
        </is>
      </c>
      <c r="C1" s="43" t="inlineStr">
        <is>
          <t>状态</t>
        </is>
      </c>
      <c r="D1" s="43" t="inlineStr">
        <is>
          <t>协作</t>
        </is>
      </c>
    </row>
    <row r="2" ht="16.5" customHeight="1" s="50">
      <c r="A2" s="44" t="inlineStr">
        <is>
          <t>Sakuranomori</t>
        </is>
      </c>
      <c r="B2" s="49" t="inlineStr">
        <is>
          <t>中</t>
        </is>
      </c>
      <c r="C2" s="49" t="inlineStr">
        <is>
          <t>进行中</t>
        </is>
      </c>
      <c r="D2" s="49" t="inlineStr">
        <is>
          <t>小裴</t>
        </is>
      </c>
    </row>
    <row r="3" ht="16.5" customHeight="1" s="50">
      <c r="A3" s="46" t="inlineStr">
        <is>
          <t>Quality1st</t>
        </is>
      </c>
      <c r="B3" s="49" t="inlineStr">
        <is>
          <t>高</t>
        </is>
      </c>
      <c r="C3" s="49" t="inlineStr">
        <is>
          <t>未开始</t>
        </is>
      </c>
      <c r="D3" s="49" t="inlineStr">
        <is>
          <t>（无）</t>
        </is>
      </c>
    </row>
    <row r="4" ht="16.5" customHeight="1" s="50">
      <c r="A4" s="49" t="inlineStr">
        <is>
          <t>小红书运营</t>
        </is>
      </c>
      <c r="B4" s="49" t="inlineStr">
        <is>
          <t>低</t>
        </is>
      </c>
      <c r="C4" s="49" t="inlineStr">
        <is>
          <t>已完成</t>
        </is>
      </c>
      <c r="D4" s="49" t="inlineStr">
        <is>
          <t>咩咩</t>
        </is>
      </c>
    </row>
    <row r="5" ht="16.5" customHeight="1" s="50">
      <c r="A5" s="49" t="inlineStr">
        <is>
          <t>天猫运营</t>
        </is>
      </c>
      <c r="C5" s="49" t="inlineStr">
        <is>
          <t>已延期</t>
        </is>
      </c>
      <c r="D5" s="49" t="inlineStr">
        <is>
          <t>张姐</t>
        </is>
      </c>
    </row>
    <row r="6" ht="16.5" customHeight="1" s="50">
      <c r="A6" s="49" t="inlineStr">
        <is>
          <t>团队管理</t>
        </is>
      </c>
      <c r="C6" s="49" t="inlineStr">
        <is>
          <t>搁置</t>
        </is>
      </c>
      <c r="D6" s="49" t="inlineStr">
        <is>
          <t>小杨</t>
        </is>
      </c>
    </row>
    <row r="7" ht="16.5" customHeight="1" s="50">
      <c r="A7" s="49" t="inlineStr">
        <is>
          <t>品牌方汇报</t>
        </is>
      </c>
      <c r="D7" s="49" t="inlineStr">
        <is>
          <t>楠楠</t>
        </is>
      </c>
    </row>
    <row r="8" ht="16.5" customHeight="1" s="50">
      <c r="A8" s="49" t="inlineStr">
        <is>
          <t>对日本HQ</t>
        </is>
      </c>
      <c r="D8" s="49" t="inlineStr">
        <is>
          <t>小廖</t>
        </is>
      </c>
    </row>
    <row r="9" ht="16.5" customHeight="1" s="50">
      <c r="A9" s="49" t="inlineStr">
        <is>
          <t>战略/规划</t>
        </is>
      </c>
      <c r="D9" s="49" t="inlineStr">
        <is>
          <t>毛毛</t>
        </is>
      </c>
    </row>
    <row r="10" ht="16.5" customHeight="1" s="50">
      <c r="A10" s="48" t="inlineStr">
        <is>
          <t>babubabu</t>
        </is>
      </c>
      <c r="D10" s="49" t="inlineStr">
        <is>
          <t>柚子</t>
        </is>
      </c>
    </row>
    <row r="11" ht="16.5" customHeight="1" s="50">
      <c r="A11" s="49" t="inlineStr">
        <is>
          <t>其他</t>
        </is>
      </c>
      <c r="D11" s="49" t="inlineStr">
        <is>
          <t>Alice</t>
        </is>
      </c>
    </row>
    <row r="12" ht="16.5" customHeight="1" s="50">
      <c r="A12" s="49" t="n"/>
      <c r="D12" s="49" t="inlineStr">
        <is>
          <t>品牌方</t>
        </is>
      </c>
    </row>
    <row r="13" ht="16.5" customHeight="1" s="50">
      <c r="A13" s="49" t="n"/>
      <c r="D13" s="49" t="inlineStr">
        <is>
          <t>joe</t>
        </is>
      </c>
    </row>
    <row r="14" ht="16.5" customHeight="1" s="50"/>
    <row r="15" ht="16.5" customHeight="1" s="50"/>
    <row r="16" ht="16.5" customHeight="1" s="50"/>
    <row r="17" ht="16.5" customHeight="1" s="50"/>
    <row r="18" ht="16.5" customHeight="1" s="50"/>
    <row r="19" ht="16.5" customHeight="1" s="50"/>
    <row r="20" ht="16.5" customHeight="1" s="50"/>
    <row r="21" ht="16.5" customHeight="1" s="50"/>
    <row r="22" ht="16.5" customHeight="1" s="50"/>
    <row r="23" ht="16.5" customHeight="1" s="50"/>
    <row r="24" ht="16.5" customHeight="1" s="50"/>
    <row r="25" ht="16.5" customHeight="1" s="50"/>
    <row r="26" ht="16.5" customHeight="1" s="50"/>
    <row r="27" ht="16.5" customHeight="1" s="50"/>
    <row r="28" ht="16.5" customHeight="1" s="50"/>
    <row r="29" ht="16.5" customHeight="1" s="50"/>
    <row r="30" ht="16.5" customHeight="1" s="50"/>
    <row r="31" ht="16.5" customHeight="1" s="50"/>
    <row r="32" ht="16.5" customHeight="1" s="50"/>
    <row r="33" ht="16.5" customHeight="1" s="50"/>
    <row r="34" ht="16.5" customHeight="1" s="50"/>
    <row r="35" ht="16.5" customHeight="1" s="50"/>
    <row r="36" ht="16.5" customHeight="1" s="50"/>
    <row r="37" ht="16.5" customHeight="1" s="50"/>
    <row r="38" ht="16.5" customHeight="1" s="50"/>
    <row r="39" ht="16.5" customHeight="1" s="50"/>
    <row r="40" ht="16.5" customHeight="1" s="50"/>
    <row r="41" ht="16.5" customHeight="1" s="50"/>
    <row r="42" ht="16.5" customHeight="1" s="50"/>
    <row r="43" ht="16.5" customHeight="1" s="50"/>
    <row r="44" ht="16.5" customHeight="1" s="50"/>
    <row r="45" ht="16.5" customHeight="1" s="50"/>
    <row r="46" ht="16.5" customHeight="1" s="50"/>
    <row r="47" ht="16.5" customHeight="1" s="50"/>
    <row r="48" ht="16.5" customHeight="1" s="50"/>
    <row r="49" ht="16.5" customHeight="1" s="50"/>
    <row r="50" ht="16.5" customHeight="1" s="50"/>
    <row r="51" ht="16.5" customHeight="1" s="50"/>
    <row r="52" ht="16.5" customHeight="1" s="50"/>
    <row r="53" ht="16.5" customHeight="1" s="50"/>
    <row r="54" ht="16.5" customHeight="1" s="50"/>
    <row r="55" ht="16.5" customHeight="1" s="50"/>
    <row r="56" ht="16.5" customHeight="1" s="50"/>
    <row r="57" ht="16.5" customHeight="1" s="50"/>
    <row r="58" ht="16.5" customHeight="1" s="50"/>
    <row r="59" ht="16.5" customHeight="1" s="50"/>
    <row r="60" ht="16.5" customHeight="1" s="50"/>
    <row r="61" ht="16.5" customHeight="1" s="50"/>
    <row r="62" ht="16.5" customHeight="1" s="50"/>
    <row r="63" ht="16.5" customHeight="1" s="50"/>
    <row r="64" ht="16.5" customHeight="1" s="50"/>
    <row r="65" ht="16.5" customHeight="1" s="50"/>
    <row r="66" ht="16.5" customHeight="1" s="50"/>
    <row r="67" ht="16.5" customHeight="1" s="50"/>
    <row r="68" ht="16.5" customHeight="1" s="50"/>
    <row r="69" ht="16.5" customHeight="1" s="50"/>
    <row r="70" ht="16.5" customHeight="1" s="50"/>
    <row r="71" ht="16.5" customHeight="1" s="50"/>
    <row r="72" ht="16.5" customHeight="1" s="50"/>
    <row r="73" ht="16.5" customHeight="1" s="50"/>
    <row r="74" ht="16.5" customHeight="1" s="50"/>
    <row r="75" ht="16.5" customHeight="1" s="50"/>
    <row r="76" ht="16.5" customHeight="1" s="50"/>
    <row r="77" ht="16.5" customHeight="1" s="50"/>
    <row r="78" ht="16.5" customHeight="1" s="50"/>
    <row r="79" ht="16.5" customHeight="1" s="50"/>
    <row r="80" ht="16.5" customHeight="1" s="50"/>
    <row r="81" ht="16.5" customHeight="1" s="50"/>
    <row r="82" ht="16.5" customHeight="1" s="50"/>
    <row r="83" ht="16.5" customHeight="1" s="50"/>
    <row r="84" ht="16.5" customHeight="1" s="50"/>
    <row r="85" ht="16.5" customHeight="1" s="50"/>
    <row r="86" ht="16.5" customHeight="1" s="50"/>
    <row r="87" ht="16.5" customHeight="1" s="50"/>
    <row r="88" ht="16.5" customHeight="1" s="50"/>
    <row r="89" ht="16.5" customHeight="1" s="50"/>
    <row r="90" ht="16.5" customHeight="1" s="50"/>
    <row r="91" ht="16.5" customHeight="1" s="50"/>
    <row r="92" ht="16.5" customHeight="1" s="50"/>
    <row r="93" ht="16.5" customHeight="1" s="50"/>
    <row r="94" ht="16.5" customHeight="1" s="50"/>
    <row r="95" ht="16.5" customHeight="1" s="50"/>
    <row r="96" ht="16.5" customHeight="1" s="50"/>
    <row r="97" ht="16.5" customHeight="1" s="50"/>
    <row r="98" ht="16.5" customHeight="1" s="50"/>
    <row r="99" ht="16.5" customHeight="1" s="50"/>
    <row r="100" ht="16.5" customHeight="1" s="50"/>
    <row r="101" ht="16.5" customHeight="1" s="50"/>
    <row r="102" ht="16.5" customHeight="1" s="50"/>
    <row r="103" ht="16.5" customHeight="1" s="50"/>
    <row r="104" ht="16.5" customHeight="1" s="50"/>
    <row r="105" ht="16.5" customHeight="1" s="50"/>
    <row r="106" ht="16.5" customHeight="1" s="50"/>
    <row r="107" ht="16.5" customHeight="1" s="50"/>
    <row r="108" ht="16.5" customHeight="1" s="50"/>
    <row r="109" ht="16.5" customHeight="1" s="50"/>
    <row r="110" ht="16.5" customHeight="1" s="50"/>
    <row r="111" ht="16.5" customHeight="1" s="50"/>
    <row r="112" ht="16.5" customHeight="1" s="50"/>
    <row r="113" ht="16.5" customHeight="1" s="50"/>
    <row r="114" ht="16.5" customHeight="1" s="50"/>
    <row r="115" ht="16.5" customHeight="1" s="50"/>
    <row r="116" ht="16.5" customHeight="1" s="50"/>
    <row r="117" ht="16.5" customHeight="1" s="50"/>
    <row r="118" ht="16.5" customHeight="1" s="50"/>
    <row r="119" ht="16.5" customHeight="1" s="50"/>
    <row r="120" ht="16.5" customHeight="1" s="50"/>
    <row r="121" ht="16.5" customHeight="1" s="50"/>
    <row r="122" ht="16.5" customHeight="1" s="50"/>
    <row r="123" ht="16.5" customHeight="1" s="50"/>
    <row r="124" ht="16.5" customHeight="1" s="50"/>
    <row r="125" ht="16.5" customHeight="1" s="50"/>
    <row r="126" ht="16.5" customHeight="1" s="50"/>
    <row r="127" ht="16.5" customHeight="1" s="50"/>
    <row r="128" ht="16.5" customHeight="1" s="50"/>
    <row r="129" ht="16.5" customHeight="1" s="50"/>
    <row r="130" ht="16.5" customHeight="1" s="50"/>
    <row r="131" ht="16.5" customHeight="1" s="50"/>
    <row r="132" ht="16.5" customHeight="1" s="50"/>
    <row r="133" ht="16.5" customHeight="1" s="50"/>
    <row r="134" ht="16.5" customHeight="1" s="50"/>
    <row r="135" ht="16.5" customHeight="1" s="50"/>
    <row r="136" ht="16.5" customHeight="1" s="50"/>
    <row r="137" ht="16.5" customHeight="1" s="50"/>
    <row r="138" ht="16.5" customHeight="1" s="50"/>
    <row r="139" ht="16.5" customHeight="1" s="50"/>
    <row r="140" ht="16.5" customHeight="1" s="50"/>
    <row r="141" ht="16.5" customHeight="1" s="50"/>
    <row r="142" ht="16.5" customHeight="1" s="50"/>
    <row r="143" ht="16.5" customHeight="1" s="50"/>
    <row r="144" ht="16.5" customHeight="1" s="50"/>
    <row r="145" ht="16.5" customHeight="1" s="50"/>
    <row r="146" ht="16.5" customHeight="1" s="50"/>
    <row r="147" ht="16.5" customHeight="1" s="50"/>
    <row r="148" ht="16.5" customHeight="1" s="50"/>
    <row r="149" ht="16.5" customHeight="1" s="50"/>
    <row r="150" ht="16.5" customHeight="1" s="50"/>
    <row r="151" ht="16.5" customHeight="1" s="50"/>
    <row r="152" ht="16.5" customHeight="1" s="50"/>
    <row r="153" ht="16.5" customHeight="1" s="50"/>
    <row r="154" ht="16.5" customHeight="1" s="50"/>
    <row r="155" ht="16.5" customHeight="1" s="50"/>
    <row r="156" ht="16.5" customHeight="1" s="50"/>
    <row r="157" ht="16.5" customHeight="1" s="50"/>
    <row r="158" ht="16.5" customHeight="1" s="50"/>
    <row r="159" ht="16.5" customHeight="1" s="50"/>
    <row r="160" ht="16.5" customHeight="1" s="50"/>
    <row r="161" ht="16.5" customHeight="1" s="50"/>
    <row r="162" ht="16.5" customHeight="1" s="50"/>
    <row r="163" ht="16.5" customHeight="1" s="50"/>
    <row r="164" ht="16.5" customHeight="1" s="50"/>
    <row r="165" ht="16.5" customHeight="1" s="50"/>
    <row r="166" ht="16.5" customHeight="1" s="50"/>
    <row r="167" ht="16.5" customHeight="1" s="50"/>
    <row r="168" ht="16.5" customHeight="1" s="50"/>
    <row r="169" ht="16.5" customHeight="1" s="50"/>
    <row r="170" ht="16.5" customHeight="1" s="50"/>
    <row r="171" ht="16.5" customHeight="1" s="50"/>
    <row r="172" ht="16.5" customHeight="1" s="50"/>
    <row r="173" ht="16.5" customHeight="1" s="50"/>
    <row r="174" ht="16.5" customHeight="1" s="50"/>
    <row r="175" ht="16.5" customHeight="1" s="50"/>
    <row r="176" ht="16.5" customHeight="1" s="50"/>
    <row r="177" ht="16.5" customHeight="1" s="50"/>
    <row r="178" ht="16.5" customHeight="1" s="50"/>
    <row r="179" ht="16.5" customHeight="1" s="50"/>
    <row r="180" ht="16.5" customHeight="1" s="50"/>
    <row r="181" ht="16.5" customHeight="1" s="50"/>
    <row r="182" ht="16.5" customHeight="1" s="50"/>
    <row r="183" ht="16.5" customHeight="1" s="50"/>
    <row r="184" ht="16.5" customHeight="1" s="50"/>
    <row r="185" ht="16.5" customHeight="1" s="50"/>
    <row r="186" ht="16.5" customHeight="1" s="50"/>
    <row r="187" ht="16.5" customHeight="1" s="50"/>
    <row r="188" ht="16.5" customHeight="1" s="50"/>
    <row r="189" ht="16.5" customHeight="1" s="50"/>
    <row r="190" ht="16.5" customHeight="1" s="50"/>
    <row r="191" ht="16.5" customHeight="1" s="50"/>
    <row r="192" ht="16.5" customHeight="1" s="50"/>
    <row r="193" ht="16.5" customHeight="1" s="50"/>
    <row r="194" ht="16.5" customHeight="1" s="50"/>
    <row r="195" ht="16.5" customHeight="1" s="50"/>
    <row r="196" ht="16.5" customHeight="1" s="50"/>
    <row r="197" ht="16.5" customHeight="1" s="50"/>
    <row r="198" ht="16.5" customHeight="1" s="50"/>
    <row r="199" ht="16.5" customHeight="1" s="50"/>
    <row r="200" ht="16.5" customHeight="1" s="50"/>
    <row r="201" ht="16.5" customHeight="1" s="50"/>
    <row r="202" ht="16.5" customHeight="1" s="50"/>
    <row r="203" ht="16.5" customHeight="1" s="50"/>
    <row r="204" ht="16.5" customHeight="1" s="50"/>
    <row r="205" ht="16.5" customHeight="1" s="50"/>
    <row r="206" ht="16.5" customHeight="1" s="50"/>
    <row r="207" ht="16.5" customHeight="1" s="50"/>
    <row r="208" ht="16.5" customHeight="1" s="50"/>
    <row r="209" ht="16.5" customHeight="1" s="50"/>
    <row r="210" ht="16.5" customHeight="1" s="50"/>
    <row r="211" ht="16.5" customHeight="1" s="50"/>
    <row r="212" ht="16.5" customHeight="1" s="50"/>
    <row r="213" ht="16.5" customHeight="1" s="50"/>
    <row r="214" ht="16.5" customHeight="1" s="50"/>
    <row r="215" ht="16.5" customHeight="1" s="50"/>
    <row r="216" ht="16.5" customHeight="1" s="50"/>
    <row r="217" ht="16.5" customHeight="1" s="50"/>
    <row r="218" ht="16.5" customHeight="1" s="50"/>
    <row r="219" ht="16.5" customHeight="1" s="50"/>
    <row r="220" ht="16.5" customHeight="1" s="50"/>
    <row r="221" ht="16.5" customHeight="1" s="50"/>
    <row r="222" ht="16.5" customHeight="1" s="50"/>
    <row r="223" ht="16.5" customHeight="1" s="50"/>
    <row r="224" ht="16.5" customHeight="1" s="50"/>
    <row r="225" ht="16.5" customHeight="1" s="50"/>
    <row r="226" ht="16.5" customHeight="1" s="50"/>
    <row r="227" ht="16.5" customHeight="1" s="50"/>
    <row r="228" ht="16.5" customHeight="1" s="50"/>
    <row r="229" ht="16.5" customHeight="1" s="50"/>
    <row r="230" ht="16.5" customHeight="1" s="50"/>
    <row r="231" ht="16.5" customHeight="1" s="50"/>
    <row r="232" ht="16.5" customHeight="1" s="50"/>
    <row r="233" ht="16.5" customHeight="1" s="50"/>
    <row r="234" ht="16.5" customHeight="1" s="50"/>
    <row r="235" ht="16.5" customHeight="1" s="50"/>
    <row r="236" ht="16.5" customHeight="1" s="50"/>
    <row r="237" ht="16.5" customHeight="1" s="50"/>
    <row r="238" ht="16.5" customHeight="1" s="50"/>
    <row r="239" ht="16.5" customHeight="1" s="50"/>
    <row r="240" ht="16.5" customHeight="1" s="50"/>
    <row r="241" ht="16.5" customHeight="1" s="50"/>
    <row r="242" ht="16.5" customHeight="1" s="50"/>
    <row r="243" ht="16.5" customHeight="1" s="50"/>
    <row r="244" ht="16.5" customHeight="1" s="50"/>
    <row r="245" ht="16.5" customHeight="1" s="50"/>
    <row r="246" ht="16.5" customHeight="1" s="50"/>
    <row r="247" ht="16.5" customHeight="1" s="50"/>
    <row r="248" ht="16.5" customHeight="1" s="50"/>
    <row r="249" ht="16.5" customHeight="1" s="50"/>
    <row r="250" ht="16.5" customHeight="1" s="50"/>
    <row r="251" ht="16.5" customHeight="1" s="50"/>
    <row r="252" ht="16.5" customHeight="1" s="50"/>
    <row r="253" ht="16.5" customHeight="1" s="50"/>
    <row r="254" ht="16.5" customHeight="1" s="50"/>
    <row r="255" ht="16.5" customHeight="1" s="50"/>
    <row r="256" ht="16.5" customHeight="1" s="50"/>
    <row r="257" ht="16.5" customHeight="1" s="50"/>
    <row r="258" ht="16.5" customHeight="1" s="50"/>
    <row r="259" ht="16.5" customHeight="1" s="50"/>
    <row r="260" ht="16.5" customHeight="1" s="50"/>
    <row r="261" ht="16.5" customHeight="1" s="50"/>
    <row r="262" ht="16.5" customHeight="1" s="50"/>
    <row r="263" ht="16.5" customHeight="1" s="50"/>
    <row r="264" ht="16.5" customHeight="1" s="50"/>
    <row r="265" ht="16.5" customHeight="1" s="50"/>
    <row r="266" ht="16.5" customHeight="1" s="50"/>
    <row r="267" ht="16.5" customHeight="1" s="50"/>
    <row r="268" ht="16.5" customHeight="1" s="50"/>
    <row r="269" ht="16.5" customHeight="1" s="50"/>
    <row r="270" ht="16.5" customHeight="1" s="50"/>
    <row r="271" ht="16.5" customHeight="1" s="50"/>
    <row r="272" ht="16.5" customHeight="1" s="50"/>
    <row r="273" ht="16.5" customHeight="1" s="50"/>
    <row r="274" ht="16.5" customHeight="1" s="50"/>
    <row r="275" ht="16.5" customHeight="1" s="50"/>
    <row r="276" ht="16.5" customHeight="1" s="50"/>
    <row r="277" ht="16.5" customHeight="1" s="50"/>
    <row r="278" ht="16.5" customHeight="1" s="50"/>
    <row r="279" ht="16.5" customHeight="1" s="50"/>
    <row r="280" ht="16.5" customHeight="1" s="50"/>
    <row r="281" ht="16.5" customHeight="1" s="50"/>
    <row r="282" ht="16.5" customHeight="1" s="50"/>
    <row r="283" ht="16.5" customHeight="1" s="50"/>
    <row r="284" ht="16.5" customHeight="1" s="50"/>
    <row r="285" ht="16.5" customHeight="1" s="50"/>
    <row r="286" ht="16.5" customHeight="1" s="50"/>
    <row r="287" ht="16.5" customHeight="1" s="50"/>
    <row r="288" ht="16.5" customHeight="1" s="50"/>
    <row r="289" ht="16.5" customHeight="1" s="50"/>
    <row r="290" ht="16.5" customHeight="1" s="50"/>
    <row r="291" ht="16.5" customHeight="1" s="50"/>
    <row r="292" ht="16.5" customHeight="1" s="50"/>
    <row r="293" ht="16.5" customHeight="1" s="50"/>
    <row r="294" ht="16.5" customHeight="1" s="50"/>
    <row r="295" ht="16.5" customHeight="1" s="50"/>
    <row r="296" ht="16.5" customHeight="1" s="50"/>
    <row r="297" ht="16.5" customHeight="1" s="50"/>
    <row r="298" ht="16.5" customHeight="1" s="50"/>
    <row r="299" ht="16.5" customHeight="1" s="50"/>
    <row r="300" ht="16.5" customHeight="1" s="50"/>
    <row r="301" ht="16.5" customHeight="1" s="50"/>
    <row r="302" ht="16.5" customHeight="1" s="50"/>
    <row r="303" ht="16.5" customHeight="1" s="50"/>
    <row r="304" ht="16.5" customHeight="1" s="50"/>
    <row r="305" ht="16.5" customHeight="1" s="50"/>
    <row r="306" ht="16.5" customHeight="1" s="50"/>
    <row r="307" ht="16.5" customHeight="1" s="50"/>
    <row r="308" ht="16.5" customHeight="1" s="50"/>
    <row r="309" ht="16.5" customHeight="1" s="50"/>
    <row r="310" ht="16.5" customHeight="1" s="50"/>
    <row r="311" ht="16.5" customHeight="1" s="50"/>
    <row r="312" ht="16.5" customHeight="1" s="50"/>
    <row r="313" ht="16.5" customHeight="1" s="50"/>
    <row r="314" ht="16.5" customHeight="1" s="50"/>
    <row r="315" ht="16.5" customHeight="1" s="50"/>
    <row r="316" ht="16.5" customHeight="1" s="50"/>
    <row r="317" ht="16.5" customHeight="1" s="50"/>
    <row r="318" ht="16.5" customHeight="1" s="50"/>
    <row r="319" ht="16.5" customHeight="1" s="50"/>
    <row r="320" ht="16.5" customHeight="1" s="50"/>
    <row r="321" ht="16.5" customHeight="1" s="50"/>
    <row r="322" ht="16.5" customHeight="1" s="50"/>
    <row r="323" ht="16.5" customHeight="1" s="50"/>
    <row r="324" ht="16.5" customHeight="1" s="50"/>
    <row r="325" ht="16.5" customHeight="1" s="50"/>
    <row r="326" ht="16.5" customHeight="1" s="50"/>
    <row r="327" ht="16.5" customHeight="1" s="50"/>
    <row r="328" ht="16.5" customHeight="1" s="50"/>
    <row r="329" ht="16.5" customHeight="1" s="50"/>
    <row r="330" ht="16.5" customHeight="1" s="50"/>
    <row r="331" ht="16.5" customHeight="1" s="50"/>
    <row r="332" ht="16.5" customHeight="1" s="50"/>
    <row r="333" ht="16.5" customHeight="1" s="50"/>
    <row r="334" ht="16.5" customHeight="1" s="50"/>
    <row r="335" ht="16.5" customHeight="1" s="50"/>
    <row r="336" ht="16.5" customHeight="1" s="50"/>
    <row r="337" ht="16.5" customHeight="1" s="50"/>
    <row r="338" ht="16.5" customHeight="1" s="50"/>
    <row r="339" ht="16.5" customHeight="1" s="50"/>
    <row r="340" ht="16.5" customHeight="1" s="50"/>
    <row r="341" ht="16.5" customHeight="1" s="50"/>
    <row r="342" ht="16.5" customHeight="1" s="50"/>
    <row r="343" ht="16.5" customHeight="1" s="50"/>
    <row r="344" ht="16.5" customHeight="1" s="50"/>
    <row r="345" ht="16.5" customHeight="1" s="50"/>
    <row r="346" ht="16.5" customHeight="1" s="50"/>
    <row r="347" ht="16.5" customHeight="1" s="50"/>
    <row r="348" ht="16.5" customHeight="1" s="50"/>
    <row r="349" ht="16.5" customHeight="1" s="50"/>
    <row r="350" ht="16.5" customHeight="1" s="50"/>
    <row r="351" ht="16.5" customHeight="1" s="50"/>
    <row r="352" ht="16.5" customHeight="1" s="50"/>
    <row r="353" ht="16.5" customHeight="1" s="50"/>
    <row r="354" ht="16.5" customHeight="1" s="50"/>
    <row r="355" ht="16.5" customHeight="1" s="50"/>
    <row r="356" ht="16.5" customHeight="1" s="50"/>
    <row r="357" ht="16.5" customHeight="1" s="50"/>
    <row r="358" ht="16.5" customHeight="1" s="50"/>
    <row r="359" ht="16.5" customHeight="1" s="50"/>
    <row r="360" ht="16.5" customHeight="1" s="50"/>
    <row r="361" ht="16.5" customHeight="1" s="50"/>
    <row r="362" ht="16.5" customHeight="1" s="50"/>
    <row r="363" ht="16.5" customHeight="1" s="50"/>
    <row r="364" ht="16.5" customHeight="1" s="50"/>
    <row r="365" ht="16.5" customHeight="1" s="50"/>
    <row r="366" ht="16.5" customHeight="1" s="50"/>
    <row r="367" ht="16.5" customHeight="1" s="50"/>
    <row r="368" ht="16.5" customHeight="1" s="50"/>
    <row r="369" ht="16.5" customHeight="1" s="50"/>
    <row r="370" ht="16.5" customHeight="1" s="50"/>
    <row r="371" ht="16.5" customHeight="1" s="50"/>
    <row r="372" ht="16.5" customHeight="1" s="50"/>
    <row r="373" ht="16.5" customHeight="1" s="50"/>
    <row r="374" ht="16.5" customHeight="1" s="50"/>
    <row r="375" ht="16.5" customHeight="1" s="50"/>
    <row r="376" ht="16.5" customHeight="1" s="50"/>
    <row r="377" ht="16.5" customHeight="1" s="50"/>
    <row r="378" ht="16.5" customHeight="1" s="50"/>
    <row r="379" ht="16.5" customHeight="1" s="50"/>
    <row r="380" ht="16.5" customHeight="1" s="50"/>
    <row r="381" ht="16.5" customHeight="1" s="50"/>
    <row r="382" ht="16.5" customHeight="1" s="50"/>
    <row r="383" ht="16.5" customHeight="1" s="50"/>
    <row r="384" ht="16.5" customHeight="1" s="50"/>
    <row r="385" ht="16.5" customHeight="1" s="50"/>
    <row r="386" ht="16.5" customHeight="1" s="50"/>
    <row r="387" ht="16.5" customHeight="1" s="50"/>
    <row r="388" ht="16.5" customHeight="1" s="50"/>
    <row r="389" ht="16.5" customHeight="1" s="50"/>
    <row r="390" ht="16.5" customHeight="1" s="50"/>
    <row r="391" ht="16.5" customHeight="1" s="50"/>
    <row r="392" ht="16.5" customHeight="1" s="50"/>
    <row r="393" ht="16.5" customHeight="1" s="50"/>
    <row r="394" ht="16.5" customHeight="1" s="50"/>
    <row r="395" ht="16.5" customHeight="1" s="50"/>
    <row r="396" ht="16.5" customHeight="1" s="50"/>
    <row r="397" ht="16.5" customHeight="1" s="50"/>
    <row r="398" ht="16.5" customHeight="1" s="50"/>
    <row r="399" ht="16.5" customHeight="1" s="50"/>
    <row r="400" ht="16.5" customHeight="1" s="50"/>
    <row r="401" ht="16.5" customHeight="1" s="50"/>
    <row r="402" ht="16.5" customHeight="1" s="50"/>
    <row r="403" ht="16.5" customHeight="1" s="50"/>
    <row r="404" ht="16.5" customHeight="1" s="50"/>
    <row r="405" ht="16.5" customHeight="1" s="50"/>
    <row r="406" ht="16.5" customHeight="1" s="50"/>
    <row r="407" ht="16.5" customHeight="1" s="50"/>
    <row r="408" ht="16.5" customHeight="1" s="50"/>
    <row r="409" ht="16.5" customHeight="1" s="50"/>
    <row r="410" ht="16.5" customHeight="1" s="50"/>
    <row r="411" ht="16.5" customHeight="1" s="50"/>
    <row r="412" ht="16.5" customHeight="1" s="50"/>
    <row r="413" ht="16.5" customHeight="1" s="50"/>
    <row r="414" ht="16.5" customHeight="1" s="50"/>
    <row r="415" ht="16.5" customHeight="1" s="50"/>
    <row r="416" ht="16.5" customHeight="1" s="50"/>
    <row r="417" ht="16.5" customHeight="1" s="50"/>
    <row r="418" ht="16.5" customHeight="1" s="50"/>
    <row r="419" ht="16.5" customHeight="1" s="50"/>
    <row r="420" ht="16.5" customHeight="1" s="50"/>
    <row r="421" ht="16.5" customHeight="1" s="50"/>
    <row r="422" ht="16.5" customHeight="1" s="50"/>
    <row r="423" ht="16.5" customHeight="1" s="50"/>
    <row r="424" ht="16.5" customHeight="1" s="50"/>
    <row r="425" ht="16.5" customHeight="1" s="50"/>
    <row r="426" ht="16.5" customHeight="1" s="50"/>
    <row r="427" ht="16.5" customHeight="1" s="50"/>
    <row r="428" ht="16.5" customHeight="1" s="50"/>
    <row r="429" ht="16.5" customHeight="1" s="50"/>
    <row r="430" ht="16.5" customHeight="1" s="50"/>
    <row r="431" ht="16.5" customHeight="1" s="50"/>
    <row r="432" ht="16.5" customHeight="1" s="50"/>
    <row r="433" ht="16.5" customHeight="1" s="50"/>
    <row r="434" ht="16.5" customHeight="1" s="50"/>
    <row r="435" ht="16.5" customHeight="1" s="50"/>
    <row r="436" ht="16.5" customHeight="1" s="50"/>
    <row r="437" ht="16.5" customHeight="1" s="50"/>
    <row r="438" ht="16.5" customHeight="1" s="50"/>
    <row r="439" ht="16.5" customHeight="1" s="50"/>
    <row r="440" ht="16.5" customHeight="1" s="50"/>
    <row r="441" ht="16.5" customHeight="1" s="50"/>
    <row r="442" ht="16.5" customHeight="1" s="50"/>
    <row r="443" ht="16.5" customHeight="1" s="50"/>
    <row r="444" ht="16.5" customHeight="1" s="50"/>
    <row r="445" ht="16.5" customHeight="1" s="50"/>
    <row r="446" ht="16.5" customHeight="1" s="50"/>
    <row r="447" ht="16.5" customHeight="1" s="50"/>
    <row r="448" ht="16.5" customHeight="1" s="50"/>
    <row r="449" ht="16.5" customHeight="1" s="50"/>
    <row r="450" ht="16.5" customHeight="1" s="50"/>
    <row r="451" ht="16.5" customHeight="1" s="50"/>
    <row r="452" ht="16.5" customHeight="1" s="50"/>
    <row r="453" ht="16.5" customHeight="1" s="50"/>
    <row r="454" ht="16.5" customHeight="1" s="50"/>
    <row r="455" ht="16.5" customHeight="1" s="50"/>
    <row r="456" ht="16.5" customHeight="1" s="50"/>
    <row r="457" ht="16.5" customHeight="1" s="50"/>
    <row r="458" ht="16.5" customHeight="1" s="50"/>
    <row r="459" ht="16.5" customHeight="1" s="50"/>
    <row r="460" ht="16.5" customHeight="1" s="50"/>
    <row r="461" ht="16.5" customHeight="1" s="50"/>
    <row r="462" ht="16.5" customHeight="1" s="50"/>
    <row r="463" ht="16.5" customHeight="1" s="50"/>
    <row r="464" ht="16.5" customHeight="1" s="50"/>
    <row r="465" ht="16.5" customHeight="1" s="50"/>
    <row r="466" ht="16.5" customHeight="1" s="50"/>
    <row r="467" ht="16.5" customHeight="1" s="50"/>
    <row r="468" ht="16.5" customHeight="1" s="50"/>
    <row r="469" ht="16.5" customHeight="1" s="50"/>
    <row r="470" ht="16.5" customHeight="1" s="50"/>
    <row r="471" ht="16.5" customHeight="1" s="50"/>
    <row r="472" ht="16.5" customHeight="1" s="50"/>
    <row r="473" ht="16.5" customHeight="1" s="50"/>
    <row r="474" ht="16.5" customHeight="1" s="50"/>
    <row r="475" ht="16.5" customHeight="1" s="50"/>
    <row r="476" ht="16.5" customHeight="1" s="50"/>
    <row r="477" ht="16.5" customHeight="1" s="50"/>
    <row r="478" ht="16.5" customHeight="1" s="50"/>
    <row r="479" ht="16.5" customHeight="1" s="50"/>
    <row r="480" ht="16.5" customHeight="1" s="50"/>
    <row r="481" ht="16.5" customHeight="1" s="50"/>
    <row r="482" ht="16.5" customHeight="1" s="50"/>
    <row r="483" ht="16.5" customHeight="1" s="50"/>
    <row r="484" ht="16.5" customHeight="1" s="50"/>
    <row r="485" ht="16.5" customHeight="1" s="50"/>
    <row r="486" ht="16.5" customHeight="1" s="50"/>
    <row r="487" ht="16.5" customHeight="1" s="50"/>
    <row r="488" ht="16.5" customHeight="1" s="50"/>
    <row r="489" ht="16.5" customHeight="1" s="50"/>
    <row r="490" ht="16.5" customHeight="1" s="50"/>
    <row r="491" ht="16.5" customHeight="1" s="50"/>
    <row r="492" ht="16.5" customHeight="1" s="50"/>
    <row r="493" ht="16.5" customHeight="1" s="50"/>
    <row r="494" ht="16.5" customHeight="1" s="50"/>
    <row r="495" ht="16.5" customHeight="1" s="50"/>
    <row r="496" ht="16.5" customHeight="1" s="50"/>
    <row r="497" ht="16.5" customHeight="1" s="50"/>
    <row r="498" ht="16.5" customHeight="1" s="50"/>
    <row r="499" ht="16.5" customHeight="1" s="50"/>
    <row r="500" ht="16.5" customHeight="1" s="50"/>
    <row r="501" ht="16.5" customHeight="1" s="50"/>
    <row r="502" ht="16.5" customHeight="1" s="50"/>
    <row r="503" ht="16.5" customHeight="1" s="50"/>
    <row r="504" ht="16.5" customHeight="1" s="50"/>
    <row r="505" ht="16.5" customHeight="1" s="50"/>
    <row r="506" ht="16.5" customHeight="1" s="50"/>
    <row r="507" ht="16.5" customHeight="1" s="50"/>
    <row r="508" ht="16.5" customHeight="1" s="50"/>
    <row r="509" ht="16.5" customHeight="1" s="50"/>
    <row r="510" ht="16.5" customHeight="1" s="50"/>
    <row r="511" ht="16.5" customHeight="1" s="50"/>
    <row r="512" ht="16.5" customHeight="1" s="50"/>
    <row r="513" ht="16.5" customHeight="1" s="50"/>
    <row r="514" ht="16.5" customHeight="1" s="50"/>
    <row r="515" ht="16.5" customHeight="1" s="50"/>
    <row r="516" ht="16.5" customHeight="1" s="50"/>
    <row r="517" ht="16.5" customHeight="1" s="50"/>
    <row r="518" ht="16.5" customHeight="1" s="50"/>
    <row r="519" ht="16.5" customHeight="1" s="50"/>
    <row r="520" ht="16.5" customHeight="1" s="50"/>
    <row r="521" ht="16.5" customHeight="1" s="50"/>
    <row r="522" ht="16.5" customHeight="1" s="50"/>
    <row r="523" ht="16.5" customHeight="1" s="50"/>
    <row r="524" ht="16.5" customHeight="1" s="50"/>
    <row r="525" ht="16.5" customHeight="1" s="50"/>
    <row r="526" ht="16.5" customHeight="1" s="50"/>
    <row r="527" ht="16.5" customHeight="1" s="50"/>
    <row r="528" ht="16.5" customHeight="1" s="50"/>
    <row r="529" ht="16.5" customHeight="1" s="50"/>
    <row r="530" ht="16.5" customHeight="1" s="50"/>
    <row r="531" ht="16.5" customHeight="1" s="50"/>
    <row r="532" ht="16.5" customHeight="1" s="50"/>
    <row r="533" ht="16.5" customHeight="1" s="50"/>
    <row r="534" ht="16.5" customHeight="1" s="50"/>
    <row r="535" ht="16.5" customHeight="1" s="50"/>
    <row r="536" ht="16.5" customHeight="1" s="50"/>
    <row r="537" ht="16.5" customHeight="1" s="50"/>
    <row r="538" ht="16.5" customHeight="1" s="50"/>
    <row r="539" ht="16.5" customHeight="1" s="50"/>
    <row r="540" ht="16.5" customHeight="1" s="50"/>
    <row r="541" ht="16.5" customHeight="1" s="50"/>
    <row r="542" ht="16.5" customHeight="1" s="50"/>
    <row r="543" ht="16.5" customHeight="1" s="50"/>
    <row r="544" ht="16.5" customHeight="1" s="50"/>
    <row r="545" ht="16.5" customHeight="1" s="50"/>
    <row r="546" ht="16.5" customHeight="1" s="50"/>
    <row r="547" ht="16.5" customHeight="1" s="50"/>
    <row r="548" ht="16.5" customHeight="1" s="50"/>
    <row r="549" ht="16.5" customHeight="1" s="50"/>
    <row r="550" ht="16.5" customHeight="1" s="50"/>
    <row r="551" ht="16.5" customHeight="1" s="50"/>
    <row r="552" ht="16.5" customHeight="1" s="50"/>
    <row r="553" ht="16.5" customHeight="1" s="50"/>
    <row r="554" ht="16.5" customHeight="1" s="50"/>
    <row r="555" ht="16.5" customHeight="1" s="50"/>
    <row r="556" ht="16.5" customHeight="1" s="50"/>
    <row r="557" ht="16.5" customHeight="1" s="50"/>
    <row r="558" ht="16.5" customHeight="1" s="50"/>
    <row r="559" ht="16.5" customHeight="1" s="50"/>
    <row r="560" ht="16.5" customHeight="1" s="50"/>
    <row r="561" ht="16.5" customHeight="1" s="50"/>
    <row r="562" ht="16.5" customHeight="1" s="50"/>
    <row r="563" ht="16.5" customHeight="1" s="50"/>
    <row r="564" ht="16.5" customHeight="1" s="50"/>
    <row r="565" ht="16.5" customHeight="1" s="50"/>
    <row r="566" ht="16.5" customHeight="1" s="50"/>
    <row r="567" ht="16.5" customHeight="1" s="50"/>
    <row r="568" ht="16.5" customHeight="1" s="50"/>
    <row r="569" ht="16.5" customHeight="1" s="50"/>
    <row r="570" ht="16.5" customHeight="1" s="50"/>
    <row r="571" ht="16.5" customHeight="1" s="50"/>
    <row r="572" ht="16.5" customHeight="1" s="50"/>
    <row r="573" ht="16.5" customHeight="1" s="50"/>
    <row r="574" ht="16.5" customHeight="1" s="50"/>
    <row r="575" ht="16.5" customHeight="1" s="50"/>
    <row r="576" ht="16.5" customHeight="1" s="50"/>
    <row r="577" ht="16.5" customHeight="1" s="50"/>
    <row r="578" ht="16.5" customHeight="1" s="50"/>
    <row r="579" ht="16.5" customHeight="1" s="50"/>
    <row r="580" ht="16.5" customHeight="1" s="50"/>
    <row r="581" ht="16.5" customHeight="1" s="50"/>
    <row r="582" ht="16.5" customHeight="1" s="50"/>
    <row r="583" ht="16.5" customHeight="1" s="50"/>
    <row r="584" ht="16.5" customHeight="1" s="50"/>
    <row r="585" ht="16.5" customHeight="1" s="50"/>
    <row r="586" ht="16.5" customHeight="1" s="50"/>
    <row r="587" ht="16.5" customHeight="1" s="50"/>
    <row r="588" ht="16.5" customHeight="1" s="50"/>
    <row r="589" ht="16.5" customHeight="1" s="50"/>
    <row r="590" ht="16.5" customHeight="1" s="50"/>
    <row r="591" ht="16.5" customHeight="1" s="50"/>
    <row r="592" ht="16.5" customHeight="1" s="50"/>
    <row r="593" ht="16.5" customHeight="1" s="50"/>
    <row r="594" ht="16.5" customHeight="1" s="50"/>
    <row r="595" ht="16.5" customHeight="1" s="50"/>
    <row r="596" ht="16.5" customHeight="1" s="50"/>
    <row r="597" ht="16.5" customHeight="1" s="50"/>
    <row r="598" ht="16.5" customHeight="1" s="50"/>
    <row r="599" ht="16.5" customHeight="1" s="50"/>
    <row r="600" ht="16.5" customHeight="1" s="50"/>
    <row r="601" ht="16.5" customHeight="1" s="50"/>
    <row r="602" ht="16.5" customHeight="1" s="50"/>
    <row r="603" ht="16.5" customHeight="1" s="50"/>
    <row r="604" ht="16.5" customHeight="1" s="50"/>
    <row r="605" ht="16.5" customHeight="1" s="50"/>
    <row r="606" ht="16.5" customHeight="1" s="50"/>
    <row r="607" ht="16.5" customHeight="1" s="50"/>
    <row r="608" ht="16.5" customHeight="1" s="50"/>
    <row r="609" ht="16.5" customHeight="1" s="50"/>
    <row r="610" ht="16.5" customHeight="1" s="50"/>
    <row r="611" ht="16.5" customHeight="1" s="50"/>
    <row r="612" ht="16.5" customHeight="1" s="50"/>
    <row r="613" ht="16.5" customHeight="1" s="50"/>
    <row r="614" ht="16.5" customHeight="1" s="50"/>
    <row r="615" ht="16.5" customHeight="1" s="50"/>
    <row r="616" ht="16.5" customHeight="1" s="50"/>
    <row r="617" ht="16.5" customHeight="1" s="50"/>
    <row r="618" ht="16.5" customHeight="1" s="50"/>
    <row r="619" ht="16.5" customHeight="1" s="50"/>
    <row r="620" ht="16.5" customHeight="1" s="50"/>
    <row r="621" ht="16.5" customHeight="1" s="50"/>
    <row r="622" ht="16.5" customHeight="1" s="50"/>
    <row r="623" ht="16.5" customHeight="1" s="50"/>
    <row r="624" ht="16.5" customHeight="1" s="50"/>
    <row r="625" ht="16.5" customHeight="1" s="50"/>
    <row r="626" ht="16.5" customHeight="1" s="50"/>
    <row r="627" ht="16.5" customHeight="1" s="50"/>
    <row r="628" ht="16.5" customHeight="1" s="50"/>
    <row r="629" ht="16.5" customHeight="1" s="50"/>
    <row r="630" ht="16.5" customHeight="1" s="50"/>
    <row r="631" ht="16.5" customHeight="1" s="50"/>
    <row r="632" ht="16.5" customHeight="1" s="50"/>
    <row r="633" ht="16.5" customHeight="1" s="50"/>
    <row r="634" ht="16.5" customHeight="1" s="50"/>
    <row r="635" ht="16.5" customHeight="1" s="50"/>
    <row r="636" ht="16.5" customHeight="1" s="50"/>
    <row r="637" ht="16.5" customHeight="1" s="50"/>
    <row r="638" ht="16.5" customHeight="1" s="50"/>
    <row r="639" ht="16.5" customHeight="1" s="50"/>
    <row r="640" ht="16.5" customHeight="1" s="50"/>
    <row r="641" ht="16.5" customHeight="1" s="50"/>
    <row r="642" ht="16.5" customHeight="1" s="50"/>
    <row r="643" ht="16.5" customHeight="1" s="50"/>
    <row r="644" ht="16.5" customHeight="1" s="50"/>
    <row r="645" ht="16.5" customHeight="1" s="50"/>
    <row r="646" ht="16.5" customHeight="1" s="50"/>
    <row r="647" ht="16.5" customHeight="1" s="50"/>
    <row r="648" ht="16.5" customHeight="1" s="50"/>
    <row r="649" ht="16.5" customHeight="1" s="50"/>
    <row r="650" ht="16.5" customHeight="1" s="50"/>
    <row r="651" ht="16.5" customHeight="1" s="50"/>
    <row r="652" ht="16.5" customHeight="1" s="50"/>
    <row r="653" ht="16.5" customHeight="1" s="50"/>
    <row r="654" ht="16.5" customHeight="1" s="50"/>
    <row r="655" ht="16.5" customHeight="1" s="50"/>
    <row r="656" ht="16.5" customHeight="1" s="50"/>
    <row r="657" ht="16.5" customHeight="1" s="50"/>
    <row r="658" ht="16.5" customHeight="1" s="50"/>
    <row r="659" ht="16.5" customHeight="1" s="50"/>
    <row r="660" ht="16.5" customHeight="1" s="50"/>
    <row r="661" ht="16.5" customHeight="1" s="50"/>
    <row r="662" ht="16.5" customHeight="1" s="50"/>
    <row r="663" ht="16.5" customHeight="1" s="50"/>
    <row r="664" ht="16.5" customHeight="1" s="50"/>
    <row r="665" ht="16.5" customHeight="1" s="50"/>
    <row r="666" ht="16.5" customHeight="1" s="50"/>
    <row r="667" ht="16.5" customHeight="1" s="50"/>
    <row r="668" ht="16.5" customHeight="1" s="50"/>
    <row r="669" ht="16.5" customHeight="1" s="50"/>
    <row r="670" ht="16.5" customHeight="1" s="50"/>
    <row r="671" ht="16.5" customHeight="1" s="50"/>
    <row r="672" ht="16.5" customHeight="1" s="50"/>
    <row r="673" ht="16.5" customHeight="1" s="50"/>
    <row r="674" ht="16.5" customHeight="1" s="50"/>
    <row r="675" ht="16.5" customHeight="1" s="50"/>
    <row r="676" ht="16.5" customHeight="1" s="50"/>
    <row r="677" ht="16.5" customHeight="1" s="50"/>
    <row r="678" ht="16.5" customHeight="1" s="50"/>
    <row r="679" ht="16.5" customHeight="1" s="50"/>
    <row r="680" ht="16.5" customHeight="1" s="50"/>
    <row r="681" ht="16.5" customHeight="1" s="50"/>
    <row r="682" ht="16.5" customHeight="1" s="50"/>
    <row r="683" ht="16.5" customHeight="1" s="50"/>
    <row r="684" ht="16.5" customHeight="1" s="50"/>
    <row r="685" ht="16.5" customHeight="1" s="50"/>
    <row r="686" ht="16.5" customHeight="1" s="50"/>
    <row r="687" ht="16.5" customHeight="1" s="50"/>
    <row r="688" ht="16.5" customHeight="1" s="50"/>
    <row r="689" ht="16.5" customHeight="1" s="50"/>
    <row r="690" ht="16.5" customHeight="1" s="50"/>
    <row r="691" ht="16.5" customHeight="1" s="50"/>
    <row r="692" ht="16.5" customHeight="1" s="50"/>
    <row r="693" ht="16.5" customHeight="1" s="50"/>
    <row r="694" ht="16.5" customHeight="1" s="50"/>
    <row r="695" ht="16.5" customHeight="1" s="50"/>
    <row r="696" ht="16.5" customHeight="1" s="50"/>
    <row r="697" ht="16.5" customHeight="1" s="50"/>
    <row r="698" ht="16.5" customHeight="1" s="50"/>
    <row r="699" ht="16.5" customHeight="1" s="50"/>
    <row r="700" ht="16.5" customHeight="1" s="50"/>
    <row r="701" ht="16.5" customHeight="1" s="50"/>
    <row r="702" ht="16.5" customHeight="1" s="50"/>
    <row r="703" ht="16.5" customHeight="1" s="50"/>
    <row r="704" ht="16.5" customHeight="1" s="50"/>
    <row r="705" ht="16.5" customHeight="1" s="50"/>
    <row r="706" ht="16.5" customHeight="1" s="50"/>
    <row r="707" ht="16.5" customHeight="1" s="50"/>
    <row r="708" ht="16.5" customHeight="1" s="50"/>
    <row r="709" ht="16.5" customHeight="1" s="50"/>
    <row r="710" ht="16.5" customHeight="1" s="50"/>
    <row r="711" ht="16.5" customHeight="1" s="50"/>
    <row r="712" ht="16.5" customHeight="1" s="50"/>
    <row r="713" ht="16.5" customHeight="1" s="50"/>
    <row r="714" ht="16.5" customHeight="1" s="50"/>
    <row r="715" ht="16.5" customHeight="1" s="50"/>
    <row r="716" ht="16.5" customHeight="1" s="50"/>
    <row r="717" ht="16.5" customHeight="1" s="50"/>
    <row r="718" ht="16.5" customHeight="1" s="50"/>
    <row r="719" ht="16.5" customHeight="1" s="50"/>
    <row r="720" ht="16.5" customHeight="1" s="50"/>
    <row r="721" ht="16.5" customHeight="1" s="50"/>
    <row r="722" ht="16.5" customHeight="1" s="50"/>
    <row r="723" ht="16.5" customHeight="1" s="50"/>
    <row r="724" ht="16.5" customHeight="1" s="50"/>
    <row r="725" ht="16.5" customHeight="1" s="50"/>
    <row r="726" ht="16.5" customHeight="1" s="50"/>
    <row r="727" ht="16.5" customHeight="1" s="50"/>
    <row r="728" ht="16.5" customHeight="1" s="50"/>
    <row r="729" ht="16.5" customHeight="1" s="50"/>
    <row r="730" ht="16.5" customHeight="1" s="50"/>
    <row r="731" ht="16.5" customHeight="1" s="50"/>
    <row r="732" ht="16.5" customHeight="1" s="50"/>
    <row r="733" ht="16.5" customHeight="1" s="50"/>
    <row r="734" ht="16.5" customHeight="1" s="50"/>
    <row r="735" ht="16.5" customHeight="1" s="50"/>
    <row r="736" ht="16.5" customHeight="1" s="50"/>
    <row r="737" ht="16.5" customHeight="1" s="50"/>
    <row r="738" ht="16.5" customHeight="1" s="50"/>
    <row r="739" ht="16.5" customHeight="1" s="50"/>
    <row r="740" ht="16.5" customHeight="1" s="50"/>
    <row r="741" ht="16.5" customHeight="1" s="50"/>
    <row r="742" ht="16.5" customHeight="1" s="50"/>
    <row r="743" ht="16.5" customHeight="1" s="50"/>
    <row r="744" ht="16.5" customHeight="1" s="50"/>
    <row r="745" ht="16.5" customHeight="1" s="50"/>
    <row r="746" ht="16.5" customHeight="1" s="50"/>
    <row r="747" ht="16.5" customHeight="1" s="50"/>
    <row r="748" ht="16.5" customHeight="1" s="50"/>
    <row r="749" ht="16.5" customHeight="1" s="50"/>
    <row r="750" ht="16.5" customHeight="1" s="50"/>
    <row r="751" ht="16.5" customHeight="1" s="50"/>
    <row r="752" ht="16.5" customHeight="1" s="50"/>
    <row r="753" ht="16.5" customHeight="1" s="50"/>
    <row r="754" ht="16.5" customHeight="1" s="50"/>
    <row r="755" ht="16.5" customHeight="1" s="50"/>
    <row r="756" ht="16.5" customHeight="1" s="50"/>
    <row r="757" ht="16.5" customHeight="1" s="50"/>
    <row r="758" ht="16.5" customHeight="1" s="50"/>
    <row r="759" ht="16.5" customHeight="1" s="50"/>
    <row r="760" ht="16.5" customHeight="1" s="50"/>
    <row r="761" ht="16.5" customHeight="1" s="50"/>
    <row r="762" ht="16.5" customHeight="1" s="50"/>
    <row r="763" ht="16.5" customHeight="1" s="50"/>
    <row r="764" ht="16.5" customHeight="1" s="50"/>
    <row r="765" ht="16.5" customHeight="1" s="50"/>
    <row r="766" ht="16.5" customHeight="1" s="50"/>
    <row r="767" ht="16.5" customHeight="1" s="50"/>
    <row r="768" ht="16.5" customHeight="1" s="50"/>
    <row r="769" ht="16.5" customHeight="1" s="50"/>
    <row r="770" ht="16.5" customHeight="1" s="50"/>
    <row r="771" ht="16.5" customHeight="1" s="50"/>
    <row r="772" ht="16.5" customHeight="1" s="50"/>
    <row r="773" ht="16.5" customHeight="1" s="50"/>
    <row r="774" ht="16.5" customHeight="1" s="50"/>
    <row r="775" ht="16.5" customHeight="1" s="50"/>
    <row r="776" ht="16.5" customHeight="1" s="50"/>
    <row r="777" ht="16.5" customHeight="1" s="50"/>
    <row r="778" ht="16.5" customHeight="1" s="50"/>
    <row r="779" ht="16.5" customHeight="1" s="50"/>
    <row r="780" ht="16.5" customHeight="1" s="50"/>
    <row r="781" ht="16.5" customHeight="1" s="50"/>
    <row r="782" ht="16.5" customHeight="1" s="50"/>
    <row r="783" ht="16.5" customHeight="1" s="50"/>
    <row r="784" ht="16.5" customHeight="1" s="50"/>
    <row r="785" ht="16.5" customHeight="1" s="50"/>
    <row r="786" ht="16.5" customHeight="1" s="50"/>
    <row r="787" ht="16.5" customHeight="1" s="50"/>
    <row r="788" ht="16.5" customHeight="1" s="50"/>
    <row r="789" ht="16.5" customHeight="1" s="50"/>
    <row r="790" ht="16.5" customHeight="1" s="50"/>
    <row r="791" ht="16.5" customHeight="1" s="50"/>
    <row r="792" ht="16.5" customHeight="1" s="50"/>
    <row r="793" ht="16.5" customHeight="1" s="50"/>
    <row r="794" ht="16.5" customHeight="1" s="50"/>
    <row r="795" ht="16.5" customHeight="1" s="50"/>
    <row r="796" ht="16.5" customHeight="1" s="50"/>
    <row r="797" ht="16.5" customHeight="1" s="50"/>
    <row r="798" ht="16.5" customHeight="1" s="50"/>
    <row r="799" ht="16.5" customHeight="1" s="50"/>
    <row r="800" ht="16.5" customHeight="1" s="50"/>
    <row r="801" ht="16.5" customHeight="1" s="50"/>
    <row r="802" ht="16.5" customHeight="1" s="50"/>
    <row r="803" ht="16.5" customHeight="1" s="50"/>
    <row r="804" ht="16.5" customHeight="1" s="50"/>
    <row r="805" ht="16.5" customHeight="1" s="50"/>
    <row r="806" ht="16.5" customHeight="1" s="50"/>
    <row r="807" ht="16.5" customHeight="1" s="50"/>
    <row r="808" ht="16.5" customHeight="1" s="50"/>
    <row r="809" ht="16.5" customHeight="1" s="50"/>
    <row r="810" ht="16.5" customHeight="1" s="50"/>
    <row r="811" ht="16.5" customHeight="1" s="50"/>
    <row r="812" ht="16.5" customHeight="1" s="50"/>
    <row r="813" ht="16.5" customHeight="1" s="50"/>
    <row r="814" ht="16.5" customHeight="1" s="50"/>
    <row r="815" ht="16.5" customHeight="1" s="50"/>
    <row r="816" ht="16.5" customHeight="1" s="50"/>
    <row r="817" ht="16.5" customHeight="1" s="50"/>
    <row r="818" ht="16.5" customHeight="1" s="50"/>
    <row r="819" ht="16.5" customHeight="1" s="50"/>
    <row r="820" ht="16.5" customHeight="1" s="50"/>
    <row r="821" ht="16.5" customHeight="1" s="50"/>
    <row r="822" ht="16.5" customHeight="1" s="50"/>
    <row r="823" ht="16.5" customHeight="1" s="50"/>
    <row r="824" ht="16.5" customHeight="1" s="50"/>
    <row r="825" ht="16.5" customHeight="1" s="50"/>
    <row r="826" ht="16.5" customHeight="1" s="50"/>
    <row r="827" ht="16.5" customHeight="1" s="50"/>
    <row r="828" ht="16.5" customHeight="1" s="50"/>
    <row r="829" ht="16.5" customHeight="1" s="50"/>
    <row r="830" ht="16.5" customHeight="1" s="50"/>
    <row r="831" ht="16.5" customHeight="1" s="50"/>
    <row r="832" ht="16.5" customHeight="1" s="50"/>
    <row r="833" ht="16.5" customHeight="1" s="50"/>
    <row r="834" ht="16.5" customHeight="1" s="50"/>
    <row r="835" ht="16.5" customHeight="1" s="50"/>
    <row r="836" ht="16.5" customHeight="1" s="50"/>
    <row r="837" ht="16.5" customHeight="1" s="50"/>
    <row r="838" ht="16.5" customHeight="1" s="50"/>
    <row r="839" ht="16.5" customHeight="1" s="50"/>
    <row r="840" ht="16.5" customHeight="1" s="50"/>
    <row r="841" ht="16.5" customHeight="1" s="50"/>
    <row r="842" ht="16.5" customHeight="1" s="50"/>
    <row r="843" ht="16.5" customHeight="1" s="50"/>
    <row r="844" ht="16.5" customHeight="1" s="50"/>
    <row r="845" ht="16.5" customHeight="1" s="50"/>
    <row r="846" ht="16.5" customHeight="1" s="50"/>
    <row r="847" ht="16.5" customHeight="1" s="50"/>
    <row r="848" ht="16.5" customHeight="1" s="50"/>
    <row r="849" ht="16.5" customHeight="1" s="50"/>
    <row r="850" ht="16.5" customHeight="1" s="50"/>
    <row r="851" ht="16.5" customHeight="1" s="50"/>
    <row r="852" ht="16.5" customHeight="1" s="50"/>
    <row r="853" ht="16.5" customHeight="1" s="50"/>
    <row r="854" ht="16.5" customHeight="1" s="50"/>
    <row r="855" ht="16.5" customHeight="1" s="50"/>
    <row r="856" ht="16.5" customHeight="1" s="50"/>
    <row r="857" ht="16.5" customHeight="1" s="50"/>
    <row r="858" ht="16.5" customHeight="1" s="50"/>
    <row r="859" ht="16.5" customHeight="1" s="50"/>
    <row r="860" ht="16.5" customHeight="1" s="50"/>
    <row r="861" ht="16.5" customHeight="1" s="50"/>
    <row r="862" ht="16.5" customHeight="1" s="50"/>
    <row r="863" ht="16.5" customHeight="1" s="50"/>
    <row r="864" ht="16.5" customHeight="1" s="50"/>
    <row r="865" ht="16.5" customHeight="1" s="50"/>
    <row r="866" ht="16.5" customHeight="1" s="50"/>
    <row r="867" ht="16.5" customHeight="1" s="50"/>
    <row r="868" ht="16.5" customHeight="1" s="50"/>
    <row r="869" ht="16.5" customHeight="1" s="50"/>
    <row r="870" ht="16.5" customHeight="1" s="50"/>
    <row r="871" ht="16.5" customHeight="1" s="50"/>
    <row r="872" ht="16.5" customHeight="1" s="50"/>
    <row r="873" ht="16.5" customHeight="1" s="50"/>
    <row r="874" ht="16.5" customHeight="1" s="50"/>
    <row r="875" ht="16.5" customHeight="1" s="50"/>
    <row r="876" ht="16.5" customHeight="1" s="50"/>
    <row r="877" ht="16.5" customHeight="1" s="50"/>
    <row r="878" ht="16.5" customHeight="1" s="50"/>
    <row r="879" ht="16.5" customHeight="1" s="50"/>
    <row r="880" ht="16.5" customHeight="1" s="50"/>
    <row r="881" ht="16.5" customHeight="1" s="50"/>
    <row r="882" ht="16.5" customHeight="1" s="50"/>
    <row r="883" ht="16.5" customHeight="1" s="50"/>
    <row r="884" ht="16.5" customHeight="1" s="50"/>
    <row r="885" ht="16.5" customHeight="1" s="50"/>
    <row r="886" ht="16.5" customHeight="1" s="50"/>
    <row r="887" ht="16.5" customHeight="1" s="50"/>
    <row r="888" ht="16.5" customHeight="1" s="50"/>
    <row r="889" ht="16.5" customHeight="1" s="50"/>
    <row r="890" ht="16.5" customHeight="1" s="50"/>
    <row r="891" ht="16.5" customHeight="1" s="50"/>
    <row r="892" ht="16.5" customHeight="1" s="50"/>
    <row r="893" ht="16.5" customHeight="1" s="50"/>
    <row r="894" ht="16.5" customHeight="1" s="50"/>
    <row r="895" ht="16.5" customHeight="1" s="50"/>
    <row r="896" ht="16.5" customHeight="1" s="50"/>
    <row r="897" ht="16.5" customHeight="1" s="50"/>
    <row r="898" ht="16.5" customHeight="1" s="50"/>
    <row r="899" ht="16.5" customHeight="1" s="50"/>
    <row r="900" ht="16.5" customHeight="1" s="50"/>
    <row r="901" ht="16.5" customHeight="1" s="50"/>
    <row r="902" ht="16.5" customHeight="1" s="50"/>
    <row r="903" ht="16.5" customHeight="1" s="50"/>
    <row r="904" ht="16.5" customHeight="1" s="50"/>
    <row r="905" ht="16.5" customHeight="1" s="50"/>
    <row r="906" ht="16.5" customHeight="1" s="50"/>
    <row r="907" ht="16.5" customHeight="1" s="50"/>
    <row r="908" ht="16.5" customHeight="1" s="50"/>
    <row r="909" ht="16.5" customHeight="1" s="50"/>
    <row r="910" ht="16.5" customHeight="1" s="50"/>
    <row r="911" ht="16.5" customHeight="1" s="50"/>
    <row r="912" ht="16.5" customHeight="1" s="50"/>
    <row r="913" ht="16.5" customHeight="1" s="50"/>
    <row r="914" ht="16.5" customHeight="1" s="50"/>
    <row r="915" ht="16.5" customHeight="1" s="50"/>
    <row r="916" ht="16.5" customHeight="1" s="50"/>
    <row r="917" ht="16.5" customHeight="1" s="50"/>
    <row r="918" ht="16.5" customHeight="1" s="50"/>
    <row r="919" ht="16.5" customHeight="1" s="50"/>
    <row r="920" ht="16.5" customHeight="1" s="50"/>
    <row r="921" ht="16.5" customHeight="1" s="50"/>
    <row r="922" ht="16.5" customHeight="1" s="50"/>
    <row r="923" ht="16.5" customHeight="1" s="50"/>
    <row r="924" ht="16.5" customHeight="1" s="50"/>
    <row r="925" ht="16.5" customHeight="1" s="50"/>
    <row r="926" ht="16.5" customHeight="1" s="50"/>
    <row r="927" ht="16.5" customHeight="1" s="50"/>
    <row r="928" ht="16.5" customHeight="1" s="50"/>
    <row r="929" ht="16.5" customHeight="1" s="50"/>
    <row r="930" ht="16.5" customHeight="1" s="50"/>
    <row r="931" ht="16.5" customHeight="1" s="50"/>
    <row r="932" ht="16.5" customHeight="1" s="50"/>
    <row r="933" ht="16.5" customHeight="1" s="50"/>
    <row r="934" ht="16.5" customHeight="1" s="50"/>
    <row r="935" ht="16.5" customHeight="1" s="50"/>
    <row r="936" ht="16.5" customHeight="1" s="50"/>
    <row r="937" ht="16.5" customHeight="1" s="50"/>
    <row r="938" ht="16.5" customHeight="1" s="50"/>
    <row r="939" ht="16.5" customHeight="1" s="50"/>
    <row r="940" ht="16.5" customHeight="1" s="50"/>
    <row r="941" ht="16.5" customHeight="1" s="50"/>
    <row r="942" ht="16.5" customHeight="1" s="50"/>
    <row r="943" ht="16.5" customHeight="1" s="50"/>
    <row r="944" ht="16.5" customHeight="1" s="50"/>
    <row r="945" ht="16.5" customHeight="1" s="50"/>
    <row r="946" ht="16.5" customHeight="1" s="50"/>
    <row r="947" ht="16.5" customHeight="1" s="50"/>
    <row r="948" ht="16.5" customHeight="1" s="50"/>
    <row r="949" ht="16.5" customHeight="1" s="50"/>
    <row r="950" ht="16.5" customHeight="1" s="50"/>
    <row r="951" ht="16.5" customHeight="1" s="50"/>
    <row r="952" ht="16.5" customHeight="1" s="50"/>
    <row r="953" ht="16.5" customHeight="1" s="50"/>
    <row r="954" ht="16.5" customHeight="1" s="50"/>
    <row r="955" ht="16.5" customHeight="1" s="50"/>
    <row r="956" ht="16.5" customHeight="1" s="50"/>
    <row r="957" ht="16.5" customHeight="1" s="50"/>
    <row r="958" ht="16.5" customHeight="1" s="50"/>
    <row r="959" ht="16.5" customHeight="1" s="50"/>
    <row r="960" ht="16.5" customHeight="1" s="50"/>
    <row r="961" ht="16.5" customHeight="1" s="50"/>
    <row r="962" ht="16.5" customHeight="1" s="50"/>
    <row r="963" ht="16.5" customHeight="1" s="50"/>
    <row r="964" ht="16.5" customHeight="1" s="50"/>
    <row r="965" ht="16.5" customHeight="1" s="50"/>
    <row r="966" ht="16.5" customHeight="1" s="50"/>
    <row r="967" ht="16.5" customHeight="1" s="50"/>
    <row r="968" ht="16.5" customHeight="1" s="50"/>
    <row r="969" ht="16.5" customHeight="1" s="50"/>
    <row r="970" ht="16.5" customHeight="1" s="50"/>
    <row r="971" ht="16.5" customHeight="1" s="50"/>
    <row r="972" ht="16.5" customHeight="1" s="50"/>
    <row r="973" ht="16.5" customHeight="1" s="50"/>
    <row r="974" ht="16.5" customHeight="1" s="50"/>
    <row r="975" ht="16.5" customHeight="1" s="50"/>
    <row r="976" ht="16.5" customHeight="1" s="50"/>
    <row r="977" ht="16.5" customHeight="1" s="50"/>
    <row r="978" ht="16.5" customHeight="1" s="50"/>
    <row r="979" ht="16.5" customHeight="1" s="50"/>
    <row r="980" ht="16.5" customHeight="1" s="50"/>
    <row r="981" ht="16.5" customHeight="1" s="50"/>
    <row r="982" ht="16.5" customHeight="1" s="50"/>
    <row r="983" ht="16.5" customHeight="1" s="50"/>
    <row r="984" ht="16.5" customHeight="1" s="50"/>
    <row r="985" ht="16.5" customHeight="1" s="50"/>
    <row r="986" ht="16.5" customHeight="1" s="50"/>
    <row r="987" ht="16.5" customHeight="1" s="50"/>
    <row r="988" ht="16.5" customHeight="1" s="50"/>
    <row r="989" ht="16.5" customHeight="1" s="50"/>
    <row r="990" ht="16.5" customHeight="1" s="50"/>
    <row r="991" ht="16.5" customHeight="1" s="50"/>
    <row r="992" ht="16.5" customHeight="1" s="50"/>
    <row r="993" ht="16.5" customHeight="1" s="50"/>
    <row r="994" ht="16.5" customHeight="1" s="50"/>
    <row r="995" ht="16.5" customHeight="1" s="50"/>
    <row r="996" ht="16.5" customHeight="1" s="50"/>
    <row r="997" ht="16.5" customHeight="1" s="50"/>
    <row r="998" ht="16.5" customHeight="1" s="50"/>
    <row r="999" ht="16.5" customHeight="1" s="50"/>
    <row r="1000" ht="16.5" customHeight="1" s="50"/>
    <row r="1001" ht="16.5" customHeight="1" s="50"/>
  </sheetData>
  <dataValidations count="1">
    <dataValidation sqref="A2:A13" showDropDown="0" showInputMessage="0" showErrorMessage="0" allowBlank="1" type="list">
      <formula1>"Sakuranomori,Quality1st,小红书运营,天猫运营,团队管理,品牌方汇报,战略/规划,babubabu,其他,对日本HQ"</formula1>
    </dataValidation>
  </dataValidations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2026-08-17T00:47:06Z</dcterms:created>
  <dcterms:modified xmlns:dcterms="http://purl.org/dc/terms/" xmlns:xsi="http://www.w3.org/2001/XMLSchema-instance" xsi:type="dcterms:W3CDTF">2026-08-17T00:47:07Z</dcterms:modified>
</cp:coreProperties>
</file>