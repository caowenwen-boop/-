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进度总看板" sheetId="1" state="visible" r:id="rId1"/>
    <sheet xmlns:r="http://schemas.openxmlformats.org/officeDocument/2006/relationships" name="财务-小裴" sheetId="2" state="visible" r:id="rId2"/>
    <sheet xmlns:r="http://schemas.openxmlformats.org/officeDocument/2006/relationships" name="贸易-咩咩" sheetId="3" state="visible" r:id="rId3"/>
    <sheet xmlns:r="http://schemas.openxmlformats.org/officeDocument/2006/relationships" name="供应链-张姐" sheetId="4" state="visible" r:id="rId4"/>
    <sheet xmlns:r="http://schemas.openxmlformats.org/officeDocument/2006/relationships" name="设计-小杨" sheetId="5" state="visible" r:id="rId5"/>
    <sheet xmlns:r="http://schemas.openxmlformats.org/officeDocument/2006/relationships" name="天猫-楠楠" sheetId="6" state="visible" r:id="rId6"/>
    <sheet xmlns:r="http://schemas.openxmlformats.org/officeDocument/2006/relationships" name="天猫-小廖" sheetId="7" state="visible" r:id="rId7"/>
    <sheet xmlns:r="http://schemas.openxmlformats.org/officeDocument/2006/relationships" name="小红书-毛毛" sheetId="8" state="visible" r:id="rId8"/>
    <sheet xmlns:r="http://schemas.openxmlformats.org/officeDocument/2006/relationships" name="小红书-柚子" sheetId="9" state="visible" r:id="rId9"/>
    <sheet xmlns:r="http://schemas.openxmlformats.org/officeDocument/2006/relationships" name="小红书-Alice" sheetId="10" state="visible" r:id="rId10"/>
    <sheet xmlns:r="http://schemas.openxmlformats.org/officeDocument/2006/relationships" name="说明" sheetId="11" state="visible" r:id="rId11"/>
    <sheet xmlns:r="http://schemas.openxmlformats.org/officeDocument/2006/relationships" name="选项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13">
    <font>
      <name val="Calibri"/>
      <family val="2"/>
      <color theme="1"/>
      <sz val="11"/>
      <scheme val="minor"/>
    </font>
    <font>
      <name val="Microsoft YaHei"/>
      <b val="1"/>
      <color rgb="00000000"/>
      <sz val="10"/>
    </font>
    <font>
      <name val="Microsoft YaHei"/>
      <b val="1"/>
      <color rgb="001F3864"/>
      <sz val="14"/>
    </font>
    <font>
      <name val="Microsoft YaHei"/>
      <b val="1"/>
      <color rgb="00FFFFFF"/>
      <sz val="9"/>
    </font>
    <font>
      <name val="Microsoft YaHei"/>
      <b val="1"/>
      <color rgb="00000000"/>
      <sz val="11"/>
    </font>
    <font>
      <name val="Microsoft YaHei"/>
      <b val="1"/>
      <color rgb="00FFFFFF"/>
      <sz val="10"/>
    </font>
    <font>
      <name val="Microsoft YaHei"/>
      <color rgb="00000000"/>
      <sz val="10"/>
    </font>
    <font>
      <name val="Microsoft YaHei"/>
      <b val="1"/>
      <color rgb="001F3864"/>
      <sz val="15"/>
    </font>
    <font>
      <name val="Microsoft YaHei"/>
      <color rgb="00808080"/>
      <sz val="9"/>
    </font>
    <font>
      <name val="Microsoft YaHei"/>
      <b val="1"/>
      <color rgb="00000000"/>
      <sz val="9"/>
    </font>
    <font>
      <name val="Microsoft YaHei"/>
      <b val="1"/>
      <color rgb="00375623"/>
      <sz val="12"/>
    </font>
    <font>
      <name val="Microsoft YaHei"/>
      <color rgb="00000000"/>
      <sz val="9"/>
    </font>
    <font>
      <name val="Microsoft YaHei"/>
      <b val="1"/>
      <color rgb="001F3864"/>
      <sz val="13"/>
    </font>
  </fonts>
  <fills count="5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FFFDE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9" fillId="0" borderId="0" pivotButton="0" quotePrefix="0" xfId="0"/>
    <xf numFmtId="0" fontId="1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1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5B7B1"/>
        </patternFill>
      </fill>
    </dxf>
    <dxf>
      <fill>
        <patternFill patternType="solid">
          <fgColor rgb="00E8E8E8"/>
        </patternFill>
      </fill>
    </dxf>
    <dxf>
      <fill>
        <patternFill patternType="solid">
          <fgColor rgb="00FFE59A"/>
        </patternFill>
      </fill>
    </dxf>
    <dxf>
      <fill>
        <patternFill patternType="solid">
          <fgColor rgb="00C6E7C6"/>
        </patternFill>
      </fill>
    </dxf>
    <dxf>
      <fill>
        <patternFill patternType="solid">
          <fgColor rgb="00D6DCE9"/>
        </patternFill>
      </fill>
    </dxf>
    <dxf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规范</author>
  </authors>
  <commentList>
    <comment ref="D4" authorId="0" shapeId="0">
      <text>
        <t>状态用下拉，选完自动上色：已完成绿/进行中黄/未开始灰/延期红/搁置蓝。</t>
      </text>
    </comment>
    <comment ref="G4" authorId="0" shapeId="0">
      <text>
        <t>自动：状态非已完成且计划完成日已过→⚠️延期，整行标红。</t>
      </text>
    </comment>
  </commentList>
</comments>
</file>

<file path=xl/comments/comment2.xml><?xml version="1.0" encoding="utf-8"?>
<comments xmlns="http://schemas.openxmlformats.org/spreadsheetml/2006/main">
  <authors>
    <author>规范</author>
  </authors>
  <commentList>
    <comment ref="D4" authorId="0" shapeId="0">
      <text>
        <t>状态用下拉，选完自动上色：已完成绿/进行中黄/未开始灰/延期红/搁置蓝。</t>
      </text>
    </comment>
    <comment ref="G4" authorId="0" shapeId="0">
      <text>
        <t>自动：状态非已完成且计划完成日已过→⚠️延期，整行标红。</t>
      </text>
    </comment>
  </commentList>
</comments>
</file>

<file path=xl/comments/comment3.xml><?xml version="1.0" encoding="utf-8"?>
<comments xmlns="http://schemas.openxmlformats.org/spreadsheetml/2006/main">
  <authors>
    <author>规范</author>
  </authors>
  <commentList>
    <comment ref="D4" authorId="0" shapeId="0">
      <text>
        <t>状态用下拉，选完自动上色：已完成绿/进行中黄/未开始灰/延期红/搁置蓝。</t>
      </text>
    </comment>
    <comment ref="G4" authorId="0" shapeId="0">
      <text>
        <t>自动：状态非已完成且计划完成日已过→⚠️延期，整行标红。</t>
      </text>
    </comment>
  </commentList>
</comments>
</file>

<file path=xl/comments/comment4.xml><?xml version="1.0" encoding="utf-8"?>
<comments xmlns="http://schemas.openxmlformats.org/spreadsheetml/2006/main">
  <authors>
    <author>规范</author>
  </authors>
  <commentList>
    <comment ref="D4" authorId="0" shapeId="0">
      <text>
        <t>状态用下拉，选完自动上色：已完成绿/进行中黄/未开始灰/延期红/搁置蓝。</t>
      </text>
    </comment>
    <comment ref="G4" authorId="0" shapeId="0">
      <text>
        <t>自动：状态非已完成且计划完成日已过→⚠️延期，整行标红。</t>
      </text>
    </comment>
  </commentList>
</comments>
</file>

<file path=xl/comments/comment5.xml><?xml version="1.0" encoding="utf-8"?>
<comments xmlns="http://schemas.openxmlformats.org/spreadsheetml/2006/main">
  <authors>
    <author>规范</author>
  </authors>
  <commentList>
    <comment ref="D4" authorId="0" shapeId="0">
      <text>
        <t>状态用下拉，选完自动上色：已完成绿/进行中黄/未开始灰/延期红/搁置蓝。</t>
      </text>
    </comment>
    <comment ref="G4" authorId="0" shapeId="0">
      <text>
        <t>自动：状态非已完成且计划完成日已过→⚠️延期，整行标红。</t>
      </text>
    </comment>
  </commentList>
</comments>
</file>

<file path=xl/comments/comment6.xml><?xml version="1.0" encoding="utf-8"?>
<comments xmlns="http://schemas.openxmlformats.org/spreadsheetml/2006/main">
  <authors>
    <author>规范</author>
  </authors>
  <commentList>
    <comment ref="D4" authorId="0" shapeId="0">
      <text>
        <t>状态用下拉，选完自动上色：已完成绿/进行中黄/未开始灰/延期红/搁置蓝。</t>
      </text>
    </comment>
    <comment ref="G4" authorId="0" shapeId="0">
      <text>
        <t>自动：状态非已完成且计划完成日已过→⚠️延期，整行标红。</t>
      </text>
    </comment>
  </commentList>
</comments>
</file>

<file path=xl/comments/comment7.xml><?xml version="1.0" encoding="utf-8"?>
<comments xmlns="http://schemas.openxmlformats.org/spreadsheetml/2006/main">
  <authors>
    <author>规范</author>
  </authors>
  <commentList>
    <comment ref="D4" authorId="0" shapeId="0">
      <text>
        <t>状态用下拉，选完自动上色：已完成绿/进行中黄/未开始灰/延期红/搁置蓝。</t>
      </text>
    </comment>
    <comment ref="G4" authorId="0" shapeId="0">
      <text>
        <t>自动：状态非已完成且计划完成日已过→⚠️延期，整行标红。</t>
      </text>
    </comment>
  </commentList>
</comments>
</file>

<file path=xl/comments/comment8.xml><?xml version="1.0" encoding="utf-8"?>
<comments xmlns="http://schemas.openxmlformats.org/spreadsheetml/2006/main">
  <authors>
    <author>规范</author>
  </authors>
  <commentList>
    <comment ref="D4" authorId="0" shapeId="0">
      <text>
        <t>状态用下拉，选完自动上色：已完成绿/进行中黄/未开始灰/延期红/搁置蓝。</t>
      </text>
    </comment>
    <comment ref="G4" authorId="0" shapeId="0">
      <text>
        <t>自动：状态非已完成且计划完成日已过→⚠️延期，整行标红。</t>
      </text>
    </comment>
  </commentList>
</comments>
</file>

<file path=xl/comments/comment9.xml><?xml version="1.0" encoding="utf-8"?>
<comments xmlns="http://schemas.openxmlformats.org/spreadsheetml/2006/main">
  <authors>
    <author>规范</author>
  </authors>
  <commentList>
    <comment ref="D4" authorId="0" shapeId="0">
      <text>
        <t>状态用下拉，选完自动上色：已完成绿/进行中黄/未开始灰/延期红/搁置蓝。</t>
      </text>
    </comment>
    <comment ref="G4" authorId="0" shapeId="0">
      <text>
        <t>自动：状态非已完成且计划完成日已过→⚠️延期，整行标红。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10" customWidth="1" min="6" max="6"/>
  </cols>
  <sheetData>
    <row r="1">
      <c r="A1" s="1" t="inlineStr">
        <is>
          <t>Sakura · 工作进度总看板（汇总各人）</t>
        </is>
      </c>
    </row>
    <row r="2">
      <c r="A2" s="2" t="inlineStr">
        <is>
          <t>各人表填完自动更新；如未刷新按 F9 / 重开。今天：</t>
        </is>
      </c>
      <c r="F2" s="3">
        <f>TODAY()</f>
        <v/>
      </c>
    </row>
    <row r="4">
      <c r="A4" s="4" t="inlineStr">
        <is>
          <t>总任务数</t>
        </is>
      </c>
      <c r="B4" s="5">
        <f>COUNTA('财务-小裴'!$C$5:$C$104)+COUNTA('贸易-咩咩'!$C$5:$C$104)+COUNTA('供应链-张姐'!$C$5:$C$104)+COUNTA('设计-小杨'!$C$5:$C$104)+COUNTA('天猫-楠楠'!$C$5:$C$104)+COUNTA('天猫-小廖'!$C$5:$C$104)+COUNTA('小红书-毛毛'!$C$5:$C$104)+COUNTA('小红书-柚子'!$C$5:$C$104)+COUNTA('小红书-Alice'!$C$5:$C$104)</f>
        <v/>
      </c>
    </row>
    <row r="5">
      <c r="A5" s="6" t="inlineStr">
        <is>
          <t>已完成</t>
        </is>
      </c>
      <c r="B5" s="5">
        <f>COUNTIF('财务-小裴'!$D$5:$D$104,"已完成")+COUNTIF('贸易-咩咩'!$D$5:$D$104,"已完成")+COUNTIF('供应链-张姐'!$D$5:$D$104,"已完成")+COUNTIF('设计-小杨'!$D$5:$D$104,"已完成")+COUNTIF('天猫-楠楠'!$D$5:$D$104,"已完成")+COUNTIF('天猫-小廖'!$D$5:$D$104,"已完成")+COUNTIF('小红书-毛毛'!$D$5:$D$104,"已完成")+COUNTIF('小红书-柚子'!$D$5:$D$104,"已完成")+COUNTIF('小红书-Alice'!$D$5:$D$104,"已完成")</f>
        <v/>
      </c>
    </row>
    <row r="6">
      <c r="A6" s="6" t="inlineStr">
        <is>
          <t>进行中</t>
        </is>
      </c>
      <c r="B6" s="5">
        <f>COUNTIF('财务-小裴'!$D$5:$D$104,"进行中")+COUNTIF('贸易-咩咩'!$D$5:$D$104,"进行中")+COUNTIF('供应链-张姐'!$D$5:$D$104,"进行中")+COUNTIF('设计-小杨'!$D$5:$D$104,"进行中")+COUNTIF('天猫-楠楠'!$D$5:$D$104,"进行中")+COUNTIF('天猫-小廖'!$D$5:$D$104,"进行中")+COUNTIF('小红书-毛毛'!$D$5:$D$104,"进行中")+COUNTIF('小红书-柚子'!$D$5:$D$104,"进行中")+COUNTIF('小红书-Alice'!$D$5:$D$104,"进行中")</f>
        <v/>
      </c>
    </row>
    <row r="7">
      <c r="A7" s="6" t="inlineStr">
        <is>
          <t>未开始</t>
        </is>
      </c>
      <c r="B7" s="5">
        <f>COUNTIF('财务-小裴'!$D$5:$D$104,"未开始")+COUNTIF('贸易-咩咩'!$D$5:$D$104,"未开始")+COUNTIF('供应链-张姐'!$D$5:$D$104,"未开始")+COUNTIF('设计-小杨'!$D$5:$D$104,"未开始")+COUNTIF('天猫-楠楠'!$D$5:$D$104,"未开始")+COUNTIF('天猫-小廖'!$D$5:$D$104,"未开始")+COUNTIF('小红书-毛毛'!$D$5:$D$104,"未开始")+COUNTIF('小红书-柚子'!$D$5:$D$104,"未开始")+COUNTIF('小红书-Alice'!$D$5:$D$104,"未开始")</f>
        <v/>
      </c>
    </row>
    <row r="8">
      <c r="A8" s="6" t="inlineStr">
        <is>
          <t>延期</t>
        </is>
      </c>
      <c r="B8" s="5">
        <f>COUNTIF('财务-小裴'!$D$5:$D$104,"已延期")+COUNTIF('贸易-咩咩'!$D$5:$D$104,"已延期")+COUNTIF('供应链-张姐'!$D$5:$D$104,"已延期")+COUNTIF('设计-小杨'!$D$5:$D$104,"已延期")+COUNTIF('天猫-楠楠'!$D$5:$D$104,"已延期")+COUNTIF('天猫-小廖'!$D$5:$D$104,"已延期")+COUNTIF('小红书-毛毛'!$D$5:$D$104,"已延期")+COUNTIF('小红书-柚子'!$D$5:$D$104,"已延期")+COUNTIF('小红书-Alice'!$D$5:$D$104,"已延期")+COUNTIF('财务-小裴'!$G$5:$G$104,"⚠️延期")+COUNTIF('贸易-咩咩'!$G$5:$G$104,"⚠️延期")+COUNTIF('供应链-张姐'!$G$5:$G$104,"⚠️延期")+COUNTIF('设计-小杨'!$G$5:$G$104,"⚠️延期")+COUNTIF('天猫-楠楠'!$G$5:$G$104,"⚠️延期")+COUNTIF('天猫-小廖'!$G$5:$G$104,"⚠️延期")+COUNTIF('小红书-毛毛'!$G$5:$G$104,"⚠️延期")+COUNTIF('小红书-柚子'!$G$5:$G$104,"⚠️延期")+COUNTIF('小红书-Alice'!$G$5:$G$104,"⚠️延期")</f>
        <v/>
      </c>
    </row>
    <row r="9">
      <c r="A9" s="6" t="inlineStr">
        <is>
          <t>搁置</t>
        </is>
      </c>
      <c r="B9" s="5">
        <f>COUNTIF('财务-小裴'!$D$5:$D$104,"搁置")+COUNTIF('贸易-咩咩'!$D$5:$D$104,"搁置")+COUNTIF('供应链-张姐'!$D$5:$D$104,"搁置")+COUNTIF('设计-小杨'!$D$5:$D$104,"搁置")+COUNTIF('天猫-楠楠'!$D$5:$D$104,"搁置")+COUNTIF('天猫-小廖'!$D$5:$D$104,"搁置")+COUNTIF('小红书-毛毛'!$D$5:$D$104,"搁置")+COUNTIF('小红书-柚子'!$D$5:$D$104,"搁置")+COUNTIF('小红书-Alice'!$D$5:$D$104,"搁置")</f>
        <v/>
      </c>
    </row>
    <row r="11">
      <c r="A11" s="7" t="inlineStr">
        <is>
          <t>总体完成率</t>
        </is>
      </c>
      <c r="B11" s="8">
        <f>IFERROR(B5/B4,0)</f>
        <v/>
      </c>
    </row>
    <row r="14">
      <c r="A14" s="9" t="inlineStr">
        <is>
          <t>按人 · 完成情况（点表名可进各人明细）</t>
        </is>
      </c>
    </row>
    <row r="15">
      <c r="A15" s="10" t="inlineStr">
        <is>
          <t>负责人</t>
        </is>
      </c>
      <c r="B15" s="10" t="inlineStr">
        <is>
          <t>总数</t>
        </is>
      </c>
      <c r="C15" s="10" t="inlineStr">
        <is>
          <t>已完成</t>
        </is>
      </c>
      <c r="D15" s="10" t="inlineStr">
        <is>
          <t>进行中</t>
        </is>
      </c>
      <c r="E15" s="10" t="inlineStr">
        <is>
          <t>延期</t>
        </is>
      </c>
      <c r="F15" s="10" t="inlineStr">
        <is>
          <t>完成率</t>
        </is>
      </c>
    </row>
    <row r="16">
      <c r="A16" s="11" t="inlineStr">
        <is>
          <t>财务-小裴</t>
        </is>
      </c>
      <c r="B16" s="5">
        <f>COUNTA('财务-小裴'!$C$5:$C$104)</f>
        <v/>
      </c>
      <c r="C16" s="5">
        <f>COUNTIF('财务-小裴'!$D$5:$D$104,"已完成")</f>
        <v/>
      </c>
      <c r="D16" s="5">
        <f>COUNTIF('财务-小裴'!$D$5:$D$104,"进行中")</f>
        <v/>
      </c>
      <c r="E16" s="5">
        <f>COUNTIF('财务-小裴'!$G$5:$G$104,"⚠️延期")+COUNTIF('财务-小裴'!$D$5:$D$104,"已延期")</f>
        <v/>
      </c>
      <c r="F16" s="12">
        <f>IFERROR(C16/B16,"")</f>
        <v/>
      </c>
    </row>
    <row r="17">
      <c r="A17" s="11" t="inlineStr">
        <is>
          <t>贸易-咩咩</t>
        </is>
      </c>
      <c r="B17" s="5">
        <f>COUNTA('贸易-咩咩'!$C$5:$C$104)</f>
        <v/>
      </c>
      <c r="C17" s="5">
        <f>COUNTIF('贸易-咩咩'!$D$5:$D$104,"已完成")</f>
        <v/>
      </c>
      <c r="D17" s="5">
        <f>COUNTIF('贸易-咩咩'!$D$5:$D$104,"进行中")</f>
        <v/>
      </c>
      <c r="E17" s="5">
        <f>COUNTIF('贸易-咩咩'!$G$5:$G$104,"⚠️延期")+COUNTIF('贸易-咩咩'!$D$5:$D$104,"已延期")</f>
        <v/>
      </c>
      <c r="F17" s="12">
        <f>IFERROR(C17/B17,"")</f>
        <v/>
      </c>
    </row>
    <row r="18">
      <c r="A18" s="11" t="inlineStr">
        <is>
          <t>供应链-张姐</t>
        </is>
      </c>
      <c r="B18" s="5">
        <f>COUNTA('供应链-张姐'!$C$5:$C$104)</f>
        <v/>
      </c>
      <c r="C18" s="5">
        <f>COUNTIF('供应链-张姐'!$D$5:$D$104,"已完成")</f>
        <v/>
      </c>
      <c r="D18" s="5">
        <f>COUNTIF('供应链-张姐'!$D$5:$D$104,"进行中")</f>
        <v/>
      </c>
      <c r="E18" s="5">
        <f>COUNTIF('供应链-张姐'!$G$5:$G$104,"⚠️延期")+COUNTIF('供应链-张姐'!$D$5:$D$104,"已延期")</f>
        <v/>
      </c>
      <c r="F18" s="12">
        <f>IFERROR(C18/B18,"")</f>
        <v/>
      </c>
    </row>
    <row r="19">
      <c r="A19" s="11" t="inlineStr">
        <is>
          <t>设计-小杨</t>
        </is>
      </c>
      <c r="B19" s="5">
        <f>COUNTA('设计-小杨'!$C$5:$C$104)</f>
        <v/>
      </c>
      <c r="C19" s="5">
        <f>COUNTIF('设计-小杨'!$D$5:$D$104,"已完成")</f>
        <v/>
      </c>
      <c r="D19" s="5">
        <f>COUNTIF('设计-小杨'!$D$5:$D$104,"进行中")</f>
        <v/>
      </c>
      <c r="E19" s="5">
        <f>COUNTIF('设计-小杨'!$G$5:$G$104,"⚠️延期")+COUNTIF('设计-小杨'!$D$5:$D$104,"已延期")</f>
        <v/>
      </c>
      <c r="F19" s="12">
        <f>IFERROR(C19/B19,"")</f>
        <v/>
      </c>
    </row>
    <row r="20">
      <c r="A20" s="11" t="inlineStr">
        <is>
          <t>天猫-楠楠</t>
        </is>
      </c>
      <c r="B20" s="5">
        <f>COUNTA('天猫-楠楠'!$C$5:$C$104)</f>
        <v/>
      </c>
      <c r="C20" s="5">
        <f>COUNTIF('天猫-楠楠'!$D$5:$D$104,"已完成")</f>
        <v/>
      </c>
      <c r="D20" s="5">
        <f>COUNTIF('天猫-楠楠'!$D$5:$D$104,"进行中")</f>
        <v/>
      </c>
      <c r="E20" s="5">
        <f>COUNTIF('天猫-楠楠'!$G$5:$G$104,"⚠️延期")+COUNTIF('天猫-楠楠'!$D$5:$D$104,"已延期")</f>
        <v/>
      </c>
      <c r="F20" s="12">
        <f>IFERROR(C20/B20,"")</f>
        <v/>
      </c>
    </row>
    <row r="21">
      <c r="A21" s="11" t="inlineStr">
        <is>
          <t>天猫-小廖</t>
        </is>
      </c>
      <c r="B21" s="5">
        <f>COUNTA('天猫-小廖'!$C$5:$C$104)</f>
        <v/>
      </c>
      <c r="C21" s="5">
        <f>COUNTIF('天猫-小廖'!$D$5:$D$104,"已完成")</f>
        <v/>
      </c>
      <c r="D21" s="5">
        <f>COUNTIF('天猫-小廖'!$D$5:$D$104,"进行中")</f>
        <v/>
      </c>
      <c r="E21" s="5">
        <f>COUNTIF('天猫-小廖'!$G$5:$G$104,"⚠️延期")+COUNTIF('天猫-小廖'!$D$5:$D$104,"已延期")</f>
        <v/>
      </c>
      <c r="F21" s="12">
        <f>IFERROR(C21/B21,"")</f>
        <v/>
      </c>
    </row>
    <row r="22">
      <c r="A22" s="11" t="inlineStr">
        <is>
          <t>小红书-毛毛</t>
        </is>
      </c>
      <c r="B22" s="5">
        <f>COUNTA('小红书-毛毛'!$C$5:$C$104)</f>
        <v/>
      </c>
      <c r="C22" s="5">
        <f>COUNTIF('小红书-毛毛'!$D$5:$D$104,"已完成")</f>
        <v/>
      </c>
      <c r="D22" s="5">
        <f>COUNTIF('小红书-毛毛'!$D$5:$D$104,"进行中")</f>
        <v/>
      </c>
      <c r="E22" s="5">
        <f>COUNTIF('小红书-毛毛'!$G$5:$G$104,"⚠️延期")+COUNTIF('小红书-毛毛'!$D$5:$D$104,"已延期")</f>
        <v/>
      </c>
      <c r="F22" s="12">
        <f>IFERROR(C22/B22,"")</f>
        <v/>
      </c>
    </row>
    <row r="23">
      <c r="A23" s="11" t="inlineStr">
        <is>
          <t>小红书-柚子</t>
        </is>
      </c>
      <c r="B23" s="5">
        <f>COUNTA('小红书-柚子'!$C$5:$C$104)</f>
        <v/>
      </c>
      <c r="C23" s="5">
        <f>COUNTIF('小红书-柚子'!$D$5:$D$104,"已完成")</f>
        <v/>
      </c>
      <c r="D23" s="5">
        <f>COUNTIF('小红书-柚子'!$D$5:$D$104,"进行中")</f>
        <v/>
      </c>
      <c r="E23" s="5">
        <f>COUNTIF('小红书-柚子'!$G$5:$G$104,"⚠️延期")+COUNTIF('小红书-柚子'!$D$5:$D$104,"已延期")</f>
        <v/>
      </c>
      <c r="F23" s="12">
        <f>IFERROR(C23/B23,"")</f>
        <v/>
      </c>
    </row>
    <row r="24">
      <c r="A24" s="11" t="inlineStr">
        <is>
          <t>小红书-Alice</t>
        </is>
      </c>
      <c r="B24" s="5">
        <f>COUNTA('小红书-Alice'!$C$5:$C$104)</f>
        <v/>
      </c>
      <c r="C24" s="5">
        <f>COUNTIF('小红书-Alice'!$D$5:$D$104,"已完成")</f>
        <v/>
      </c>
      <c r="D24" s="5">
        <f>COUNTIF('小红书-Alice'!$D$5:$D$104,"进行中")</f>
        <v/>
      </c>
      <c r="E24" s="5">
        <f>COUNTIF('小红书-Alice'!$G$5:$G$104,"⚠️延期")+COUNTIF('小红书-Alice'!$D$5:$D$104,"已延期")</f>
        <v/>
      </c>
      <c r="F24" s="12">
        <f>IFERROR(C24/B24,"")</f>
        <v/>
      </c>
    </row>
  </sheetData>
  <conditionalFormatting sqref="B11">
    <cfRule type="dataBar" priority="1">
      <dataBar showValue="1">
        <cfvo type="num" val="0"/>
        <cfvo type="num" val="1"/>
        <color rgb="0063BE7B"/>
      </dataBar>
    </cfRule>
  </conditionalFormatting>
  <conditionalFormatting sqref="B5:B9">
    <cfRule type="dataBar" priority="2">
      <dataBar showValue="1">
        <cfvo type="min"/>
        <cfvo type="max"/>
        <color rgb="008FAADC"/>
      </dataBar>
    </cfRule>
  </conditionalFormatting>
  <conditionalFormatting sqref="F16:F24">
    <cfRule type="dataBar" priority="3">
      <dataBar showValue="1">
        <cfvo type="num" val="0"/>
        <cfvo type="num" val="1"/>
        <color rgb="0063BE7B"/>
      </dataBar>
    </cfRule>
  </conditionalFormatting>
  <conditionalFormatting sqref="E16:E24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2" customWidth="1" min="3" max="3"/>
    <col width="10" customWidth="1" min="4" max="4"/>
    <col width="12" customWidth="1" min="5" max="5"/>
    <col width="12" customWidth="1" min="6" max="6"/>
    <col width="10" customWidth="1" min="7" max="7"/>
    <col width="20" customWidth="1" min="8" max="8"/>
  </cols>
  <sheetData>
    <row r="1" ht="24" customHeight="1">
      <c r="A1" s="13" t="inlineStr">
        <is>
          <t>财务-小裴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COUNTA(C5:C104)</f>
        <v/>
      </c>
      <c r="B3" s="14">
        <f>COUNTIF(D5:D104,"已完成")</f>
        <v/>
      </c>
      <c r="C3" s="14">
        <f>COUNTIF(D5:D104,"进行中")</f>
        <v/>
      </c>
      <c r="D3" s="14">
        <f>COUNTIF(G5:G104,"⚠️延期")+COUNTIF(D5:D104,"已延期")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项目</t>
        </is>
      </c>
      <c r="C4" s="15" t="inlineStr">
        <is>
          <t>工作内容</t>
        </is>
      </c>
      <c r="D4" s="15" t="inlineStr">
        <is>
          <t>状态</t>
        </is>
      </c>
      <c r="E4" s="15" t="inlineStr">
        <is>
          <t>计划完成日</t>
        </is>
      </c>
      <c r="F4" s="15" t="inlineStr">
        <is>
          <t>实际完成日</t>
        </is>
      </c>
      <c r="G4" s="15" t="inlineStr">
        <is>
          <t>是否延期</t>
        </is>
      </c>
      <c r="H4" s="15" t="inlineStr">
        <is>
          <t>备注</t>
        </is>
      </c>
    </row>
    <row r="5">
      <c r="A5" s="16" t="inlineStr">
        <is>
          <t>2026-08-03</t>
        </is>
      </c>
      <c r="B5" s="16" t="inlineStr">
        <is>
          <t>财务</t>
        </is>
      </c>
      <c r="C5" s="17" t="inlineStr">
        <is>
          <t>yomite请求书</t>
        </is>
      </c>
      <c r="D5" s="16" t="inlineStr">
        <is>
          <t>已完成</t>
        </is>
      </c>
      <c r="E5" s="16" t="inlineStr">
        <is>
          <t>2026-08-03</t>
        </is>
      </c>
      <c r="F5" s="16" t="inlineStr">
        <is>
          <t>2026-08-03</t>
        </is>
      </c>
      <c r="G5" s="18">
        <f>IF(AND(D5&lt;&gt;"已完成",D5&lt;&gt;"",E5&lt;&gt;"",E5&lt;TODAY()),"⚠️延期","")</f>
        <v/>
      </c>
      <c r="H5" s="17" t="n"/>
    </row>
    <row r="6">
      <c r="A6" s="16" t="inlineStr">
        <is>
          <t>2026-08-03</t>
        </is>
      </c>
      <c r="B6" s="16" t="inlineStr">
        <is>
          <t>财务</t>
        </is>
      </c>
      <c r="C6" s="17" t="inlineStr">
        <is>
          <t>Q1请求书 / babubabu请求书</t>
        </is>
      </c>
      <c r="D6" s="16" t="inlineStr">
        <is>
          <t>已完成</t>
        </is>
      </c>
      <c r="E6" s="16" t="inlineStr">
        <is>
          <t>2026-08-03</t>
        </is>
      </c>
      <c r="F6" s="16" t="inlineStr">
        <is>
          <t>2026-08-03</t>
        </is>
      </c>
      <c r="G6" s="18">
        <f>IF(AND(D6&lt;&gt;"已完成",D6&lt;&gt;"",E6&lt;&gt;"",E6&lt;TODAY()),"⚠️延期","")</f>
        <v/>
      </c>
      <c r="H6" s="17" t="n"/>
    </row>
    <row r="7">
      <c r="A7" s="16" t="inlineStr">
        <is>
          <t>2026-08-04</t>
        </is>
      </c>
      <c r="B7" s="16" t="inlineStr">
        <is>
          <t>财务</t>
        </is>
      </c>
      <c r="C7" s="17" t="inlineStr">
        <is>
          <t>PL手续费 / PL运费 / PL广告费</t>
        </is>
      </c>
      <c r="D7" s="16" t="inlineStr">
        <is>
          <t>已完成</t>
        </is>
      </c>
      <c r="E7" s="16" t="inlineStr">
        <is>
          <t>2026-08-04</t>
        </is>
      </c>
      <c r="F7" s="16" t="inlineStr">
        <is>
          <t>2026-08-04</t>
        </is>
      </c>
      <c r="G7" s="18">
        <f>IF(AND(D7&lt;&gt;"已完成",D7&lt;&gt;"",E7&lt;&gt;"",E7&lt;TODAY()),"⚠️延期","")</f>
        <v/>
      </c>
      <c r="H7" s="17" t="n"/>
    </row>
    <row r="8">
      <c r="A8" s="16" t="inlineStr">
        <is>
          <t>2026-08-05</t>
        </is>
      </c>
      <c r="B8" s="16" t="inlineStr">
        <is>
          <t>财务</t>
        </is>
      </c>
      <c r="C8" s="17" t="inlineStr">
        <is>
          <t>PL成本 / PL咨询</t>
        </is>
      </c>
      <c r="D8" s="16" t="inlineStr">
        <is>
          <t>进行中</t>
        </is>
      </c>
      <c r="E8" s="16" t="inlineStr">
        <is>
          <t>2026-08-06</t>
        </is>
      </c>
      <c r="F8" s="16" t="n"/>
      <c r="G8" s="18">
        <f>IF(AND(D8&lt;&gt;"已完成",D8&lt;&gt;"",E8&lt;&gt;"",E8&lt;TODAY()),"⚠️延期","")</f>
        <v/>
      </c>
      <c r="H8" s="17" t="n"/>
    </row>
    <row r="9">
      <c r="A9" s="16" t="n"/>
      <c r="B9" s="16" t="n"/>
      <c r="C9" s="17" t="n"/>
      <c r="D9" s="16" t="n"/>
      <c r="E9" s="16" t="n"/>
      <c r="F9" s="16" t="n"/>
      <c r="G9" s="18">
        <f>IF(AND(D9&lt;&gt;"已完成",D9&lt;&gt;"",E9&lt;&gt;"",E9&lt;TODAY()),"⚠️延期","")</f>
        <v/>
      </c>
      <c r="H9" s="17" t="n"/>
    </row>
    <row r="10">
      <c r="A10" s="16" t="n"/>
      <c r="B10" s="16" t="n"/>
      <c r="C10" s="17" t="n"/>
      <c r="D10" s="16" t="n"/>
      <c r="E10" s="16" t="n"/>
      <c r="F10" s="16" t="n"/>
      <c r="G10" s="18">
        <f>IF(AND(D10&lt;&gt;"已完成",D10&lt;&gt;"",E10&lt;&gt;"",E10&lt;TODAY()),"⚠️延期","")</f>
        <v/>
      </c>
      <c r="H10" s="17" t="n"/>
    </row>
    <row r="11">
      <c r="A11" s="16" t="n"/>
      <c r="B11" s="16" t="n"/>
      <c r="C11" s="17" t="n"/>
      <c r="D11" s="16" t="n"/>
      <c r="E11" s="16" t="n"/>
      <c r="F11" s="16" t="n"/>
      <c r="G11" s="18">
        <f>IF(AND(D11&lt;&gt;"已完成",D11&lt;&gt;"",E11&lt;&gt;"",E11&lt;TODAY()),"⚠️延期","")</f>
        <v/>
      </c>
      <c r="H11" s="17" t="n"/>
    </row>
    <row r="12">
      <c r="A12" s="16" t="n"/>
      <c r="B12" s="16" t="n"/>
      <c r="C12" s="17" t="n"/>
      <c r="D12" s="16" t="n"/>
      <c r="E12" s="16" t="n"/>
      <c r="F12" s="16" t="n"/>
      <c r="G12" s="18">
        <f>IF(AND(D12&lt;&gt;"已完成",D12&lt;&gt;"",E12&lt;&gt;"",E12&lt;TODAY()),"⚠️延期","")</f>
        <v/>
      </c>
      <c r="H12" s="17" t="n"/>
    </row>
    <row r="13">
      <c r="A13" s="16" t="n"/>
      <c r="B13" s="16" t="n"/>
      <c r="C13" s="17" t="n"/>
      <c r="D13" s="16" t="n"/>
      <c r="E13" s="16" t="n"/>
      <c r="F13" s="16" t="n"/>
      <c r="G13" s="18">
        <f>IF(AND(D13&lt;&gt;"已完成",D13&lt;&gt;"",E13&lt;&gt;"",E13&lt;TODAY()),"⚠️延期","")</f>
        <v/>
      </c>
      <c r="H13" s="17" t="n"/>
    </row>
    <row r="14">
      <c r="A14" s="16" t="n"/>
      <c r="B14" s="16" t="n"/>
      <c r="C14" s="17" t="n"/>
      <c r="D14" s="16" t="n"/>
      <c r="E14" s="16" t="n"/>
      <c r="F14" s="16" t="n"/>
      <c r="G14" s="18">
        <f>IF(AND(D14&lt;&gt;"已完成",D14&lt;&gt;"",E14&lt;&gt;"",E14&lt;TODAY()),"⚠️延期","")</f>
        <v/>
      </c>
      <c r="H14" s="17" t="n"/>
    </row>
    <row r="15">
      <c r="A15" s="16" t="n"/>
      <c r="B15" s="16" t="n"/>
      <c r="C15" s="17" t="n"/>
      <c r="D15" s="16" t="n"/>
      <c r="E15" s="16" t="n"/>
      <c r="F15" s="16" t="n"/>
      <c r="G15" s="18">
        <f>IF(AND(D15&lt;&gt;"已完成",D15&lt;&gt;"",E15&lt;&gt;"",E15&lt;TODAY()),"⚠️延期","")</f>
        <v/>
      </c>
      <c r="H15" s="17" t="n"/>
    </row>
    <row r="16">
      <c r="A16" s="16" t="n"/>
      <c r="B16" s="16" t="n"/>
      <c r="C16" s="17" t="n"/>
      <c r="D16" s="16" t="n"/>
      <c r="E16" s="16" t="n"/>
      <c r="F16" s="16" t="n"/>
      <c r="G16" s="18">
        <f>IF(AND(D16&lt;&gt;"已完成",D16&lt;&gt;"",E16&lt;&gt;"",E16&lt;TODAY()),"⚠️延期","")</f>
        <v/>
      </c>
      <c r="H16" s="17" t="n"/>
    </row>
    <row r="17">
      <c r="A17" s="16" t="n"/>
      <c r="B17" s="16" t="n"/>
      <c r="C17" s="17" t="n"/>
      <c r="D17" s="16" t="n"/>
      <c r="E17" s="16" t="n"/>
      <c r="F17" s="16" t="n"/>
      <c r="G17" s="18">
        <f>IF(AND(D17&lt;&gt;"已完成",D17&lt;&gt;"",E17&lt;&gt;"",E17&lt;TODAY()),"⚠️延期","")</f>
        <v/>
      </c>
      <c r="H17" s="17" t="n"/>
    </row>
    <row r="18">
      <c r="A18" s="16" t="n"/>
      <c r="B18" s="16" t="n"/>
      <c r="C18" s="17" t="n"/>
      <c r="D18" s="16" t="n"/>
      <c r="E18" s="16" t="n"/>
      <c r="F18" s="16" t="n"/>
      <c r="G18" s="18">
        <f>IF(AND(D18&lt;&gt;"已完成",D18&lt;&gt;"",E18&lt;&gt;"",E18&lt;TODAY()),"⚠️延期","")</f>
        <v/>
      </c>
      <c r="H18" s="17" t="n"/>
    </row>
    <row r="19">
      <c r="A19" s="16" t="n"/>
      <c r="B19" s="16" t="n"/>
      <c r="C19" s="17" t="n"/>
      <c r="D19" s="16" t="n"/>
      <c r="E19" s="16" t="n"/>
      <c r="F19" s="16" t="n"/>
      <c r="G19" s="18">
        <f>IF(AND(D19&lt;&gt;"已完成",D19&lt;&gt;"",E19&lt;&gt;"",E19&lt;TODAY()),"⚠️延期","")</f>
        <v/>
      </c>
      <c r="H19" s="17" t="n"/>
    </row>
    <row r="20">
      <c r="A20" s="16" t="n"/>
      <c r="B20" s="16" t="n"/>
      <c r="C20" s="17" t="n"/>
      <c r="D20" s="16" t="n"/>
      <c r="E20" s="16" t="n"/>
      <c r="F20" s="16" t="n"/>
      <c r="G20" s="18">
        <f>IF(AND(D20&lt;&gt;"已完成",D20&lt;&gt;"",E20&lt;&gt;"",E20&lt;TODAY()),"⚠️延期","")</f>
        <v/>
      </c>
      <c r="H20" s="17" t="n"/>
    </row>
    <row r="21">
      <c r="A21" s="16" t="n"/>
      <c r="B21" s="16" t="n"/>
      <c r="C21" s="17" t="n"/>
      <c r="D21" s="16" t="n"/>
      <c r="E21" s="16" t="n"/>
      <c r="F21" s="16" t="n"/>
      <c r="G21" s="18">
        <f>IF(AND(D21&lt;&gt;"已完成",D21&lt;&gt;"",E21&lt;&gt;"",E21&lt;TODAY()),"⚠️延期","")</f>
        <v/>
      </c>
      <c r="H21" s="17" t="n"/>
    </row>
    <row r="22">
      <c r="A22" s="16" t="n"/>
      <c r="B22" s="16" t="n"/>
      <c r="C22" s="17" t="n"/>
      <c r="D22" s="16" t="n"/>
      <c r="E22" s="16" t="n"/>
      <c r="F22" s="16" t="n"/>
      <c r="G22" s="18">
        <f>IF(AND(D22&lt;&gt;"已完成",D22&lt;&gt;"",E22&lt;&gt;"",E22&lt;TODAY()),"⚠️延期","")</f>
        <v/>
      </c>
      <c r="H22" s="17" t="n"/>
    </row>
    <row r="23">
      <c r="A23" s="16" t="n"/>
      <c r="B23" s="16" t="n"/>
      <c r="C23" s="17" t="n"/>
      <c r="D23" s="16" t="n"/>
      <c r="E23" s="16" t="n"/>
      <c r="F23" s="16" t="n"/>
      <c r="G23" s="18">
        <f>IF(AND(D23&lt;&gt;"已完成",D23&lt;&gt;"",E23&lt;&gt;"",E23&lt;TODAY()),"⚠️延期","")</f>
        <v/>
      </c>
      <c r="H23" s="17" t="n"/>
    </row>
    <row r="24">
      <c r="A24" s="16" t="n"/>
      <c r="B24" s="16" t="n"/>
      <c r="C24" s="17" t="n"/>
      <c r="D24" s="16" t="n"/>
      <c r="E24" s="16" t="n"/>
      <c r="F24" s="16" t="n"/>
      <c r="G24" s="18">
        <f>IF(AND(D24&lt;&gt;"已完成",D24&lt;&gt;"",E24&lt;&gt;"",E24&lt;TODAY()),"⚠️延期","")</f>
        <v/>
      </c>
      <c r="H24" s="17" t="n"/>
    </row>
    <row r="25">
      <c r="A25" s="16" t="n"/>
      <c r="B25" s="16" t="n"/>
      <c r="C25" s="17" t="n"/>
      <c r="D25" s="16" t="n"/>
      <c r="E25" s="16" t="n"/>
      <c r="F25" s="16" t="n"/>
      <c r="G25" s="18">
        <f>IF(AND(D25&lt;&gt;"已完成",D25&lt;&gt;"",E25&lt;&gt;"",E25&lt;TODAY()),"⚠️延期","")</f>
        <v/>
      </c>
      <c r="H25" s="17" t="n"/>
    </row>
    <row r="26">
      <c r="A26" s="16" t="n"/>
      <c r="B26" s="16" t="n"/>
      <c r="C26" s="17" t="n"/>
      <c r="D26" s="16" t="n"/>
      <c r="E26" s="16" t="n"/>
      <c r="F26" s="16" t="n"/>
      <c r="G26" s="18">
        <f>IF(AND(D26&lt;&gt;"已完成",D26&lt;&gt;"",E26&lt;&gt;"",E26&lt;TODAY()),"⚠️延期","")</f>
        <v/>
      </c>
      <c r="H26" s="17" t="n"/>
    </row>
    <row r="27">
      <c r="A27" s="16" t="n"/>
      <c r="B27" s="16" t="n"/>
      <c r="C27" s="17" t="n"/>
      <c r="D27" s="16" t="n"/>
      <c r="E27" s="16" t="n"/>
      <c r="F27" s="16" t="n"/>
      <c r="G27" s="18">
        <f>IF(AND(D27&lt;&gt;"已完成",D27&lt;&gt;"",E27&lt;&gt;"",E27&lt;TODAY()),"⚠️延期","")</f>
        <v/>
      </c>
      <c r="H27" s="17" t="n"/>
    </row>
    <row r="28">
      <c r="A28" s="16" t="n"/>
      <c r="B28" s="16" t="n"/>
      <c r="C28" s="17" t="n"/>
      <c r="D28" s="16" t="n"/>
      <c r="E28" s="16" t="n"/>
      <c r="F28" s="16" t="n"/>
      <c r="G28" s="18">
        <f>IF(AND(D28&lt;&gt;"已完成",D28&lt;&gt;"",E28&lt;&gt;"",E28&lt;TODAY()),"⚠️延期","")</f>
        <v/>
      </c>
      <c r="H28" s="17" t="n"/>
    </row>
    <row r="29">
      <c r="A29" s="16" t="n"/>
      <c r="B29" s="16" t="n"/>
      <c r="C29" s="17" t="n"/>
      <c r="D29" s="16" t="n"/>
      <c r="E29" s="16" t="n"/>
      <c r="F29" s="16" t="n"/>
      <c r="G29" s="18">
        <f>IF(AND(D29&lt;&gt;"已完成",D29&lt;&gt;"",E29&lt;&gt;"",E29&lt;TODAY()),"⚠️延期","")</f>
        <v/>
      </c>
      <c r="H29" s="17" t="n"/>
    </row>
    <row r="30">
      <c r="A30" s="16" t="n"/>
      <c r="B30" s="16" t="n"/>
      <c r="C30" s="17" t="n"/>
      <c r="D30" s="16" t="n"/>
      <c r="E30" s="16" t="n"/>
      <c r="F30" s="16" t="n"/>
      <c r="G30" s="18">
        <f>IF(AND(D30&lt;&gt;"已完成",D30&lt;&gt;"",E30&lt;&gt;"",E30&lt;TODAY()),"⚠️延期","")</f>
        <v/>
      </c>
      <c r="H30" s="17" t="n"/>
    </row>
    <row r="31">
      <c r="A31" s="16" t="n"/>
      <c r="B31" s="16" t="n"/>
      <c r="C31" s="17" t="n"/>
      <c r="D31" s="16" t="n"/>
      <c r="E31" s="16" t="n"/>
      <c r="F31" s="16" t="n"/>
      <c r="G31" s="18">
        <f>IF(AND(D31&lt;&gt;"已完成",D31&lt;&gt;"",E31&lt;&gt;"",E31&lt;TODAY()),"⚠️延期","")</f>
        <v/>
      </c>
      <c r="H31" s="17" t="n"/>
    </row>
    <row r="32">
      <c r="A32" s="16" t="n"/>
      <c r="B32" s="16" t="n"/>
      <c r="C32" s="17" t="n"/>
      <c r="D32" s="16" t="n"/>
      <c r="E32" s="16" t="n"/>
      <c r="F32" s="16" t="n"/>
      <c r="G32" s="18">
        <f>IF(AND(D32&lt;&gt;"已完成",D32&lt;&gt;"",E32&lt;&gt;"",E32&lt;TODAY()),"⚠️延期","")</f>
        <v/>
      </c>
      <c r="H32" s="17" t="n"/>
    </row>
    <row r="33">
      <c r="A33" s="16" t="n"/>
      <c r="B33" s="16" t="n"/>
      <c r="C33" s="17" t="n"/>
      <c r="D33" s="16" t="n"/>
      <c r="E33" s="16" t="n"/>
      <c r="F33" s="16" t="n"/>
      <c r="G33" s="18">
        <f>IF(AND(D33&lt;&gt;"已完成",D33&lt;&gt;"",E33&lt;&gt;"",E33&lt;TODAY()),"⚠️延期","")</f>
        <v/>
      </c>
      <c r="H33" s="17" t="n"/>
    </row>
    <row r="34">
      <c r="A34" s="16" t="n"/>
      <c r="B34" s="16" t="n"/>
      <c r="C34" s="17" t="n"/>
      <c r="D34" s="16" t="n"/>
      <c r="E34" s="16" t="n"/>
      <c r="F34" s="16" t="n"/>
      <c r="G34" s="18">
        <f>IF(AND(D34&lt;&gt;"已完成",D34&lt;&gt;"",E34&lt;&gt;"",E34&lt;TODAY()),"⚠️延期","")</f>
        <v/>
      </c>
      <c r="H34" s="17" t="n"/>
    </row>
    <row r="35">
      <c r="A35" s="16" t="n"/>
      <c r="B35" s="16" t="n"/>
      <c r="C35" s="17" t="n"/>
      <c r="D35" s="16" t="n"/>
      <c r="E35" s="16" t="n"/>
      <c r="F35" s="16" t="n"/>
      <c r="G35" s="18">
        <f>IF(AND(D35&lt;&gt;"已完成",D35&lt;&gt;"",E35&lt;&gt;"",E35&lt;TODAY()),"⚠️延期","")</f>
        <v/>
      </c>
      <c r="H35" s="17" t="n"/>
    </row>
    <row r="36">
      <c r="A36" s="16" t="n"/>
      <c r="B36" s="16" t="n"/>
      <c r="C36" s="17" t="n"/>
      <c r="D36" s="16" t="n"/>
      <c r="E36" s="16" t="n"/>
      <c r="F36" s="16" t="n"/>
      <c r="G36" s="18">
        <f>IF(AND(D36&lt;&gt;"已完成",D36&lt;&gt;"",E36&lt;&gt;"",E36&lt;TODAY()),"⚠️延期","")</f>
        <v/>
      </c>
      <c r="H36" s="17" t="n"/>
    </row>
    <row r="37">
      <c r="A37" s="16" t="n"/>
      <c r="B37" s="16" t="n"/>
      <c r="C37" s="17" t="n"/>
      <c r="D37" s="16" t="n"/>
      <c r="E37" s="16" t="n"/>
      <c r="F37" s="16" t="n"/>
      <c r="G37" s="18">
        <f>IF(AND(D37&lt;&gt;"已完成",D37&lt;&gt;"",E37&lt;&gt;"",E37&lt;TODAY()),"⚠️延期","")</f>
        <v/>
      </c>
      <c r="H37" s="17" t="n"/>
    </row>
    <row r="38">
      <c r="A38" s="16" t="n"/>
      <c r="B38" s="16" t="n"/>
      <c r="C38" s="17" t="n"/>
      <c r="D38" s="16" t="n"/>
      <c r="E38" s="16" t="n"/>
      <c r="F38" s="16" t="n"/>
      <c r="G38" s="18">
        <f>IF(AND(D38&lt;&gt;"已完成",D38&lt;&gt;"",E38&lt;&gt;"",E38&lt;TODAY()),"⚠️延期","")</f>
        <v/>
      </c>
      <c r="H38" s="17" t="n"/>
    </row>
    <row r="39">
      <c r="A39" s="16" t="n"/>
      <c r="B39" s="16" t="n"/>
      <c r="C39" s="17" t="n"/>
      <c r="D39" s="16" t="n"/>
      <c r="E39" s="16" t="n"/>
      <c r="F39" s="16" t="n"/>
      <c r="G39" s="18">
        <f>IF(AND(D39&lt;&gt;"已完成",D39&lt;&gt;"",E39&lt;&gt;"",E39&lt;TODAY()),"⚠️延期","")</f>
        <v/>
      </c>
      <c r="H39" s="17" t="n"/>
    </row>
    <row r="40">
      <c r="A40" s="16" t="n"/>
      <c r="B40" s="16" t="n"/>
      <c r="C40" s="17" t="n"/>
      <c r="D40" s="16" t="n"/>
      <c r="E40" s="16" t="n"/>
      <c r="F40" s="16" t="n"/>
      <c r="G40" s="18">
        <f>IF(AND(D40&lt;&gt;"已完成",D40&lt;&gt;"",E40&lt;&gt;"",E40&lt;TODAY()),"⚠️延期","")</f>
        <v/>
      </c>
      <c r="H40" s="17" t="n"/>
    </row>
    <row r="41">
      <c r="A41" s="16" t="n"/>
      <c r="B41" s="16" t="n"/>
      <c r="C41" s="17" t="n"/>
      <c r="D41" s="16" t="n"/>
      <c r="E41" s="16" t="n"/>
      <c r="F41" s="16" t="n"/>
      <c r="G41" s="18">
        <f>IF(AND(D41&lt;&gt;"已完成",D41&lt;&gt;"",E41&lt;&gt;"",E41&lt;TODAY()),"⚠️延期","")</f>
        <v/>
      </c>
      <c r="H41" s="17" t="n"/>
    </row>
    <row r="42">
      <c r="A42" s="16" t="n"/>
      <c r="B42" s="16" t="n"/>
      <c r="C42" s="17" t="n"/>
      <c r="D42" s="16" t="n"/>
      <c r="E42" s="16" t="n"/>
      <c r="F42" s="16" t="n"/>
      <c r="G42" s="18">
        <f>IF(AND(D42&lt;&gt;"已完成",D42&lt;&gt;"",E42&lt;&gt;"",E42&lt;TODAY()),"⚠️延期","")</f>
        <v/>
      </c>
      <c r="H42" s="17" t="n"/>
    </row>
    <row r="43">
      <c r="A43" s="16" t="n"/>
      <c r="B43" s="16" t="n"/>
      <c r="C43" s="17" t="n"/>
      <c r="D43" s="16" t="n"/>
      <c r="E43" s="16" t="n"/>
      <c r="F43" s="16" t="n"/>
      <c r="G43" s="18">
        <f>IF(AND(D43&lt;&gt;"已完成",D43&lt;&gt;"",E43&lt;&gt;"",E43&lt;TODAY()),"⚠️延期","")</f>
        <v/>
      </c>
      <c r="H43" s="17" t="n"/>
    </row>
    <row r="44">
      <c r="A44" s="16" t="n"/>
      <c r="B44" s="16" t="n"/>
      <c r="C44" s="17" t="n"/>
      <c r="D44" s="16" t="n"/>
      <c r="E44" s="16" t="n"/>
      <c r="F44" s="16" t="n"/>
      <c r="G44" s="18">
        <f>IF(AND(D44&lt;&gt;"已完成",D44&lt;&gt;"",E44&lt;&gt;"",E44&lt;TODAY()),"⚠️延期","")</f>
        <v/>
      </c>
      <c r="H44" s="17" t="n"/>
    </row>
    <row r="45">
      <c r="A45" s="16" t="n"/>
      <c r="B45" s="16" t="n"/>
      <c r="C45" s="17" t="n"/>
      <c r="D45" s="16" t="n"/>
      <c r="E45" s="16" t="n"/>
      <c r="F45" s="16" t="n"/>
      <c r="G45" s="18">
        <f>IF(AND(D45&lt;&gt;"已完成",D45&lt;&gt;"",E45&lt;&gt;"",E45&lt;TODAY()),"⚠️延期","")</f>
        <v/>
      </c>
      <c r="H45" s="17" t="n"/>
    </row>
    <row r="46">
      <c r="A46" s="16" t="n"/>
      <c r="B46" s="16" t="n"/>
      <c r="C46" s="17" t="n"/>
      <c r="D46" s="16" t="n"/>
      <c r="E46" s="16" t="n"/>
      <c r="F46" s="16" t="n"/>
      <c r="G46" s="18">
        <f>IF(AND(D46&lt;&gt;"已完成",D46&lt;&gt;"",E46&lt;&gt;"",E46&lt;TODAY()),"⚠️延期","")</f>
        <v/>
      </c>
      <c r="H46" s="17" t="n"/>
    </row>
    <row r="47">
      <c r="A47" s="16" t="n"/>
      <c r="B47" s="16" t="n"/>
      <c r="C47" s="17" t="n"/>
      <c r="D47" s="16" t="n"/>
      <c r="E47" s="16" t="n"/>
      <c r="F47" s="16" t="n"/>
      <c r="G47" s="18">
        <f>IF(AND(D47&lt;&gt;"已完成",D47&lt;&gt;"",E47&lt;&gt;"",E47&lt;TODAY()),"⚠️延期","")</f>
        <v/>
      </c>
      <c r="H47" s="17" t="n"/>
    </row>
    <row r="48">
      <c r="A48" s="16" t="n"/>
      <c r="B48" s="16" t="n"/>
      <c r="C48" s="17" t="n"/>
      <c r="D48" s="16" t="n"/>
      <c r="E48" s="16" t="n"/>
      <c r="F48" s="16" t="n"/>
      <c r="G48" s="18">
        <f>IF(AND(D48&lt;&gt;"已完成",D48&lt;&gt;"",E48&lt;&gt;"",E48&lt;TODAY()),"⚠️延期","")</f>
        <v/>
      </c>
      <c r="H48" s="17" t="n"/>
    </row>
    <row r="49">
      <c r="A49" s="16" t="n"/>
      <c r="B49" s="16" t="n"/>
      <c r="C49" s="17" t="n"/>
      <c r="D49" s="16" t="n"/>
      <c r="E49" s="16" t="n"/>
      <c r="F49" s="16" t="n"/>
      <c r="G49" s="18">
        <f>IF(AND(D49&lt;&gt;"已完成",D49&lt;&gt;"",E49&lt;&gt;"",E49&lt;TODAY()),"⚠️延期","")</f>
        <v/>
      </c>
      <c r="H49" s="17" t="n"/>
    </row>
    <row r="50">
      <c r="A50" s="16" t="n"/>
      <c r="B50" s="16" t="n"/>
      <c r="C50" s="17" t="n"/>
      <c r="D50" s="16" t="n"/>
      <c r="E50" s="16" t="n"/>
      <c r="F50" s="16" t="n"/>
      <c r="G50" s="18">
        <f>IF(AND(D50&lt;&gt;"已完成",D50&lt;&gt;"",E50&lt;&gt;"",E50&lt;TODAY()),"⚠️延期","")</f>
        <v/>
      </c>
      <c r="H50" s="17" t="n"/>
    </row>
    <row r="51">
      <c r="A51" s="16" t="n"/>
      <c r="B51" s="16" t="n"/>
      <c r="C51" s="17" t="n"/>
      <c r="D51" s="16" t="n"/>
      <c r="E51" s="16" t="n"/>
      <c r="F51" s="16" t="n"/>
      <c r="G51" s="18">
        <f>IF(AND(D51&lt;&gt;"已完成",D51&lt;&gt;"",E51&lt;&gt;"",E51&lt;TODAY()),"⚠️延期","")</f>
        <v/>
      </c>
      <c r="H51" s="17" t="n"/>
    </row>
    <row r="52">
      <c r="A52" s="16" t="n"/>
      <c r="B52" s="16" t="n"/>
      <c r="C52" s="17" t="n"/>
      <c r="D52" s="16" t="n"/>
      <c r="E52" s="16" t="n"/>
      <c r="F52" s="16" t="n"/>
      <c r="G52" s="18">
        <f>IF(AND(D52&lt;&gt;"已完成",D52&lt;&gt;"",E52&lt;&gt;"",E52&lt;TODAY()),"⚠️延期","")</f>
        <v/>
      </c>
      <c r="H52" s="17" t="n"/>
    </row>
    <row r="53">
      <c r="A53" s="16" t="n"/>
      <c r="B53" s="16" t="n"/>
      <c r="C53" s="17" t="n"/>
      <c r="D53" s="16" t="n"/>
      <c r="E53" s="16" t="n"/>
      <c r="F53" s="16" t="n"/>
      <c r="G53" s="18">
        <f>IF(AND(D53&lt;&gt;"已完成",D53&lt;&gt;"",E53&lt;&gt;"",E53&lt;TODAY()),"⚠️延期","")</f>
        <v/>
      </c>
      <c r="H53" s="17" t="n"/>
    </row>
    <row r="54">
      <c r="A54" s="16" t="n"/>
      <c r="B54" s="16" t="n"/>
      <c r="C54" s="17" t="n"/>
      <c r="D54" s="16" t="n"/>
      <c r="E54" s="16" t="n"/>
      <c r="F54" s="16" t="n"/>
      <c r="G54" s="18">
        <f>IF(AND(D54&lt;&gt;"已完成",D54&lt;&gt;"",E54&lt;&gt;"",E54&lt;TODAY()),"⚠️延期","")</f>
        <v/>
      </c>
      <c r="H54" s="17" t="n"/>
    </row>
    <row r="55">
      <c r="A55" s="16" t="n"/>
      <c r="B55" s="16" t="n"/>
      <c r="C55" s="17" t="n"/>
      <c r="D55" s="16" t="n"/>
      <c r="E55" s="16" t="n"/>
      <c r="F55" s="16" t="n"/>
      <c r="G55" s="18">
        <f>IF(AND(D55&lt;&gt;"已完成",D55&lt;&gt;"",E55&lt;&gt;"",E55&lt;TODAY()),"⚠️延期","")</f>
        <v/>
      </c>
      <c r="H55" s="17" t="n"/>
    </row>
    <row r="56">
      <c r="A56" s="16" t="n"/>
      <c r="B56" s="16" t="n"/>
      <c r="C56" s="17" t="n"/>
      <c r="D56" s="16" t="n"/>
      <c r="E56" s="16" t="n"/>
      <c r="F56" s="16" t="n"/>
      <c r="G56" s="18">
        <f>IF(AND(D56&lt;&gt;"已完成",D56&lt;&gt;"",E56&lt;&gt;"",E56&lt;TODAY()),"⚠️延期","")</f>
        <v/>
      </c>
      <c r="H56" s="17" t="n"/>
    </row>
    <row r="57">
      <c r="A57" s="16" t="n"/>
      <c r="B57" s="16" t="n"/>
      <c r="C57" s="17" t="n"/>
      <c r="D57" s="16" t="n"/>
      <c r="E57" s="16" t="n"/>
      <c r="F57" s="16" t="n"/>
      <c r="G57" s="18">
        <f>IF(AND(D57&lt;&gt;"已完成",D57&lt;&gt;"",E57&lt;&gt;"",E57&lt;TODAY()),"⚠️延期","")</f>
        <v/>
      </c>
      <c r="H57" s="17" t="n"/>
    </row>
    <row r="58">
      <c r="A58" s="16" t="n"/>
      <c r="B58" s="16" t="n"/>
      <c r="C58" s="17" t="n"/>
      <c r="D58" s="16" t="n"/>
      <c r="E58" s="16" t="n"/>
      <c r="F58" s="16" t="n"/>
      <c r="G58" s="18">
        <f>IF(AND(D58&lt;&gt;"已完成",D58&lt;&gt;"",E58&lt;&gt;"",E58&lt;TODAY()),"⚠️延期","")</f>
        <v/>
      </c>
      <c r="H58" s="17" t="n"/>
    </row>
    <row r="59">
      <c r="A59" s="16" t="n"/>
      <c r="B59" s="16" t="n"/>
      <c r="C59" s="17" t="n"/>
      <c r="D59" s="16" t="n"/>
      <c r="E59" s="16" t="n"/>
      <c r="F59" s="16" t="n"/>
      <c r="G59" s="18">
        <f>IF(AND(D59&lt;&gt;"已完成",D59&lt;&gt;"",E59&lt;&gt;"",E59&lt;TODAY()),"⚠️延期","")</f>
        <v/>
      </c>
      <c r="H59" s="17" t="n"/>
    </row>
    <row r="60">
      <c r="A60" s="16" t="n"/>
      <c r="B60" s="16" t="n"/>
      <c r="C60" s="17" t="n"/>
      <c r="D60" s="16" t="n"/>
      <c r="E60" s="16" t="n"/>
      <c r="F60" s="16" t="n"/>
      <c r="G60" s="18">
        <f>IF(AND(D60&lt;&gt;"已完成",D60&lt;&gt;"",E60&lt;&gt;"",E60&lt;TODAY()),"⚠️延期","")</f>
        <v/>
      </c>
      <c r="H60" s="17" t="n"/>
    </row>
    <row r="61">
      <c r="A61" s="16" t="n"/>
      <c r="B61" s="16" t="n"/>
      <c r="C61" s="17" t="n"/>
      <c r="D61" s="16" t="n"/>
      <c r="E61" s="16" t="n"/>
      <c r="F61" s="16" t="n"/>
      <c r="G61" s="18">
        <f>IF(AND(D61&lt;&gt;"已完成",D61&lt;&gt;"",E61&lt;&gt;"",E61&lt;TODAY()),"⚠️延期","")</f>
        <v/>
      </c>
      <c r="H61" s="17" t="n"/>
    </row>
    <row r="62">
      <c r="A62" s="16" t="n"/>
      <c r="B62" s="16" t="n"/>
      <c r="C62" s="17" t="n"/>
      <c r="D62" s="16" t="n"/>
      <c r="E62" s="16" t="n"/>
      <c r="F62" s="16" t="n"/>
      <c r="G62" s="18">
        <f>IF(AND(D62&lt;&gt;"已完成",D62&lt;&gt;"",E62&lt;&gt;"",E62&lt;TODAY()),"⚠️延期","")</f>
        <v/>
      </c>
      <c r="H62" s="17" t="n"/>
    </row>
    <row r="63">
      <c r="A63" s="16" t="n"/>
      <c r="B63" s="16" t="n"/>
      <c r="C63" s="17" t="n"/>
      <c r="D63" s="16" t="n"/>
      <c r="E63" s="16" t="n"/>
      <c r="F63" s="16" t="n"/>
      <c r="G63" s="18">
        <f>IF(AND(D63&lt;&gt;"已完成",D63&lt;&gt;"",E63&lt;&gt;"",E63&lt;TODAY()),"⚠️延期","")</f>
        <v/>
      </c>
      <c r="H63" s="17" t="n"/>
    </row>
    <row r="64">
      <c r="A64" s="16" t="n"/>
      <c r="B64" s="16" t="n"/>
      <c r="C64" s="17" t="n"/>
      <c r="D64" s="16" t="n"/>
      <c r="E64" s="16" t="n"/>
      <c r="F64" s="16" t="n"/>
      <c r="G64" s="18">
        <f>IF(AND(D64&lt;&gt;"已完成",D64&lt;&gt;"",E64&lt;&gt;"",E64&lt;TODAY()),"⚠️延期","")</f>
        <v/>
      </c>
      <c r="H64" s="17" t="n"/>
    </row>
    <row r="65">
      <c r="A65" s="16" t="n"/>
      <c r="B65" s="16" t="n"/>
      <c r="C65" s="17" t="n"/>
      <c r="D65" s="16" t="n"/>
      <c r="E65" s="16" t="n"/>
      <c r="F65" s="16" t="n"/>
      <c r="G65" s="18">
        <f>IF(AND(D65&lt;&gt;"已完成",D65&lt;&gt;"",E65&lt;&gt;"",E65&lt;TODAY()),"⚠️延期","")</f>
        <v/>
      </c>
      <c r="H65" s="17" t="n"/>
    </row>
    <row r="66">
      <c r="A66" s="16" t="n"/>
      <c r="B66" s="16" t="n"/>
      <c r="C66" s="17" t="n"/>
      <c r="D66" s="16" t="n"/>
      <c r="E66" s="16" t="n"/>
      <c r="F66" s="16" t="n"/>
      <c r="G66" s="18">
        <f>IF(AND(D66&lt;&gt;"已完成",D66&lt;&gt;"",E66&lt;&gt;"",E66&lt;TODAY()),"⚠️延期","")</f>
        <v/>
      </c>
      <c r="H66" s="17" t="n"/>
    </row>
    <row r="67">
      <c r="A67" s="16" t="n"/>
      <c r="B67" s="16" t="n"/>
      <c r="C67" s="17" t="n"/>
      <c r="D67" s="16" t="n"/>
      <c r="E67" s="16" t="n"/>
      <c r="F67" s="16" t="n"/>
      <c r="G67" s="18">
        <f>IF(AND(D67&lt;&gt;"已完成",D67&lt;&gt;"",E67&lt;&gt;"",E67&lt;TODAY()),"⚠️延期","")</f>
        <v/>
      </c>
      <c r="H67" s="17" t="n"/>
    </row>
    <row r="68">
      <c r="A68" s="16" t="n"/>
      <c r="B68" s="16" t="n"/>
      <c r="C68" s="17" t="n"/>
      <c r="D68" s="16" t="n"/>
      <c r="E68" s="16" t="n"/>
      <c r="F68" s="16" t="n"/>
      <c r="G68" s="18">
        <f>IF(AND(D68&lt;&gt;"已完成",D68&lt;&gt;"",E68&lt;&gt;"",E68&lt;TODAY()),"⚠️延期","")</f>
        <v/>
      </c>
      <c r="H68" s="17" t="n"/>
    </row>
    <row r="69">
      <c r="A69" s="16" t="n"/>
      <c r="B69" s="16" t="n"/>
      <c r="C69" s="17" t="n"/>
      <c r="D69" s="16" t="n"/>
      <c r="E69" s="16" t="n"/>
      <c r="F69" s="16" t="n"/>
      <c r="G69" s="18">
        <f>IF(AND(D69&lt;&gt;"已完成",D69&lt;&gt;"",E69&lt;&gt;"",E69&lt;TODAY()),"⚠️延期","")</f>
        <v/>
      </c>
      <c r="H69" s="17" t="n"/>
    </row>
    <row r="70">
      <c r="A70" s="16" t="n"/>
      <c r="B70" s="16" t="n"/>
      <c r="C70" s="17" t="n"/>
      <c r="D70" s="16" t="n"/>
      <c r="E70" s="16" t="n"/>
      <c r="F70" s="16" t="n"/>
      <c r="G70" s="18">
        <f>IF(AND(D70&lt;&gt;"已完成",D70&lt;&gt;"",E70&lt;&gt;"",E70&lt;TODAY()),"⚠️延期","")</f>
        <v/>
      </c>
      <c r="H70" s="17" t="n"/>
    </row>
    <row r="71">
      <c r="A71" s="16" t="n"/>
      <c r="B71" s="16" t="n"/>
      <c r="C71" s="17" t="n"/>
      <c r="D71" s="16" t="n"/>
      <c r="E71" s="16" t="n"/>
      <c r="F71" s="16" t="n"/>
      <c r="G71" s="18">
        <f>IF(AND(D71&lt;&gt;"已完成",D71&lt;&gt;"",E71&lt;&gt;"",E71&lt;TODAY()),"⚠️延期","")</f>
        <v/>
      </c>
      <c r="H71" s="17" t="n"/>
    </row>
    <row r="72">
      <c r="A72" s="16" t="n"/>
      <c r="B72" s="16" t="n"/>
      <c r="C72" s="17" t="n"/>
      <c r="D72" s="16" t="n"/>
      <c r="E72" s="16" t="n"/>
      <c r="F72" s="16" t="n"/>
      <c r="G72" s="18">
        <f>IF(AND(D72&lt;&gt;"已完成",D72&lt;&gt;"",E72&lt;&gt;"",E72&lt;TODAY()),"⚠️延期","")</f>
        <v/>
      </c>
      <c r="H72" s="17" t="n"/>
    </row>
    <row r="73">
      <c r="A73" s="16" t="n"/>
      <c r="B73" s="16" t="n"/>
      <c r="C73" s="17" t="n"/>
      <c r="D73" s="16" t="n"/>
      <c r="E73" s="16" t="n"/>
      <c r="F73" s="16" t="n"/>
      <c r="G73" s="18">
        <f>IF(AND(D73&lt;&gt;"已完成",D73&lt;&gt;"",E73&lt;&gt;"",E73&lt;TODAY()),"⚠️延期","")</f>
        <v/>
      </c>
      <c r="H73" s="17" t="n"/>
    </row>
    <row r="74">
      <c r="A74" s="16" t="n"/>
      <c r="B74" s="16" t="n"/>
      <c r="C74" s="17" t="n"/>
      <c r="D74" s="16" t="n"/>
      <c r="E74" s="16" t="n"/>
      <c r="F74" s="16" t="n"/>
      <c r="G74" s="18">
        <f>IF(AND(D74&lt;&gt;"已完成",D74&lt;&gt;"",E74&lt;&gt;"",E74&lt;TODAY()),"⚠️延期","")</f>
        <v/>
      </c>
      <c r="H74" s="17" t="n"/>
    </row>
    <row r="75">
      <c r="A75" s="16" t="n"/>
      <c r="B75" s="16" t="n"/>
      <c r="C75" s="17" t="n"/>
      <c r="D75" s="16" t="n"/>
      <c r="E75" s="16" t="n"/>
      <c r="F75" s="16" t="n"/>
      <c r="G75" s="18">
        <f>IF(AND(D75&lt;&gt;"已完成",D75&lt;&gt;"",E75&lt;&gt;"",E75&lt;TODAY()),"⚠️延期","")</f>
        <v/>
      </c>
      <c r="H75" s="17" t="n"/>
    </row>
    <row r="76">
      <c r="A76" s="16" t="n"/>
      <c r="B76" s="16" t="n"/>
      <c r="C76" s="17" t="n"/>
      <c r="D76" s="16" t="n"/>
      <c r="E76" s="16" t="n"/>
      <c r="F76" s="16" t="n"/>
      <c r="G76" s="18">
        <f>IF(AND(D76&lt;&gt;"已完成",D76&lt;&gt;"",E76&lt;&gt;"",E76&lt;TODAY()),"⚠️延期","")</f>
        <v/>
      </c>
      <c r="H76" s="17" t="n"/>
    </row>
    <row r="77">
      <c r="A77" s="16" t="n"/>
      <c r="B77" s="16" t="n"/>
      <c r="C77" s="17" t="n"/>
      <c r="D77" s="16" t="n"/>
      <c r="E77" s="16" t="n"/>
      <c r="F77" s="16" t="n"/>
      <c r="G77" s="18">
        <f>IF(AND(D77&lt;&gt;"已完成",D77&lt;&gt;"",E77&lt;&gt;"",E77&lt;TODAY()),"⚠️延期","")</f>
        <v/>
      </c>
      <c r="H77" s="17" t="n"/>
    </row>
    <row r="78">
      <c r="A78" s="16" t="n"/>
      <c r="B78" s="16" t="n"/>
      <c r="C78" s="17" t="n"/>
      <c r="D78" s="16" t="n"/>
      <c r="E78" s="16" t="n"/>
      <c r="F78" s="16" t="n"/>
      <c r="G78" s="18">
        <f>IF(AND(D78&lt;&gt;"已完成",D78&lt;&gt;"",E78&lt;&gt;"",E78&lt;TODAY()),"⚠️延期","")</f>
        <v/>
      </c>
      <c r="H78" s="17" t="n"/>
    </row>
    <row r="79">
      <c r="A79" s="16" t="n"/>
      <c r="B79" s="16" t="n"/>
      <c r="C79" s="17" t="n"/>
      <c r="D79" s="16" t="n"/>
      <c r="E79" s="16" t="n"/>
      <c r="F79" s="16" t="n"/>
      <c r="G79" s="18">
        <f>IF(AND(D79&lt;&gt;"已完成",D79&lt;&gt;"",E79&lt;&gt;"",E79&lt;TODAY()),"⚠️延期","")</f>
        <v/>
      </c>
      <c r="H79" s="17" t="n"/>
    </row>
    <row r="80">
      <c r="A80" s="16" t="n"/>
      <c r="B80" s="16" t="n"/>
      <c r="C80" s="17" t="n"/>
      <c r="D80" s="16" t="n"/>
      <c r="E80" s="16" t="n"/>
      <c r="F80" s="16" t="n"/>
      <c r="G80" s="18">
        <f>IF(AND(D80&lt;&gt;"已完成",D80&lt;&gt;"",E80&lt;&gt;"",E80&lt;TODAY()),"⚠️延期","")</f>
        <v/>
      </c>
      <c r="H80" s="17" t="n"/>
    </row>
    <row r="81">
      <c r="A81" s="16" t="n"/>
      <c r="B81" s="16" t="n"/>
      <c r="C81" s="17" t="n"/>
      <c r="D81" s="16" t="n"/>
      <c r="E81" s="16" t="n"/>
      <c r="F81" s="16" t="n"/>
      <c r="G81" s="18">
        <f>IF(AND(D81&lt;&gt;"已完成",D81&lt;&gt;"",E81&lt;&gt;"",E81&lt;TODAY()),"⚠️延期","")</f>
        <v/>
      </c>
      <c r="H81" s="17" t="n"/>
    </row>
    <row r="82">
      <c r="A82" s="16" t="n"/>
      <c r="B82" s="16" t="n"/>
      <c r="C82" s="17" t="n"/>
      <c r="D82" s="16" t="n"/>
      <c r="E82" s="16" t="n"/>
      <c r="F82" s="16" t="n"/>
      <c r="G82" s="18">
        <f>IF(AND(D82&lt;&gt;"已完成",D82&lt;&gt;"",E82&lt;&gt;"",E82&lt;TODAY()),"⚠️延期","")</f>
        <v/>
      </c>
      <c r="H82" s="17" t="n"/>
    </row>
    <row r="83">
      <c r="A83" s="16" t="n"/>
      <c r="B83" s="16" t="n"/>
      <c r="C83" s="17" t="n"/>
      <c r="D83" s="16" t="n"/>
      <c r="E83" s="16" t="n"/>
      <c r="F83" s="16" t="n"/>
      <c r="G83" s="18">
        <f>IF(AND(D83&lt;&gt;"已完成",D83&lt;&gt;"",E83&lt;&gt;"",E83&lt;TODAY()),"⚠️延期","")</f>
        <v/>
      </c>
      <c r="H83" s="17" t="n"/>
    </row>
    <row r="84">
      <c r="A84" s="16" t="n"/>
      <c r="B84" s="16" t="n"/>
      <c r="C84" s="17" t="n"/>
      <c r="D84" s="16" t="n"/>
      <c r="E84" s="16" t="n"/>
      <c r="F84" s="16" t="n"/>
      <c r="G84" s="18">
        <f>IF(AND(D84&lt;&gt;"已完成",D84&lt;&gt;"",E84&lt;&gt;"",E84&lt;TODAY()),"⚠️延期","")</f>
        <v/>
      </c>
      <c r="H84" s="17" t="n"/>
    </row>
    <row r="85">
      <c r="A85" s="16" t="n"/>
      <c r="B85" s="16" t="n"/>
      <c r="C85" s="17" t="n"/>
      <c r="D85" s="16" t="n"/>
      <c r="E85" s="16" t="n"/>
      <c r="F85" s="16" t="n"/>
      <c r="G85" s="18">
        <f>IF(AND(D85&lt;&gt;"已完成",D85&lt;&gt;"",E85&lt;&gt;"",E85&lt;TODAY()),"⚠️延期","")</f>
        <v/>
      </c>
      <c r="H85" s="17" t="n"/>
    </row>
    <row r="86">
      <c r="A86" s="16" t="n"/>
      <c r="B86" s="16" t="n"/>
      <c r="C86" s="17" t="n"/>
      <c r="D86" s="16" t="n"/>
      <c r="E86" s="16" t="n"/>
      <c r="F86" s="16" t="n"/>
      <c r="G86" s="18">
        <f>IF(AND(D86&lt;&gt;"已完成",D86&lt;&gt;"",E86&lt;&gt;"",E86&lt;TODAY()),"⚠️延期","")</f>
        <v/>
      </c>
      <c r="H86" s="17" t="n"/>
    </row>
    <row r="87">
      <c r="A87" s="16" t="n"/>
      <c r="B87" s="16" t="n"/>
      <c r="C87" s="17" t="n"/>
      <c r="D87" s="16" t="n"/>
      <c r="E87" s="16" t="n"/>
      <c r="F87" s="16" t="n"/>
      <c r="G87" s="18">
        <f>IF(AND(D87&lt;&gt;"已完成",D87&lt;&gt;"",E87&lt;&gt;"",E87&lt;TODAY()),"⚠️延期","")</f>
        <v/>
      </c>
      <c r="H87" s="17" t="n"/>
    </row>
    <row r="88">
      <c r="A88" s="16" t="n"/>
      <c r="B88" s="16" t="n"/>
      <c r="C88" s="17" t="n"/>
      <c r="D88" s="16" t="n"/>
      <c r="E88" s="16" t="n"/>
      <c r="F88" s="16" t="n"/>
      <c r="G88" s="18">
        <f>IF(AND(D88&lt;&gt;"已完成",D88&lt;&gt;"",E88&lt;&gt;"",E88&lt;TODAY()),"⚠️延期","")</f>
        <v/>
      </c>
      <c r="H88" s="17" t="n"/>
    </row>
    <row r="89">
      <c r="A89" s="16" t="n"/>
      <c r="B89" s="16" t="n"/>
      <c r="C89" s="17" t="n"/>
      <c r="D89" s="16" t="n"/>
      <c r="E89" s="16" t="n"/>
      <c r="F89" s="16" t="n"/>
      <c r="G89" s="18">
        <f>IF(AND(D89&lt;&gt;"已完成",D89&lt;&gt;"",E89&lt;&gt;"",E89&lt;TODAY()),"⚠️延期","")</f>
        <v/>
      </c>
      <c r="H89" s="17" t="n"/>
    </row>
    <row r="90">
      <c r="A90" s="16" t="n"/>
      <c r="B90" s="16" t="n"/>
      <c r="C90" s="17" t="n"/>
      <c r="D90" s="16" t="n"/>
      <c r="E90" s="16" t="n"/>
      <c r="F90" s="16" t="n"/>
      <c r="G90" s="18">
        <f>IF(AND(D90&lt;&gt;"已完成",D90&lt;&gt;"",E90&lt;&gt;"",E90&lt;TODAY()),"⚠️延期","")</f>
        <v/>
      </c>
      <c r="H90" s="17" t="n"/>
    </row>
    <row r="91">
      <c r="A91" s="16" t="n"/>
      <c r="B91" s="16" t="n"/>
      <c r="C91" s="17" t="n"/>
      <c r="D91" s="16" t="n"/>
      <c r="E91" s="16" t="n"/>
      <c r="F91" s="16" t="n"/>
      <c r="G91" s="18">
        <f>IF(AND(D91&lt;&gt;"已完成",D91&lt;&gt;"",E91&lt;&gt;"",E91&lt;TODAY()),"⚠️延期","")</f>
        <v/>
      </c>
      <c r="H91" s="17" t="n"/>
    </row>
    <row r="92">
      <c r="A92" s="16" t="n"/>
      <c r="B92" s="16" t="n"/>
      <c r="C92" s="17" t="n"/>
      <c r="D92" s="16" t="n"/>
      <c r="E92" s="16" t="n"/>
      <c r="F92" s="16" t="n"/>
      <c r="G92" s="18">
        <f>IF(AND(D92&lt;&gt;"已完成",D92&lt;&gt;"",E92&lt;&gt;"",E92&lt;TODAY()),"⚠️延期","")</f>
        <v/>
      </c>
      <c r="H92" s="17" t="n"/>
    </row>
    <row r="93">
      <c r="A93" s="16" t="n"/>
      <c r="B93" s="16" t="n"/>
      <c r="C93" s="17" t="n"/>
      <c r="D93" s="16" t="n"/>
      <c r="E93" s="16" t="n"/>
      <c r="F93" s="16" t="n"/>
      <c r="G93" s="18">
        <f>IF(AND(D93&lt;&gt;"已完成",D93&lt;&gt;"",E93&lt;&gt;"",E93&lt;TODAY()),"⚠️延期","")</f>
        <v/>
      </c>
      <c r="H93" s="17" t="n"/>
    </row>
    <row r="94">
      <c r="A94" s="16" t="n"/>
      <c r="B94" s="16" t="n"/>
      <c r="C94" s="17" t="n"/>
      <c r="D94" s="16" t="n"/>
      <c r="E94" s="16" t="n"/>
      <c r="F94" s="16" t="n"/>
      <c r="G94" s="18">
        <f>IF(AND(D94&lt;&gt;"已完成",D94&lt;&gt;"",E94&lt;&gt;"",E94&lt;TODAY()),"⚠️延期","")</f>
        <v/>
      </c>
      <c r="H94" s="17" t="n"/>
    </row>
    <row r="95">
      <c r="A95" s="16" t="n"/>
      <c r="B95" s="16" t="n"/>
      <c r="C95" s="17" t="n"/>
      <c r="D95" s="16" t="n"/>
      <c r="E95" s="16" t="n"/>
      <c r="F95" s="16" t="n"/>
      <c r="G95" s="18">
        <f>IF(AND(D95&lt;&gt;"已完成",D95&lt;&gt;"",E95&lt;&gt;"",E95&lt;TODAY()),"⚠️延期","")</f>
        <v/>
      </c>
      <c r="H95" s="17" t="n"/>
    </row>
    <row r="96">
      <c r="A96" s="16" t="n"/>
      <c r="B96" s="16" t="n"/>
      <c r="C96" s="17" t="n"/>
      <c r="D96" s="16" t="n"/>
      <c r="E96" s="16" t="n"/>
      <c r="F96" s="16" t="n"/>
      <c r="G96" s="18">
        <f>IF(AND(D96&lt;&gt;"已完成",D96&lt;&gt;"",E96&lt;&gt;"",E96&lt;TODAY()),"⚠️延期","")</f>
        <v/>
      </c>
      <c r="H96" s="17" t="n"/>
    </row>
    <row r="97">
      <c r="A97" s="16" t="n"/>
      <c r="B97" s="16" t="n"/>
      <c r="C97" s="17" t="n"/>
      <c r="D97" s="16" t="n"/>
      <c r="E97" s="16" t="n"/>
      <c r="F97" s="16" t="n"/>
      <c r="G97" s="18">
        <f>IF(AND(D97&lt;&gt;"已完成",D97&lt;&gt;"",E97&lt;&gt;"",E97&lt;TODAY()),"⚠️延期","")</f>
        <v/>
      </c>
      <c r="H97" s="17" t="n"/>
    </row>
    <row r="98">
      <c r="A98" s="16" t="n"/>
      <c r="B98" s="16" t="n"/>
      <c r="C98" s="17" t="n"/>
      <c r="D98" s="16" t="n"/>
      <c r="E98" s="16" t="n"/>
      <c r="F98" s="16" t="n"/>
      <c r="G98" s="18">
        <f>IF(AND(D98&lt;&gt;"已完成",D98&lt;&gt;"",E98&lt;&gt;"",E98&lt;TODAY()),"⚠️延期","")</f>
        <v/>
      </c>
      <c r="H98" s="17" t="n"/>
    </row>
    <row r="99">
      <c r="A99" s="16" t="n"/>
      <c r="B99" s="16" t="n"/>
      <c r="C99" s="17" t="n"/>
      <c r="D99" s="16" t="n"/>
      <c r="E99" s="16" t="n"/>
      <c r="F99" s="16" t="n"/>
      <c r="G99" s="18">
        <f>IF(AND(D99&lt;&gt;"已完成",D99&lt;&gt;"",E99&lt;&gt;"",E99&lt;TODAY()),"⚠️延期","")</f>
        <v/>
      </c>
      <c r="H99" s="17" t="n"/>
    </row>
    <row r="100">
      <c r="A100" s="16" t="n"/>
      <c r="B100" s="16" t="n"/>
      <c r="C100" s="17" t="n"/>
      <c r="D100" s="16" t="n"/>
      <c r="E100" s="16" t="n"/>
      <c r="F100" s="16" t="n"/>
      <c r="G100" s="18">
        <f>IF(AND(D100&lt;&gt;"已完成",D100&lt;&gt;"",E100&lt;&gt;"",E100&lt;TODAY()),"⚠️延期","")</f>
        <v/>
      </c>
      <c r="H100" s="17" t="n"/>
    </row>
    <row r="101">
      <c r="A101" s="16" t="n"/>
      <c r="B101" s="16" t="n"/>
      <c r="C101" s="17" t="n"/>
      <c r="D101" s="16" t="n"/>
      <c r="E101" s="16" t="n"/>
      <c r="F101" s="16" t="n"/>
      <c r="G101" s="18">
        <f>IF(AND(D101&lt;&gt;"已完成",D101&lt;&gt;"",E101&lt;&gt;"",E101&lt;TODAY()),"⚠️延期","")</f>
        <v/>
      </c>
      <c r="H101" s="17" t="n"/>
    </row>
    <row r="102">
      <c r="A102" s="16" t="n"/>
      <c r="B102" s="16" t="n"/>
      <c r="C102" s="17" t="n"/>
      <c r="D102" s="16" t="n"/>
      <c r="E102" s="16" t="n"/>
      <c r="F102" s="16" t="n"/>
      <c r="G102" s="18">
        <f>IF(AND(D102&lt;&gt;"已完成",D102&lt;&gt;"",E102&lt;&gt;"",E102&lt;TODAY()),"⚠️延期","")</f>
        <v/>
      </c>
      <c r="H102" s="17" t="n"/>
    </row>
    <row r="103">
      <c r="A103" s="16" t="n"/>
      <c r="B103" s="16" t="n"/>
      <c r="C103" s="17" t="n"/>
      <c r="D103" s="16" t="n"/>
      <c r="E103" s="16" t="n"/>
      <c r="F103" s="16" t="n"/>
      <c r="G103" s="18">
        <f>IF(AND(D103&lt;&gt;"已完成",D103&lt;&gt;"",E103&lt;&gt;"",E103&lt;TODAY()),"⚠️延期","")</f>
        <v/>
      </c>
      <c r="H103" s="17" t="n"/>
    </row>
    <row r="104">
      <c r="A104" s="16" t="n"/>
      <c r="B104" s="16" t="n"/>
      <c r="C104" s="17" t="n"/>
      <c r="D104" s="16" t="n"/>
      <c r="E104" s="16" t="n"/>
      <c r="F104" s="16" t="n"/>
      <c r="G104" s="18">
        <f>IF(AND(D104&lt;&gt;"已完成",D104&lt;&gt;"",E104&lt;&gt;"",E104&lt;TODAY()),"⚠️延期","")</f>
        <v/>
      </c>
      <c r="H104" s="17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D5:D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H104">
    <cfRule type="expression" priority="7" dxfId="5">
      <formula>$G5="⚠️延期"</formula>
    </cfRule>
  </conditionalFormatting>
  <dataValidations count="2">
    <dataValidation sqref="B5:B104" showDropDown="0" showInputMessage="0" showErrorMessage="0" allowBlank="1" type="list">
      <formula1>=选项!$A$2:$A$8</formula1>
    </dataValidation>
    <dataValidation sqref="D5:D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2" customWidth="1" min="3" max="3"/>
    <col width="10" customWidth="1" min="4" max="4"/>
    <col width="12" customWidth="1" min="5" max="5"/>
    <col width="12" customWidth="1" min="6" max="6"/>
    <col width="10" customWidth="1" min="7" max="7"/>
    <col width="20" customWidth="1" min="8" max="8"/>
  </cols>
  <sheetData>
    <row r="1" ht="24" customHeight="1">
      <c r="A1" s="13" t="inlineStr">
        <is>
          <t>贸易-咩咩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COUNTA(C5:C104)</f>
        <v/>
      </c>
      <c r="B3" s="14">
        <f>COUNTIF(D5:D104,"已完成")</f>
        <v/>
      </c>
      <c r="C3" s="14">
        <f>COUNTIF(D5:D104,"进行中")</f>
        <v/>
      </c>
      <c r="D3" s="14">
        <f>COUNTIF(G5:G104,"⚠️延期")+COUNTIF(D5:D104,"已延期")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项目</t>
        </is>
      </c>
      <c r="C4" s="15" t="inlineStr">
        <is>
          <t>工作内容</t>
        </is>
      </c>
      <c r="D4" s="15" t="inlineStr">
        <is>
          <t>状态</t>
        </is>
      </c>
      <c r="E4" s="15" t="inlineStr">
        <is>
          <t>计划完成日</t>
        </is>
      </c>
      <c r="F4" s="15" t="inlineStr">
        <is>
          <t>实际完成日</t>
        </is>
      </c>
      <c r="G4" s="15" t="inlineStr">
        <is>
          <t>是否延期</t>
        </is>
      </c>
      <c r="H4" s="15" t="inlineStr">
        <is>
          <t>备注</t>
        </is>
      </c>
    </row>
    <row r="5">
      <c r="A5" s="16" t="inlineStr">
        <is>
          <t>2026-08-11</t>
        </is>
      </c>
      <c r="B5" s="16" t="inlineStr">
        <is>
          <t>贸易</t>
        </is>
      </c>
      <c r="C5" s="17" t="inlineStr">
        <is>
          <t>考勤拉取 / 工资表制作</t>
        </is>
      </c>
      <c r="D5" s="16" t="inlineStr">
        <is>
          <t>进行中</t>
        </is>
      </c>
      <c r="E5" s="16" t="inlineStr">
        <is>
          <t>2026-08-12</t>
        </is>
      </c>
      <c r="F5" s="16" t="n"/>
      <c r="G5" s="18">
        <f>IF(AND(D5&lt;&gt;"已完成",D5&lt;&gt;"",E5&lt;&gt;"",E5&lt;TODAY()),"⚠️延期","")</f>
        <v/>
      </c>
      <c r="H5" s="17" t="n"/>
    </row>
    <row r="6">
      <c r="A6" s="16" t="inlineStr">
        <is>
          <t>2026-08-11</t>
        </is>
      </c>
      <c r="B6" s="16" t="inlineStr">
        <is>
          <t>贸易</t>
        </is>
      </c>
      <c r="C6" s="17" t="inlineStr">
        <is>
          <t>预算表格制作</t>
        </is>
      </c>
      <c r="D6" s="16" t="inlineStr">
        <is>
          <t>未开始</t>
        </is>
      </c>
      <c r="E6" s="16" t="inlineStr">
        <is>
          <t>2026-08-15</t>
        </is>
      </c>
      <c r="F6" s="16" t="n"/>
      <c r="G6" s="18">
        <f>IF(AND(D6&lt;&gt;"已完成",D6&lt;&gt;"",E6&lt;&gt;"",E6&lt;TODAY()),"⚠️延期","")</f>
        <v/>
      </c>
      <c r="H6" s="17" t="n"/>
    </row>
    <row r="7">
      <c r="A7" s="16" t="n"/>
      <c r="B7" s="16" t="n"/>
      <c r="C7" s="17" t="n"/>
      <c r="D7" s="16" t="n"/>
      <c r="E7" s="16" t="n"/>
      <c r="F7" s="16" t="n"/>
      <c r="G7" s="18">
        <f>IF(AND(D7&lt;&gt;"已完成",D7&lt;&gt;"",E7&lt;&gt;"",E7&lt;TODAY()),"⚠️延期","")</f>
        <v/>
      </c>
      <c r="H7" s="17" t="n"/>
    </row>
    <row r="8">
      <c r="A8" s="16" t="n"/>
      <c r="B8" s="16" t="n"/>
      <c r="C8" s="17" t="n"/>
      <c r="D8" s="16" t="n"/>
      <c r="E8" s="16" t="n"/>
      <c r="F8" s="16" t="n"/>
      <c r="G8" s="18">
        <f>IF(AND(D8&lt;&gt;"已完成",D8&lt;&gt;"",E8&lt;&gt;"",E8&lt;TODAY()),"⚠️延期","")</f>
        <v/>
      </c>
      <c r="H8" s="17" t="n"/>
    </row>
    <row r="9">
      <c r="A9" s="16" t="n"/>
      <c r="B9" s="16" t="n"/>
      <c r="C9" s="17" t="n"/>
      <c r="D9" s="16" t="n"/>
      <c r="E9" s="16" t="n"/>
      <c r="F9" s="16" t="n"/>
      <c r="G9" s="18">
        <f>IF(AND(D9&lt;&gt;"已完成",D9&lt;&gt;"",E9&lt;&gt;"",E9&lt;TODAY()),"⚠️延期","")</f>
        <v/>
      </c>
      <c r="H9" s="17" t="n"/>
    </row>
    <row r="10">
      <c r="A10" s="16" t="n"/>
      <c r="B10" s="16" t="n"/>
      <c r="C10" s="17" t="n"/>
      <c r="D10" s="16" t="n"/>
      <c r="E10" s="16" t="n"/>
      <c r="F10" s="16" t="n"/>
      <c r="G10" s="18">
        <f>IF(AND(D10&lt;&gt;"已完成",D10&lt;&gt;"",E10&lt;&gt;"",E10&lt;TODAY()),"⚠️延期","")</f>
        <v/>
      </c>
      <c r="H10" s="17" t="n"/>
    </row>
    <row r="11">
      <c r="A11" s="16" t="n"/>
      <c r="B11" s="16" t="n"/>
      <c r="C11" s="17" t="n"/>
      <c r="D11" s="16" t="n"/>
      <c r="E11" s="16" t="n"/>
      <c r="F11" s="16" t="n"/>
      <c r="G11" s="18">
        <f>IF(AND(D11&lt;&gt;"已完成",D11&lt;&gt;"",E11&lt;&gt;"",E11&lt;TODAY()),"⚠️延期","")</f>
        <v/>
      </c>
      <c r="H11" s="17" t="n"/>
    </row>
    <row r="12">
      <c r="A12" s="16" t="n"/>
      <c r="B12" s="16" t="n"/>
      <c r="C12" s="17" t="n"/>
      <c r="D12" s="16" t="n"/>
      <c r="E12" s="16" t="n"/>
      <c r="F12" s="16" t="n"/>
      <c r="G12" s="18">
        <f>IF(AND(D12&lt;&gt;"已完成",D12&lt;&gt;"",E12&lt;&gt;"",E12&lt;TODAY()),"⚠️延期","")</f>
        <v/>
      </c>
      <c r="H12" s="17" t="n"/>
    </row>
    <row r="13">
      <c r="A13" s="16" t="n"/>
      <c r="B13" s="16" t="n"/>
      <c r="C13" s="17" t="n"/>
      <c r="D13" s="16" t="n"/>
      <c r="E13" s="16" t="n"/>
      <c r="F13" s="16" t="n"/>
      <c r="G13" s="18">
        <f>IF(AND(D13&lt;&gt;"已完成",D13&lt;&gt;"",E13&lt;&gt;"",E13&lt;TODAY()),"⚠️延期","")</f>
        <v/>
      </c>
      <c r="H13" s="17" t="n"/>
    </row>
    <row r="14">
      <c r="A14" s="16" t="n"/>
      <c r="B14" s="16" t="n"/>
      <c r="C14" s="17" t="n"/>
      <c r="D14" s="16" t="n"/>
      <c r="E14" s="16" t="n"/>
      <c r="F14" s="16" t="n"/>
      <c r="G14" s="18">
        <f>IF(AND(D14&lt;&gt;"已完成",D14&lt;&gt;"",E14&lt;&gt;"",E14&lt;TODAY()),"⚠️延期","")</f>
        <v/>
      </c>
      <c r="H14" s="17" t="n"/>
    </row>
    <row r="15">
      <c r="A15" s="16" t="n"/>
      <c r="B15" s="16" t="n"/>
      <c r="C15" s="17" t="n"/>
      <c r="D15" s="16" t="n"/>
      <c r="E15" s="16" t="n"/>
      <c r="F15" s="16" t="n"/>
      <c r="G15" s="18">
        <f>IF(AND(D15&lt;&gt;"已完成",D15&lt;&gt;"",E15&lt;&gt;"",E15&lt;TODAY()),"⚠️延期","")</f>
        <v/>
      </c>
      <c r="H15" s="17" t="n"/>
    </row>
    <row r="16">
      <c r="A16" s="16" t="n"/>
      <c r="B16" s="16" t="n"/>
      <c r="C16" s="17" t="n"/>
      <c r="D16" s="16" t="n"/>
      <c r="E16" s="16" t="n"/>
      <c r="F16" s="16" t="n"/>
      <c r="G16" s="18">
        <f>IF(AND(D16&lt;&gt;"已完成",D16&lt;&gt;"",E16&lt;&gt;"",E16&lt;TODAY()),"⚠️延期","")</f>
        <v/>
      </c>
      <c r="H16" s="17" t="n"/>
    </row>
    <row r="17">
      <c r="A17" s="16" t="n"/>
      <c r="B17" s="16" t="n"/>
      <c r="C17" s="17" t="n"/>
      <c r="D17" s="16" t="n"/>
      <c r="E17" s="16" t="n"/>
      <c r="F17" s="16" t="n"/>
      <c r="G17" s="18">
        <f>IF(AND(D17&lt;&gt;"已完成",D17&lt;&gt;"",E17&lt;&gt;"",E17&lt;TODAY()),"⚠️延期","")</f>
        <v/>
      </c>
      <c r="H17" s="17" t="n"/>
    </row>
    <row r="18">
      <c r="A18" s="16" t="n"/>
      <c r="B18" s="16" t="n"/>
      <c r="C18" s="17" t="n"/>
      <c r="D18" s="16" t="n"/>
      <c r="E18" s="16" t="n"/>
      <c r="F18" s="16" t="n"/>
      <c r="G18" s="18">
        <f>IF(AND(D18&lt;&gt;"已完成",D18&lt;&gt;"",E18&lt;&gt;"",E18&lt;TODAY()),"⚠️延期","")</f>
        <v/>
      </c>
      <c r="H18" s="17" t="n"/>
    </row>
    <row r="19">
      <c r="A19" s="16" t="n"/>
      <c r="B19" s="16" t="n"/>
      <c r="C19" s="17" t="n"/>
      <c r="D19" s="16" t="n"/>
      <c r="E19" s="16" t="n"/>
      <c r="F19" s="16" t="n"/>
      <c r="G19" s="18">
        <f>IF(AND(D19&lt;&gt;"已完成",D19&lt;&gt;"",E19&lt;&gt;"",E19&lt;TODAY()),"⚠️延期","")</f>
        <v/>
      </c>
      <c r="H19" s="17" t="n"/>
    </row>
    <row r="20">
      <c r="A20" s="16" t="n"/>
      <c r="B20" s="16" t="n"/>
      <c r="C20" s="17" t="n"/>
      <c r="D20" s="16" t="n"/>
      <c r="E20" s="16" t="n"/>
      <c r="F20" s="16" t="n"/>
      <c r="G20" s="18">
        <f>IF(AND(D20&lt;&gt;"已完成",D20&lt;&gt;"",E20&lt;&gt;"",E20&lt;TODAY()),"⚠️延期","")</f>
        <v/>
      </c>
      <c r="H20" s="17" t="n"/>
    </row>
    <row r="21">
      <c r="A21" s="16" t="n"/>
      <c r="B21" s="16" t="n"/>
      <c r="C21" s="17" t="n"/>
      <c r="D21" s="16" t="n"/>
      <c r="E21" s="16" t="n"/>
      <c r="F21" s="16" t="n"/>
      <c r="G21" s="18">
        <f>IF(AND(D21&lt;&gt;"已完成",D21&lt;&gt;"",E21&lt;&gt;"",E21&lt;TODAY()),"⚠️延期","")</f>
        <v/>
      </c>
      <c r="H21" s="17" t="n"/>
    </row>
    <row r="22">
      <c r="A22" s="16" t="n"/>
      <c r="B22" s="16" t="n"/>
      <c r="C22" s="17" t="n"/>
      <c r="D22" s="16" t="n"/>
      <c r="E22" s="16" t="n"/>
      <c r="F22" s="16" t="n"/>
      <c r="G22" s="18">
        <f>IF(AND(D22&lt;&gt;"已完成",D22&lt;&gt;"",E22&lt;&gt;"",E22&lt;TODAY()),"⚠️延期","")</f>
        <v/>
      </c>
      <c r="H22" s="17" t="n"/>
    </row>
    <row r="23">
      <c r="A23" s="16" t="n"/>
      <c r="B23" s="16" t="n"/>
      <c r="C23" s="17" t="n"/>
      <c r="D23" s="16" t="n"/>
      <c r="E23" s="16" t="n"/>
      <c r="F23" s="16" t="n"/>
      <c r="G23" s="18">
        <f>IF(AND(D23&lt;&gt;"已完成",D23&lt;&gt;"",E23&lt;&gt;"",E23&lt;TODAY()),"⚠️延期","")</f>
        <v/>
      </c>
      <c r="H23" s="17" t="n"/>
    </row>
    <row r="24">
      <c r="A24" s="16" t="n"/>
      <c r="B24" s="16" t="n"/>
      <c r="C24" s="17" t="n"/>
      <c r="D24" s="16" t="n"/>
      <c r="E24" s="16" t="n"/>
      <c r="F24" s="16" t="n"/>
      <c r="G24" s="18">
        <f>IF(AND(D24&lt;&gt;"已完成",D24&lt;&gt;"",E24&lt;&gt;"",E24&lt;TODAY()),"⚠️延期","")</f>
        <v/>
      </c>
      <c r="H24" s="17" t="n"/>
    </row>
    <row r="25">
      <c r="A25" s="16" t="n"/>
      <c r="B25" s="16" t="n"/>
      <c r="C25" s="17" t="n"/>
      <c r="D25" s="16" t="n"/>
      <c r="E25" s="16" t="n"/>
      <c r="F25" s="16" t="n"/>
      <c r="G25" s="18">
        <f>IF(AND(D25&lt;&gt;"已完成",D25&lt;&gt;"",E25&lt;&gt;"",E25&lt;TODAY()),"⚠️延期","")</f>
        <v/>
      </c>
      <c r="H25" s="17" t="n"/>
    </row>
    <row r="26">
      <c r="A26" s="16" t="n"/>
      <c r="B26" s="16" t="n"/>
      <c r="C26" s="17" t="n"/>
      <c r="D26" s="16" t="n"/>
      <c r="E26" s="16" t="n"/>
      <c r="F26" s="16" t="n"/>
      <c r="G26" s="18">
        <f>IF(AND(D26&lt;&gt;"已完成",D26&lt;&gt;"",E26&lt;&gt;"",E26&lt;TODAY()),"⚠️延期","")</f>
        <v/>
      </c>
      <c r="H26" s="17" t="n"/>
    </row>
    <row r="27">
      <c r="A27" s="16" t="n"/>
      <c r="B27" s="16" t="n"/>
      <c r="C27" s="17" t="n"/>
      <c r="D27" s="16" t="n"/>
      <c r="E27" s="16" t="n"/>
      <c r="F27" s="16" t="n"/>
      <c r="G27" s="18">
        <f>IF(AND(D27&lt;&gt;"已完成",D27&lt;&gt;"",E27&lt;&gt;"",E27&lt;TODAY()),"⚠️延期","")</f>
        <v/>
      </c>
      <c r="H27" s="17" t="n"/>
    </row>
    <row r="28">
      <c r="A28" s="16" t="n"/>
      <c r="B28" s="16" t="n"/>
      <c r="C28" s="17" t="n"/>
      <c r="D28" s="16" t="n"/>
      <c r="E28" s="16" t="n"/>
      <c r="F28" s="16" t="n"/>
      <c r="G28" s="18">
        <f>IF(AND(D28&lt;&gt;"已完成",D28&lt;&gt;"",E28&lt;&gt;"",E28&lt;TODAY()),"⚠️延期","")</f>
        <v/>
      </c>
      <c r="H28" s="17" t="n"/>
    </row>
    <row r="29">
      <c r="A29" s="16" t="n"/>
      <c r="B29" s="16" t="n"/>
      <c r="C29" s="17" t="n"/>
      <c r="D29" s="16" t="n"/>
      <c r="E29" s="16" t="n"/>
      <c r="F29" s="16" t="n"/>
      <c r="G29" s="18">
        <f>IF(AND(D29&lt;&gt;"已完成",D29&lt;&gt;"",E29&lt;&gt;"",E29&lt;TODAY()),"⚠️延期","")</f>
        <v/>
      </c>
      <c r="H29" s="17" t="n"/>
    </row>
    <row r="30">
      <c r="A30" s="16" t="n"/>
      <c r="B30" s="16" t="n"/>
      <c r="C30" s="17" t="n"/>
      <c r="D30" s="16" t="n"/>
      <c r="E30" s="16" t="n"/>
      <c r="F30" s="16" t="n"/>
      <c r="G30" s="18">
        <f>IF(AND(D30&lt;&gt;"已完成",D30&lt;&gt;"",E30&lt;&gt;"",E30&lt;TODAY()),"⚠️延期","")</f>
        <v/>
      </c>
      <c r="H30" s="17" t="n"/>
    </row>
    <row r="31">
      <c r="A31" s="16" t="n"/>
      <c r="B31" s="16" t="n"/>
      <c r="C31" s="17" t="n"/>
      <c r="D31" s="16" t="n"/>
      <c r="E31" s="16" t="n"/>
      <c r="F31" s="16" t="n"/>
      <c r="G31" s="18">
        <f>IF(AND(D31&lt;&gt;"已完成",D31&lt;&gt;"",E31&lt;&gt;"",E31&lt;TODAY()),"⚠️延期","")</f>
        <v/>
      </c>
      <c r="H31" s="17" t="n"/>
    </row>
    <row r="32">
      <c r="A32" s="16" t="n"/>
      <c r="B32" s="16" t="n"/>
      <c r="C32" s="17" t="n"/>
      <c r="D32" s="16" t="n"/>
      <c r="E32" s="16" t="n"/>
      <c r="F32" s="16" t="n"/>
      <c r="G32" s="18">
        <f>IF(AND(D32&lt;&gt;"已完成",D32&lt;&gt;"",E32&lt;&gt;"",E32&lt;TODAY()),"⚠️延期","")</f>
        <v/>
      </c>
      <c r="H32" s="17" t="n"/>
    </row>
    <row r="33">
      <c r="A33" s="16" t="n"/>
      <c r="B33" s="16" t="n"/>
      <c r="C33" s="17" t="n"/>
      <c r="D33" s="16" t="n"/>
      <c r="E33" s="16" t="n"/>
      <c r="F33" s="16" t="n"/>
      <c r="G33" s="18">
        <f>IF(AND(D33&lt;&gt;"已完成",D33&lt;&gt;"",E33&lt;&gt;"",E33&lt;TODAY()),"⚠️延期","")</f>
        <v/>
      </c>
      <c r="H33" s="17" t="n"/>
    </row>
    <row r="34">
      <c r="A34" s="16" t="n"/>
      <c r="B34" s="16" t="n"/>
      <c r="C34" s="17" t="n"/>
      <c r="D34" s="16" t="n"/>
      <c r="E34" s="16" t="n"/>
      <c r="F34" s="16" t="n"/>
      <c r="G34" s="18">
        <f>IF(AND(D34&lt;&gt;"已完成",D34&lt;&gt;"",E34&lt;&gt;"",E34&lt;TODAY()),"⚠️延期","")</f>
        <v/>
      </c>
      <c r="H34" s="17" t="n"/>
    </row>
    <row r="35">
      <c r="A35" s="16" t="n"/>
      <c r="B35" s="16" t="n"/>
      <c r="C35" s="17" t="n"/>
      <c r="D35" s="16" t="n"/>
      <c r="E35" s="16" t="n"/>
      <c r="F35" s="16" t="n"/>
      <c r="G35" s="18">
        <f>IF(AND(D35&lt;&gt;"已完成",D35&lt;&gt;"",E35&lt;&gt;"",E35&lt;TODAY()),"⚠️延期","")</f>
        <v/>
      </c>
      <c r="H35" s="17" t="n"/>
    </row>
    <row r="36">
      <c r="A36" s="16" t="n"/>
      <c r="B36" s="16" t="n"/>
      <c r="C36" s="17" t="n"/>
      <c r="D36" s="16" t="n"/>
      <c r="E36" s="16" t="n"/>
      <c r="F36" s="16" t="n"/>
      <c r="G36" s="18">
        <f>IF(AND(D36&lt;&gt;"已完成",D36&lt;&gt;"",E36&lt;&gt;"",E36&lt;TODAY()),"⚠️延期","")</f>
        <v/>
      </c>
      <c r="H36" s="17" t="n"/>
    </row>
    <row r="37">
      <c r="A37" s="16" t="n"/>
      <c r="B37" s="16" t="n"/>
      <c r="C37" s="17" t="n"/>
      <c r="D37" s="16" t="n"/>
      <c r="E37" s="16" t="n"/>
      <c r="F37" s="16" t="n"/>
      <c r="G37" s="18">
        <f>IF(AND(D37&lt;&gt;"已完成",D37&lt;&gt;"",E37&lt;&gt;"",E37&lt;TODAY()),"⚠️延期","")</f>
        <v/>
      </c>
      <c r="H37" s="17" t="n"/>
    </row>
    <row r="38">
      <c r="A38" s="16" t="n"/>
      <c r="B38" s="16" t="n"/>
      <c r="C38" s="17" t="n"/>
      <c r="D38" s="16" t="n"/>
      <c r="E38" s="16" t="n"/>
      <c r="F38" s="16" t="n"/>
      <c r="G38" s="18">
        <f>IF(AND(D38&lt;&gt;"已完成",D38&lt;&gt;"",E38&lt;&gt;"",E38&lt;TODAY()),"⚠️延期","")</f>
        <v/>
      </c>
      <c r="H38" s="17" t="n"/>
    </row>
    <row r="39">
      <c r="A39" s="16" t="n"/>
      <c r="B39" s="16" t="n"/>
      <c r="C39" s="17" t="n"/>
      <c r="D39" s="16" t="n"/>
      <c r="E39" s="16" t="n"/>
      <c r="F39" s="16" t="n"/>
      <c r="G39" s="18">
        <f>IF(AND(D39&lt;&gt;"已完成",D39&lt;&gt;"",E39&lt;&gt;"",E39&lt;TODAY()),"⚠️延期","")</f>
        <v/>
      </c>
      <c r="H39" s="17" t="n"/>
    </row>
    <row r="40">
      <c r="A40" s="16" t="n"/>
      <c r="B40" s="16" t="n"/>
      <c r="C40" s="17" t="n"/>
      <c r="D40" s="16" t="n"/>
      <c r="E40" s="16" t="n"/>
      <c r="F40" s="16" t="n"/>
      <c r="G40" s="18">
        <f>IF(AND(D40&lt;&gt;"已完成",D40&lt;&gt;"",E40&lt;&gt;"",E40&lt;TODAY()),"⚠️延期","")</f>
        <v/>
      </c>
      <c r="H40" s="17" t="n"/>
    </row>
    <row r="41">
      <c r="A41" s="16" t="n"/>
      <c r="B41" s="16" t="n"/>
      <c r="C41" s="17" t="n"/>
      <c r="D41" s="16" t="n"/>
      <c r="E41" s="16" t="n"/>
      <c r="F41" s="16" t="n"/>
      <c r="G41" s="18">
        <f>IF(AND(D41&lt;&gt;"已完成",D41&lt;&gt;"",E41&lt;&gt;"",E41&lt;TODAY()),"⚠️延期","")</f>
        <v/>
      </c>
      <c r="H41" s="17" t="n"/>
    </row>
    <row r="42">
      <c r="A42" s="16" t="n"/>
      <c r="B42" s="16" t="n"/>
      <c r="C42" s="17" t="n"/>
      <c r="D42" s="16" t="n"/>
      <c r="E42" s="16" t="n"/>
      <c r="F42" s="16" t="n"/>
      <c r="G42" s="18">
        <f>IF(AND(D42&lt;&gt;"已完成",D42&lt;&gt;"",E42&lt;&gt;"",E42&lt;TODAY()),"⚠️延期","")</f>
        <v/>
      </c>
      <c r="H42" s="17" t="n"/>
    </row>
    <row r="43">
      <c r="A43" s="16" t="n"/>
      <c r="B43" s="16" t="n"/>
      <c r="C43" s="17" t="n"/>
      <c r="D43" s="16" t="n"/>
      <c r="E43" s="16" t="n"/>
      <c r="F43" s="16" t="n"/>
      <c r="G43" s="18">
        <f>IF(AND(D43&lt;&gt;"已完成",D43&lt;&gt;"",E43&lt;&gt;"",E43&lt;TODAY()),"⚠️延期","")</f>
        <v/>
      </c>
      <c r="H43" s="17" t="n"/>
    </row>
    <row r="44">
      <c r="A44" s="16" t="n"/>
      <c r="B44" s="16" t="n"/>
      <c r="C44" s="17" t="n"/>
      <c r="D44" s="16" t="n"/>
      <c r="E44" s="16" t="n"/>
      <c r="F44" s="16" t="n"/>
      <c r="G44" s="18">
        <f>IF(AND(D44&lt;&gt;"已完成",D44&lt;&gt;"",E44&lt;&gt;"",E44&lt;TODAY()),"⚠️延期","")</f>
        <v/>
      </c>
      <c r="H44" s="17" t="n"/>
    </row>
    <row r="45">
      <c r="A45" s="16" t="n"/>
      <c r="B45" s="16" t="n"/>
      <c r="C45" s="17" t="n"/>
      <c r="D45" s="16" t="n"/>
      <c r="E45" s="16" t="n"/>
      <c r="F45" s="16" t="n"/>
      <c r="G45" s="18">
        <f>IF(AND(D45&lt;&gt;"已完成",D45&lt;&gt;"",E45&lt;&gt;"",E45&lt;TODAY()),"⚠️延期","")</f>
        <v/>
      </c>
      <c r="H45" s="17" t="n"/>
    </row>
    <row r="46">
      <c r="A46" s="16" t="n"/>
      <c r="B46" s="16" t="n"/>
      <c r="C46" s="17" t="n"/>
      <c r="D46" s="16" t="n"/>
      <c r="E46" s="16" t="n"/>
      <c r="F46" s="16" t="n"/>
      <c r="G46" s="18">
        <f>IF(AND(D46&lt;&gt;"已完成",D46&lt;&gt;"",E46&lt;&gt;"",E46&lt;TODAY()),"⚠️延期","")</f>
        <v/>
      </c>
      <c r="H46" s="17" t="n"/>
    </row>
    <row r="47">
      <c r="A47" s="16" t="n"/>
      <c r="B47" s="16" t="n"/>
      <c r="C47" s="17" t="n"/>
      <c r="D47" s="16" t="n"/>
      <c r="E47" s="16" t="n"/>
      <c r="F47" s="16" t="n"/>
      <c r="G47" s="18">
        <f>IF(AND(D47&lt;&gt;"已完成",D47&lt;&gt;"",E47&lt;&gt;"",E47&lt;TODAY()),"⚠️延期","")</f>
        <v/>
      </c>
      <c r="H47" s="17" t="n"/>
    </row>
    <row r="48">
      <c r="A48" s="16" t="n"/>
      <c r="B48" s="16" t="n"/>
      <c r="C48" s="17" t="n"/>
      <c r="D48" s="16" t="n"/>
      <c r="E48" s="16" t="n"/>
      <c r="F48" s="16" t="n"/>
      <c r="G48" s="18">
        <f>IF(AND(D48&lt;&gt;"已完成",D48&lt;&gt;"",E48&lt;&gt;"",E48&lt;TODAY()),"⚠️延期","")</f>
        <v/>
      </c>
      <c r="H48" s="17" t="n"/>
    </row>
    <row r="49">
      <c r="A49" s="16" t="n"/>
      <c r="B49" s="16" t="n"/>
      <c r="C49" s="17" t="n"/>
      <c r="D49" s="16" t="n"/>
      <c r="E49" s="16" t="n"/>
      <c r="F49" s="16" t="n"/>
      <c r="G49" s="18">
        <f>IF(AND(D49&lt;&gt;"已完成",D49&lt;&gt;"",E49&lt;&gt;"",E49&lt;TODAY()),"⚠️延期","")</f>
        <v/>
      </c>
      <c r="H49" s="17" t="n"/>
    </row>
    <row r="50">
      <c r="A50" s="16" t="n"/>
      <c r="B50" s="16" t="n"/>
      <c r="C50" s="17" t="n"/>
      <c r="D50" s="16" t="n"/>
      <c r="E50" s="16" t="n"/>
      <c r="F50" s="16" t="n"/>
      <c r="G50" s="18">
        <f>IF(AND(D50&lt;&gt;"已完成",D50&lt;&gt;"",E50&lt;&gt;"",E50&lt;TODAY()),"⚠️延期","")</f>
        <v/>
      </c>
      <c r="H50" s="17" t="n"/>
    </row>
    <row r="51">
      <c r="A51" s="16" t="n"/>
      <c r="B51" s="16" t="n"/>
      <c r="C51" s="17" t="n"/>
      <c r="D51" s="16" t="n"/>
      <c r="E51" s="16" t="n"/>
      <c r="F51" s="16" t="n"/>
      <c r="G51" s="18">
        <f>IF(AND(D51&lt;&gt;"已完成",D51&lt;&gt;"",E51&lt;&gt;"",E51&lt;TODAY()),"⚠️延期","")</f>
        <v/>
      </c>
      <c r="H51" s="17" t="n"/>
    </row>
    <row r="52">
      <c r="A52" s="16" t="n"/>
      <c r="B52" s="16" t="n"/>
      <c r="C52" s="17" t="n"/>
      <c r="D52" s="16" t="n"/>
      <c r="E52" s="16" t="n"/>
      <c r="F52" s="16" t="n"/>
      <c r="G52" s="18">
        <f>IF(AND(D52&lt;&gt;"已完成",D52&lt;&gt;"",E52&lt;&gt;"",E52&lt;TODAY()),"⚠️延期","")</f>
        <v/>
      </c>
      <c r="H52" s="17" t="n"/>
    </row>
    <row r="53">
      <c r="A53" s="16" t="n"/>
      <c r="B53" s="16" t="n"/>
      <c r="C53" s="17" t="n"/>
      <c r="D53" s="16" t="n"/>
      <c r="E53" s="16" t="n"/>
      <c r="F53" s="16" t="n"/>
      <c r="G53" s="18">
        <f>IF(AND(D53&lt;&gt;"已完成",D53&lt;&gt;"",E53&lt;&gt;"",E53&lt;TODAY()),"⚠️延期","")</f>
        <v/>
      </c>
      <c r="H53" s="17" t="n"/>
    </row>
    <row r="54">
      <c r="A54" s="16" t="n"/>
      <c r="B54" s="16" t="n"/>
      <c r="C54" s="17" t="n"/>
      <c r="D54" s="16" t="n"/>
      <c r="E54" s="16" t="n"/>
      <c r="F54" s="16" t="n"/>
      <c r="G54" s="18">
        <f>IF(AND(D54&lt;&gt;"已完成",D54&lt;&gt;"",E54&lt;&gt;"",E54&lt;TODAY()),"⚠️延期","")</f>
        <v/>
      </c>
      <c r="H54" s="17" t="n"/>
    </row>
    <row r="55">
      <c r="A55" s="16" t="n"/>
      <c r="B55" s="16" t="n"/>
      <c r="C55" s="17" t="n"/>
      <c r="D55" s="16" t="n"/>
      <c r="E55" s="16" t="n"/>
      <c r="F55" s="16" t="n"/>
      <c r="G55" s="18">
        <f>IF(AND(D55&lt;&gt;"已完成",D55&lt;&gt;"",E55&lt;&gt;"",E55&lt;TODAY()),"⚠️延期","")</f>
        <v/>
      </c>
      <c r="H55" s="17" t="n"/>
    </row>
    <row r="56">
      <c r="A56" s="16" t="n"/>
      <c r="B56" s="16" t="n"/>
      <c r="C56" s="17" t="n"/>
      <c r="D56" s="16" t="n"/>
      <c r="E56" s="16" t="n"/>
      <c r="F56" s="16" t="n"/>
      <c r="G56" s="18">
        <f>IF(AND(D56&lt;&gt;"已完成",D56&lt;&gt;"",E56&lt;&gt;"",E56&lt;TODAY()),"⚠️延期","")</f>
        <v/>
      </c>
      <c r="H56" s="17" t="n"/>
    </row>
    <row r="57">
      <c r="A57" s="16" t="n"/>
      <c r="B57" s="16" t="n"/>
      <c r="C57" s="17" t="n"/>
      <c r="D57" s="16" t="n"/>
      <c r="E57" s="16" t="n"/>
      <c r="F57" s="16" t="n"/>
      <c r="G57" s="18">
        <f>IF(AND(D57&lt;&gt;"已完成",D57&lt;&gt;"",E57&lt;&gt;"",E57&lt;TODAY()),"⚠️延期","")</f>
        <v/>
      </c>
      <c r="H57" s="17" t="n"/>
    </row>
    <row r="58">
      <c r="A58" s="16" t="n"/>
      <c r="B58" s="16" t="n"/>
      <c r="C58" s="17" t="n"/>
      <c r="D58" s="16" t="n"/>
      <c r="E58" s="16" t="n"/>
      <c r="F58" s="16" t="n"/>
      <c r="G58" s="18">
        <f>IF(AND(D58&lt;&gt;"已完成",D58&lt;&gt;"",E58&lt;&gt;"",E58&lt;TODAY()),"⚠️延期","")</f>
        <v/>
      </c>
      <c r="H58" s="17" t="n"/>
    </row>
    <row r="59">
      <c r="A59" s="16" t="n"/>
      <c r="B59" s="16" t="n"/>
      <c r="C59" s="17" t="n"/>
      <c r="D59" s="16" t="n"/>
      <c r="E59" s="16" t="n"/>
      <c r="F59" s="16" t="n"/>
      <c r="G59" s="18">
        <f>IF(AND(D59&lt;&gt;"已完成",D59&lt;&gt;"",E59&lt;&gt;"",E59&lt;TODAY()),"⚠️延期","")</f>
        <v/>
      </c>
      <c r="H59" s="17" t="n"/>
    </row>
    <row r="60">
      <c r="A60" s="16" t="n"/>
      <c r="B60" s="16" t="n"/>
      <c r="C60" s="17" t="n"/>
      <c r="D60" s="16" t="n"/>
      <c r="E60" s="16" t="n"/>
      <c r="F60" s="16" t="n"/>
      <c r="G60" s="18">
        <f>IF(AND(D60&lt;&gt;"已完成",D60&lt;&gt;"",E60&lt;&gt;"",E60&lt;TODAY()),"⚠️延期","")</f>
        <v/>
      </c>
      <c r="H60" s="17" t="n"/>
    </row>
    <row r="61">
      <c r="A61" s="16" t="n"/>
      <c r="B61" s="16" t="n"/>
      <c r="C61" s="17" t="n"/>
      <c r="D61" s="16" t="n"/>
      <c r="E61" s="16" t="n"/>
      <c r="F61" s="16" t="n"/>
      <c r="G61" s="18">
        <f>IF(AND(D61&lt;&gt;"已完成",D61&lt;&gt;"",E61&lt;&gt;"",E61&lt;TODAY()),"⚠️延期","")</f>
        <v/>
      </c>
      <c r="H61" s="17" t="n"/>
    </row>
    <row r="62">
      <c r="A62" s="16" t="n"/>
      <c r="B62" s="16" t="n"/>
      <c r="C62" s="17" t="n"/>
      <c r="D62" s="16" t="n"/>
      <c r="E62" s="16" t="n"/>
      <c r="F62" s="16" t="n"/>
      <c r="G62" s="18">
        <f>IF(AND(D62&lt;&gt;"已完成",D62&lt;&gt;"",E62&lt;&gt;"",E62&lt;TODAY()),"⚠️延期","")</f>
        <v/>
      </c>
      <c r="H62" s="17" t="n"/>
    </row>
    <row r="63">
      <c r="A63" s="16" t="n"/>
      <c r="B63" s="16" t="n"/>
      <c r="C63" s="17" t="n"/>
      <c r="D63" s="16" t="n"/>
      <c r="E63" s="16" t="n"/>
      <c r="F63" s="16" t="n"/>
      <c r="G63" s="18">
        <f>IF(AND(D63&lt;&gt;"已完成",D63&lt;&gt;"",E63&lt;&gt;"",E63&lt;TODAY()),"⚠️延期","")</f>
        <v/>
      </c>
      <c r="H63" s="17" t="n"/>
    </row>
    <row r="64">
      <c r="A64" s="16" t="n"/>
      <c r="B64" s="16" t="n"/>
      <c r="C64" s="17" t="n"/>
      <c r="D64" s="16" t="n"/>
      <c r="E64" s="16" t="n"/>
      <c r="F64" s="16" t="n"/>
      <c r="G64" s="18">
        <f>IF(AND(D64&lt;&gt;"已完成",D64&lt;&gt;"",E64&lt;&gt;"",E64&lt;TODAY()),"⚠️延期","")</f>
        <v/>
      </c>
      <c r="H64" s="17" t="n"/>
    </row>
    <row r="65">
      <c r="A65" s="16" t="n"/>
      <c r="B65" s="16" t="n"/>
      <c r="C65" s="17" t="n"/>
      <c r="D65" s="16" t="n"/>
      <c r="E65" s="16" t="n"/>
      <c r="F65" s="16" t="n"/>
      <c r="G65" s="18">
        <f>IF(AND(D65&lt;&gt;"已完成",D65&lt;&gt;"",E65&lt;&gt;"",E65&lt;TODAY()),"⚠️延期","")</f>
        <v/>
      </c>
      <c r="H65" s="17" t="n"/>
    </row>
    <row r="66">
      <c r="A66" s="16" t="n"/>
      <c r="B66" s="16" t="n"/>
      <c r="C66" s="17" t="n"/>
      <c r="D66" s="16" t="n"/>
      <c r="E66" s="16" t="n"/>
      <c r="F66" s="16" t="n"/>
      <c r="G66" s="18">
        <f>IF(AND(D66&lt;&gt;"已完成",D66&lt;&gt;"",E66&lt;&gt;"",E66&lt;TODAY()),"⚠️延期","")</f>
        <v/>
      </c>
      <c r="H66" s="17" t="n"/>
    </row>
    <row r="67">
      <c r="A67" s="16" t="n"/>
      <c r="B67" s="16" t="n"/>
      <c r="C67" s="17" t="n"/>
      <c r="D67" s="16" t="n"/>
      <c r="E67" s="16" t="n"/>
      <c r="F67" s="16" t="n"/>
      <c r="G67" s="18">
        <f>IF(AND(D67&lt;&gt;"已完成",D67&lt;&gt;"",E67&lt;&gt;"",E67&lt;TODAY()),"⚠️延期","")</f>
        <v/>
      </c>
      <c r="H67" s="17" t="n"/>
    </row>
    <row r="68">
      <c r="A68" s="16" t="n"/>
      <c r="B68" s="16" t="n"/>
      <c r="C68" s="17" t="n"/>
      <c r="D68" s="16" t="n"/>
      <c r="E68" s="16" t="n"/>
      <c r="F68" s="16" t="n"/>
      <c r="G68" s="18">
        <f>IF(AND(D68&lt;&gt;"已完成",D68&lt;&gt;"",E68&lt;&gt;"",E68&lt;TODAY()),"⚠️延期","")</f>
        <v/>
      </c>
      <c r="H68" s="17" t="n"/>
    </row>
    <row r="69">
      <c r="A69" s="16" t="n"/>
      <c r="B69" s="16" t="n"/>
      <c r="C69" s="17" t="n"/>
      <c r="D69" s="16" t="n"/>
      <c r="E69" s="16" t="n"/>
      <c r="F69" s="16" t="n"/>
      <c r="G69" s="18">
        <f>IF(AND(D69&lt;&gt;"已完成",D69&lt;&gt;"",E69&lt;&gt;"",E69&lt;TODAY()),"⚠️延期","")</f>
        <v/>
      </c>
      <c r="H69" s="17" t="n"/>
    </row>
    <row r="70">
      <c r="A70" s="16" t="n"/>
      <c r="B70" s="16" t="n"/>
      <c r="C70" s="17" t="n"/>
      <c r="D70" s="16" t="n"/>
      <c r="E70" s="16" t="n"/>
      <c r="F70" s="16" t="n"/>
      <c r="G70" s="18">
        <f>IF(AND(D70&lt;&gt;"已完成",D70&lt;&gt;"",E70&lt;&gt;"",E70&lt;TODAY()),"⚠️延期","")</f>
        <v/>
      </c>
      <c r="H70" s="17" t="n"/>
    </row>
    <row r="71">
      <c r="A71" s="16" t="n"/>
      <c r="B71" s="16" t="n"/>
      <c r="C71" s="17" t="n"/>
      <c r="D71" s="16" t="n"/>
      <c r="E71" s="16" t="n"/>
      <c r="F71" s="16" t="n"/>
      <c r="G71" s="18">
        <f>IF(AND(D71&lt;&gt;"已完成",D71&lt;&gt;"",E71&lt;&gt;"",E71&lt;TODAY()),"⚠️延期","")</f>
        <v/>
      </c>
      <c r="H71" s="17" t="n"/>
    </row>
    <row r="72">
      <c r="A72" s="16" t="n"/>
      <c r="B72" s="16" t="n"/>
      <c r="C72" s="17" t="n"/>
      <c r="D72" s="16" t="n"/>
      <c r="E72" s="16" t="n"/>
      <c r="F72" s="16" t="n"/>
      <c r="G72" s="18">
        <f>IF(AND(D72&lt;&gt;"已完成",D72&lt;&gt;"",E72&lt;&gt;"",E72&lt;TODAY()),"⚠️延期","")</f>
        <v/>
      </c>
      <c r="H72" s="17" t="n"/>
    </row>
    <row r="73">
      <c r="A73" s="16" t="n"/>
      <c r="B73" s="16" t="n"/>
      <c r="C73" s="17" t="n"/>
      <c r="D73" s="16" t="n"/>
      <c r="E73" s="16" t="n"/>
      <c r="F73" s="16" t="n"/>
      <c r="G73" s="18">
        <f>IF(AND(D73&lt;&gt;"已完成",D73&lt;&gt;"",E73&lt;&gt;"",E73&lt;TODAY()),"⚠️延期","")</f>
        <v/>
      </c>
      <c r="H73" s="17" t="n"/>
    </row>
    <row r="74">
      <c r="A74" s="16" t="n"/>
      <c r="B74" s="16" t="n"/>
      <c r="C74" s="17" t="n"/>
      <c r="D74" s="16" t="n"/>
      <c r="E74" s="16" t="n"/>
      <c r="F74" s="16" t="n"/>
      <c r="G74" s="18">
        <f>IF(AND(D74&lt;&gt;"已完成",D74&lt;&gt;"",E74&lt;&gt;"",E74&lt;TODAY()),"⚠️延期","")</f>
        <v/>
      </c>
      <c r="H74" s="17" t="n"/>
    </row>
    <row r="75">
      <c r="A75" s="16" t="n"/>
      <c r="B75" s="16" t="n"/>
      <c r="C75" s="17" t="n"/>
      <c r="D75" s="16" t="n"/>
      <c r="E75" s="16" t="n"/>
      <c r="F75" s="16" t="n"/>
      <c r="G75" s="18">
        <f>IF(AND(D75&lt;&gt;"已完成",D75&lt;&gt;"",E75&lt;&gt;"",E75&lt;TODAY()),"⚠️延期","")</f>
        <v/>
      </c>
      <c r="H75" s="17" t="n"/>
    </row>
    <row r="76">
      <c r="A76" s="16" t="n"/>
      <c r="B76" s="16" t="n"/>
      <c r="C76" s="17" t="n"/>
      <c r="D76" s="16" t="n"/>
      <c r="E76" s="16" t="n"/>
      <c r="F76" s="16" t="n"/>
      <c r="G76" s="18">
        <f>IF(AND(D76&lt;&gt;"已完成",D76&lt;&gt;"",E76&lt;&gt;"",E76&lt;TODAY()),"⚠️延期","")</f>
        <v/>
      </c>
      <c r="H76" s="17" t="n"/>
    </row>
    <row r="77">
      <c r="A77" s="16" t="n"/>
      <c r="B77" s="16" t="n"/>
      <c r="C77" s="17" t="n"/>
      <c r="D77" s="16" t="n"/>
      <c r="E77" s="16" t="n"/>
      <c r="F77" s="16" t="n"/>
      <c r="G77" s="18">
        <f>IF(AND(D77&lt;&gt;"已完成",D77&lt;&gt;"",E77&lt;&gt;"",E77&lt;TODAY()),"⚠️延期","")</f>
        <v/>
      </c>
      <c r="H77" s="17" t="n"/>
    </row>
    <row r="78">
      <c r="A78" s="16" t="n"/>
      <c r="B78" s="16" t="n"/>
      <c r="C78" s="17" t="n"/>
      <c r="D78" s="16" t="n"/>
      <c r="E78" s="16" t="n"/>
      <c r="F78" s="16" t="n"/>
      <c r="G78" s="18">
        <f>IF(AND(D78&lt;&gt;"已完成",D78&lt;&gt;"",E78&lt;&gt;"",E78&lt;TODAY()),"⚠️延期","")</f>
        <v/>
      </c>
      <c r="H78" s="17" t="n"/>
    </row>
    <row r="79">
      <c r="A79" s="16" t="n"/>
      <c r="B79" s="16" t="n"/>
      <c r="C79" s="17" t="n"/>
      <c r="D79" s="16" t="n"/>
      <c r="E79" s="16" t="n"/>
      <c r="F79" s="16" t="n"/>
      <c r="G79" s="18">
        <f>IF(AND(D79&lt;&gt;"已完成",D79&lt;&gt;"",E79&lt;&gt;"",E79&lt;TODAY()),"⚠️延期","")</f>
        <v/>
      </c>
      <c r="H79" s="17" t="n"/>
    </row>
    <row r="80">
      <c r="A80" s="16" t="n"/>
      <c r="B80" s="16" t="n"/>
      <c r="C80" s="17" t="n"/>
      <c r="D80" s="16" t="n"/>
      <c r="E80" s="16" t="n"/>
      <c r="F80" s="16" t="n"/>
      <c r="G80" s="18">
        <f>IF(AND(D80&lt;&gt;"已完成",D80&lt;&gt;"",E80&lt;&gt;"",E80&lt;TODAY()),"⚠️延期","")</f>
        <v/>
      </c>
      <c r="H80" s="17" t="n"/>
    </row>
    <row r="81">
      <c r="A81" s="16" t="n"/>
      <c r="B81" s="16" t="n"/>
      <c r="C81" s="17" t="n"/>
      <c r="D81" s="16" t="n"/>
      <c r="E81" s="16" t="n"/>
      <c r="F81" s="16" t="n"/>
      <c r="G81" s="18">
        <f>IF(AND(D81&lt;&gt;"已完成",D81&lt;&gt;"",E81&lt;&gt;"",E81&lt;TODAY()),"⚠️延期","")</f>
        <v/>
      </c>
      <c r="H81" s="17" t="n"/>
    </row>
    <row r="82">
      <c r="A82" s="16" t="n"/>
      <c r="B82" s="16" t="n"/>
      <c r="C82" s="17" t="n"/>
      <c r="D82" s="16" t="n"/>
      <c r="E82" s="16" t="n"/>
      <c r="F82" s="16" t="n"/>
      <c r="G82" s="18">
        <f>IF(AND(D82&lt;&gt;"已完成",D82&lt;&gt;"",E82&lt;&gt;"",E82&lt;TODAY()),"⚠️延期","")</f>
        <v/>
      </c>
      <c r="H82" s="17" t="n"/>
    </row>
    <row r="83">
      <c r="A83" s="16" t="n"/>
      <c r="B83" s="16" t="n"/>
      <c r="C83" s="17" t="n"/>
      <c r="D83" s="16" t="n"/>
      <c r="E83" s="16" t="n"/>
      <c r="F83" s="16" t="n"/>
      <c r="G83" s="18">
        <f>IF(AND(D83&lt;&gt;"已完成",D83&lt;&gt;"",E83&lt;&gt;"",E83&lt;TODAY()),"⚠️延期","")</f>
        <v/>
      </c>
      <c r="H83" s="17" t="n"/>
    </row>
    <row r="84">
      <c r="A84" s="16" t="n"/>
      <c r="B84" s="16" t="n"/>
      <c r="C84" s="17" t="n"/>
      <c r="D84" s="16" t="n"/>
      <c r="E84" s="16" t="n"/>
      <c r="F84" s="16" t="n"/>
      <c r="G84" s="18">
        <f>IF(AND(D84&lt;&gt;"已完成",D84&lt;&gt;"",E84&lt;&gt;"",E84&lt;TODAY()),"⚠️延期","")</f>
        <v/>
      </c>
      <c r="H84" s="17" t="n"/>
    </row>
    <row r="85">
      <c r="A85" s="16" t="n"/>
      <c r="B85" s="16" t="n"/>
      <c r="C85" s="17" t="n"/>
      <c r="D85" s="16" t="n"/>
      <c r="E85" s="16" t="n"/>
      <c r="F85" s="16" t="n"/>
      <c r="G85" s="18">
        <f>IF(AND(D85&lt;&gt;"已完成",D85&lt;&gt;"",E85&lt;&gt;"",E85&lt;TODAY()),"⚠️延期","")</f>
        <v/>
      </c>
      <c r="H85" s="17" t="n"/>
    </row>
    <row r="86">
      <c r="A86" s="16" t="n"/>
      <c r="B86" s="16" t="n"/>
      <c r="C86" s="17" t="n"/>
      <c r="D86" s="16" t="n"/>
      <c r="E86" s="16" t="n"/>
      <c r="F86" s="16" t="n"/>
      <c r="G86" s="18">
        <f>IF(AND(D86&lt;&gt;"已完成",D86&lt;&gt;"",E86&lt;&gt;"",E86&lt;TODAY()),"⚠️延期","")</f>
        <v/>
      </c>
      <c r="H86" s="17" t="n"/>
    </row>
    <row r="87">
      <c r="A87" s="16" t="n"/>
      <c r="B87" s="16" t="n"/>
      <c r="C87" s="17" t="n"/>
      <c r="D87" s="16" t="n"/>
      <c r="E87" s="16" t="n"/>
      <c r="F87" s="16" t="n"/>
      <c r="G87" s="18">
        <f>IF(AND(D87&lt;&gt;"已完成",D87&lt;&gt;"",E87&lt;&gt;"",E87&lt;TODAY()),"⚠️延期","")</f>
        <v/>
      </c>
      <c r="H87" s="17" t="n"/>
    </row>
    <row r="88">
      <c r="A88" s="16" t="n"/>
      <c r="B88" s="16" t="n"/>
      <c r="C88" s="17" t="n"/>
      <c r="D88" s="16" t="n"/>
      <c r="E88" s="16" t="n"/>
      <c r="F88" s="16" t="n"/>
      <c r="G88" s="18">
        <f>IF(AND(D88&lt;&gt;"已完成",D88&lt;&gt;"",E88&lt;&gt;"",E88&lt;TODAY()),"⚠️延期","")</f>
        <v/>
      </c>
      <c r="H88" s="17" t="n"/>
    </row>
    <row r="89">
      <c r="A89" s="16" t="n"/>
      <c r="B89" s="16" t="n"/>
      <c r="C89" s="17" t="n"/>
      <c r="D89" s="16" t="n"/>
      <c r="E89" s="16" t="n"/>
      <c r="F89" s="16" t="n"/>
      <c r="G89" s="18">
        <f>IF(AND(D89&lt;&gt;"已完成",D89&lt;&gt;"",E89&lt;&gt;"",E89&lt;TODAY()),"⚠️延期","")</f>
        <v/>
      </c>
      <c r="H89" s="17" t="n"/>
    </row>
    <row r="90">
      <c r="A90" s="16" t="n"/>
      <c r="B90" s="16" t="n"/>
      <c r="C90" s="17" t="n"/>
      <c r="D90" s="16" t="n"/>
      <c r="E90" s="16" t="n"/>
      <c r="F90" s="16" t="n"/>
      <c r="G90" s="18">
        <f>IF(AND(D90&lt;&gt;"已完成",D90&lt;&gt;"",E90&lt;&gt;"",E90&lt;TODAY()),"⚠️延期","")</f>
        <v/>
      </c>
      <c r="H90" s="17" t="n"/>
    </row>
    <row r="91">
      <c r="A91" s="16" t="n"/>
      <c r="B91" s="16" t="n"/>
      <c r="C91" s="17" t="n"/>
      <c r="D91" s="16" t="n"/>
      <c r="E91" s="16" t="n"/>
      <c r="F91" s="16" t="n"/>
      <c r="G91" s="18">
        <f>IF(AND(D91&lt;&gt;"已完成",D91&lt;&gt;"",E91&lt;&gt;"",E91&lt;TODAY()),"⚠️延期","")</f>
        <v/>
      </c>
      <c r="H91" s="17" t="n"/>
    </row>
    <row r="92">
      <c r="A92" s="16" t="n"/>
      <c r="B92" s="16" t="n"/>
      <c r="C92" s="17" t="n"/>
      <c r="D92" s="16" t="n"/>
      <c r="E92" s="16" t="n"/>
      <c r="F92" s="16" t="n"/>
      <c r="G92" s="18">
        <f>IF(AND(D92&lt;&gt;"已完成",D92&lt;&gt;"",E92&lt;&gt;"",E92&lt;TODAY()),"⚠️延期","")</f>
        <v/>
      </c>
      <c r="H92" s="17" t="n"/>
    </row>
    <row r="93">
      <c r="A93" s="16" t="n"/>
      <c r="B93" s="16" t="n"/>
      <c r="C93" s="17" t="n"/>
      <c r="D93" s="16" t="n"/>
      <c r="E93" s="16" t="n"/>
      <c r="F93" s="16" t="n"/>
      <c r="G93" s="18">
        <f>IF(AND(D93&lt;&gt;"已完成",D93&lt;&gt;"",E93&lt;&gt;"",E93&lt;TODAY()),"⚠️延期","")</f>
        <v/>
      </c>
      <c r="H93" s="17" t="n"/>
    </row>
    <row r="94">
      <c r="A94" s="16" t="n"/>
      <c r="B94" s="16" t="n"/>
      <c r="C94" s="17" t="n"/>
      <c r="D94" s="16" t="n"/>
      <c r="E94" s="16" t="n"/>
      <c r="F94" s="16" t="n"/>
      <c r="G94" s="18">
        <f>IF(AND(D94&lt;&gt;"已完成",D94&lt;&gt;"",E94&lt;&gt;"",E94&lt;TODAY()),"⚠️延期","")</f>
        <v/>
      </c>
      <c r="H94" s="17" t="n"/>
    </row>
    <row r="95">
      <c r="A95" s="16" t="n"/>
      <c r="B95" s="16" t="n"/>
      <c r="C95" s="17" t="n"/>
      <c r="D95" s="16" t="n"/>
      <c r="E95" s="16" t="n"/>
      <c r="F95" s="16" t="n"/>
      <c r="G95" s="18">
        <f>IF(AND(D95&lt;&gt;"已完成",D95&lt;&gt;"",E95&lt;&gt;"",E95&lt;TODAY()),"⚠️延期","")</f>
        <v/>
      </c>
      <c r="H95" s="17" t="n"/>
    </row>
    <row r="96">
      <c r="A96" s="16" t="n"/>
      <c r="B96" s="16" t="n"/>
      <c r="C96" s="17" t="n"/>
      <c r="D96" s="16" t="n"/>
      <c r="E96" s="16" t="n"/>
      <c r="F96" s="16" t="n"/>
      <c r="G96" s="18">
        <f>IF(AND(D96&lt;&gt;"已完成",D96&lt;&gt;"",E96&lt;&gt;"",E96&lt;TODAY()),"⚠️延期","")</f>
        <v/>
      </c>
      <c r="H96" s="17" t="n"/>
    </row>
    <row r="97">
      <c r="A97" s="16" t="n"/>
      <c r="B97" s="16" t="n"/>
      <c r="C97" s="17" t="n"/>
      <c r="D97" s="16" t="n"/>
      <c r="E97" s="16" t="n"/>
      <c r="F97" s="16" t="n"/>
      <c r="G97" s="18">
        <f>IF(AND(D97&lt;&gt;"已完成",D97&lt;&gt;"",E97&lt;&gt;"",E97&lt;TODAY()),"⚠️延期","")</f>
        <v/>
      </c>
      <c r="H97" s="17" t="n"/>
    </row>
    <row r="98">
      <c r="A98" s="16" t="n"/>
      <c r="B98" s="16" t="n"/>
      <c r="C98" s="17" t="n"/>
      <c r="D98" s="16" t="n"/>
      <c r="E98" s="16" t="n"/>
      <c r="F98" s="16" t="n"/>
      <c r="G98" s="18">
        <f>IF(AND(D98&lt;&gt;"已完成",D98&lt;&gt;"",E98&lt;&gt;"",E98&lt;TODAY()),"⚠️延期","")</f>
        <v/>
      </c>
      <c r="H98" s="17" t="n"/>
    </row>
    <row r="99">
      <c r="A99" s="16" t="n"/>
      <c r="B99" s="16" t="n"/>
      <c r="C99" s="17" t="n"/>
      <c r="D99" s="16" t="n"/>
      <c r="E99" s="16" t="n"/>
      <c r="F99" s="16" t="n"/>
      <c r="G99" s="18">
        <f>IF(AND(D99&lt;&gt;"已完成",D99&lt;&gt;"",E99&lt;&gt;"",E99&lt;TODAY()),"⚠️延期","")</f>
        <v/>
      </c>
      <c r="H99" s="17" t="n"/>
    </row>
    <row r="100">
      <c r="A100" s="16" t="n"/>
      <c r="B100" s="16" t="n"/>
      <c r="C100" s="17" t="n"/>
      <c r="D100" s="16" t="n"/>
      <c r="E100" s="16" t="n"/>
      <c r="F100" s="16" t="n"/>
      <c r="G100" s="18">
        <f>IF(AND(D100&lt;&gt;"已完成",D100&lt;&gt;"",E100&lt;&gt;"",E100&lt;TODAY()),"⚠️延期","")</f>
        <v/>
      </c>
      <c r="H100" s="17" t="n"/>
    </row>
    <row r="101">
      <c r="A101" s="16" t="n"/>
      <c r="B101" s="16" t="n"/>
      <c r="C101" s="17" t="n"/>
      <c r="D101" s="16" t="n"/>
      <c r="E101" s="16" t="n"/>
      <c r="F101" s="16" t="n"/>
      <c r="G101" s="18">
        <f>IF(AND(D101&lt;&gt;"已完成",D101&lt;&gt;"",E101&lt;&gt;"",E101&lt;TODAY()),"⚠️延期","")</f>
        <v/>
      </c>
      <c r="H101" s="17" t="n"/>
    </row>
    <row r="102">
      <c r="A102" s="16" t="n"/>
      <c r="B102" s="16" t="n"/>
      <c r="C102" s="17" t="n"/>
      <c r="D102" s="16" t="n"/>
      <c r="E102" s="16" t="n"/>
      <c r="F102" s="16" t="n"/>
      <c r="G102" s="18">
        <f>IF(AND(D102&lt;&gt;"已完成",D102&lt;&gt;"",E102&lt;&gt;"",E102&lt;TODAY()),"⚠️延期","")</f>
        <v/>
      </c>
      <c r="H102" s="17" t="n"/>
    </row>
    <row r="103">
      <c r="A103" s="16" t="n"/>
      <c r="B103" s="16" t="n"/>
      <c r="C103" s="17" t="n"/>
      <c r="D103" s="16" t="n"/>
      <c r="E103" s="16" t="n"/>
      <c r="F103" s="16" t="n"/>
      <c r="G103" s="18">
        <f>IF(AND(D103&lt;&gt;"已完成",D103&lt;&gt;"",E103&lt;&gt;"",E103&lt;TODAY()),"⚠️延期","")</f>
        <v/>
      </c>
      <c r="H103" s="17" t="n"/>
    </row>
    <row r="104">
      <c r="A104" s="16" t="n"/>
      <c r="B104" s="16" t="n"/>
      <c r="C104" s="17" t="n"/>
      <c r="D104" s="16" t="n"/>
      <c r="E104" s="16" t="n"/>
      <c r="F104" s="16" t="n"/>
      <c r="G104" s="18">
        <f>IF(AND(D104&lt;&gt;"已完成",D104&lt;&gt;"",E104&lt;&gt;"",E104&lt;TODAY()),"⚠️延期","")</f>
        <v/>
      </c>
      <c r="H104" s="17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D5:D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H104">
    <cfRule type="expression" priority="7" dxfId="5">
      <formula>$G5="⚠️延期"</formula>
    </cfRule>
  </conditionalFormatting>
  <dataValidations count="2">
    <dataValidation sqref="B5:B104" showDropDown="0" showInputMessage="0" showErrorMessage="0" allowBlank="1" type="list">
      <formula1>=选项!$A$2:$A$8</formula1>
    </dataValidation>
    <dataValidation sqref="D5:D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2" customWidth="1" min="3" max="3"/>
    <col width="10" customWidth="1" min="4" max="4"/>
    <col width="12" customWidth="1" min="5" max="5"/>
    <col width="12" customWidth="1" min="6" max="6"/>
    <col width="10" customWidth="1" min="7" max="7"/>
    <col width="20" customWidth="1" min="8" max="8"/>
  </cols>
  <sheetData>
    <row r="1" ht="24" customHeight="1">
      <c r="A1" s="13" t="inlineStr">
        <is>
          <t>供应链-张姐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COUNTA(C5:C104)</f>
        <v/>
      </c>
      <c r="B3" s="14">
        <f>COUNTIF(D5:D104,"已完成")</f>
        <v/>
      </c>
      <c r="C3" s="14">
        <f>COUNTIF(D5:D104,"进行中")</f>
        <v/>
      </c>
      <c r="D3" s="14">
        <f>COUNTIF(G5:G104,"⚠️延期")+COUNTIF(D5:D104,"已延期")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项目</t>
        </is>
      </c>
      <c r="C4" s="15" t="inlineStr">
        <is>
          <t>工作内容</t>
        </is>
      </c>
      <c r="D4" s="15" t="inlineStr">
        <is>
          <t>状态</t>
        </is>
      </c>
      <c r="E4" s="15" t="inlineStr">
        <is>
          <t>计划完成日</t>
        </is>
      </c>
      <c r="F4" s="15" t="inlineStr">
        <is>
          <t>实际完成日</t>
        </is>
      </c>
      <c r="G4" s="15" t="inlineStr">
        <is>
          <t>是否延期</t>
        </is>
      </c>
      <c r="H4" s="15" t="inlineStr">
        <is>
          <t>备注</t>
        </is>
      </c>
    </row>
    <row r="5">
      <c r="A5" s="16" t="inlineStr">
        <is>
          <t>2026-08-17</t>
        </is>
      </c>
      <c r="B5" s="16" t="inlineStr">
        <is>
          <t>行政/其他</t>
        </is>
      </c>
      <c r="C5" s="17" t="inlineStr">
        <is>
          <t>税务申报</t>
        </is>
      </c>
      <c r="D5" s="16" t="inlineStr">
        <is>
          <t>进行中</t>
        </is>
      </c>
      <c r="E5" s="16" t="inlineStr">
        <is>
          <t>2026-08-20</t>
        </is>
      </c>
      <c r="F5" s="16" t="n"/>
      <c r="G5" s="18">
        <f>IF(AND(D5&lt;&gt;"已完成",D5&lt;&gt;"",E5&lt;&gt;"",E5&lt;TODAY()),"⚠️延期","")</f>
        <v/>
      </c>
      <c r="H5" s="17" t="n"/>
    </row>
    <row r="6">
      <c r="A6" s="16" t="inlineStr">
        <is>
          <t>2026-08-30</t>
        </is>
      </c>
      <c r="B6" s="16" t="inlineStr">
        <is>
          <t>行政/其他</t>
        </is>
      </c>
      <c r="C6" s="17" t="inlineStr">
        <is>
          <t>抖音费用确认(无费用可继续保持)</t>
        </is>
      </c>
      <c r="D6" s="16" t="inlineStr">
        <is>
          <t>未开始</t>
        </is>
      </c>
      <c r="E6" s="16" t="inlineStr">
        <is>
          <t>2026-08-30</t>
        </is>
      </c>
      <c r="F6" s="16" t="n"/>
      <c r="G6" s="18">
        <f>IF(AND(D6&lt;&gt;"已完成",D6&lt;&gt;"",E6&lt;&gt;"",E6&lt;TODAY()),"⚠️延期","")</f>
        <v/>
      </c>
      <c r="H6" s="17" t="n"/>
    </row>
    <row r="7">
      <c r="A7" s="16" t="n"/>
      <c r="B7" s="16" t="n"/>
      <c r="C7" s="17" t="n"/>
      <c r="D7" s="16" t="n"/>
      <c r="E7" s="16" t="n"/>
      <c r="F7" s="16" t="n"/>
      <c r="G7" s="18">
        <f>IF(AND(D7&lt;&gt;"已完成",D7&lt;&gt;"",E7&lt;&gt;"",E7&lt;TODAY()),"⚠️延期","")</f>
        <v/>
      </c>
      <c r="H7" s="17" t="n"/>
    </row>
    <row r="8">
      <c r="A8" s="16" t="n"/>
      <c r="B8" s="16" t="n"/>
      <c r="C8" s="17" t="n"/>
      <c r="D8" s="16" t="n"/>
      <c r="E8" s="16" t="n"/>
      <c r="F8" s="16" t="n"/>
      <c r="G8" s="18">
        <f>IF(AND(D8&lt;&gt;"已完成",D8&lt;&gt;"",E8&lt;&gt;"",E8&lt;TODAY()),"⚠️延期","")</f>
        <v/>
      </c>
      <c r="H8" s="17" t="n"/>
    </row>
    <row r="9">
      <c r="A9" s="16" t="n"/>
      <c r="B9" s="16" t="n"/>
      <c r="C9" s="17" t="n"/>
      <c r="D9" s="16" t="n"/>
      <c r="E9" s="16" t="n"/>
      <c r="F9" s="16" t="n"/>
      <c r="G9" s="18">
        <f>IF(AND(D9&lt;&gt;"已完成",D9&lt;&gt;"",E9&lt;&gt;"",E9&lt;TODAY()),"⚠️延期","")</f>
        <v/>
      </c>
      <c r="H9" s="17" t="n"/>
    </row>
    <row r="10">
      <c r="A10" s="16" t="n"/>
      <c r="B10" s="16" t="n"/>
      <c r="C10" s="17" t="n"/>
      <c r="D10" s="16" t="n"/>
      <c r="E10" s="16" t="n"/>
      <c r="F10" s="16" t="n"/>
      <c r="G10" s="18">
        <f>IF(AND(D10&lt;&gt;"已完成",D10&lt;&gt;"",E10&lt;&gt;"",E10&lt;TODAY()),"⚠️延期","")</f>
        <v/>
      </c>
      <c r="H10" s="17" t="n"/>
    </row>
    <row r="11">
      <c r="A11" s="16" t="n"/>
      <c r="B11" s="16" t="n"/>
      <c r="C11" s="17" t="n"/>
      <c r="D11" s="16" t="n"/>
      <c r="E11" s="16" t="n"/>
      <c r="F11" s="16" t="n"/>
      <c r="G11" s="18">
        <f>IF(AND(D11&lt;&gt;"已完成",D11&lt;&gt;"",E11&lt;&gt;"",E11&lt;TODAY()),"⚠️延期","")</f>
        <v/>
      </c>
      <c r="H11" s="17" t="n"/>
    </row>
    <row r="12">
      <c r="A12" s="16" t="n"/>
      <c r="B12" s="16" t="n"/>
      <c r="C12" s="17" t="n"/>
      <c r="D12" s="16" t="n"/>
      <c r="E12" s="16" t="n"/>
      <c r="F12" s="16" t="n"/>
      <c r="G12" s="18">
        <f>IF(AND(D12&lt;&gt;"已完成",D12&lt;&gt;"",E12&lt;&gt;"",E12&lt;TODAY()),"⚠️延期","")</f>
        <v/>
      </c>
      <c r="H12" s="17" t="n"/>
    </row>
    <row r="13">
      <c r="A13" s="16" t="n"/>
      <c r="B13" s="16" t="n"/>
      <c r="C13" s="17" t="n"/>
      <c r="D13" s="16" t="n"/>
      <c r="E13" s="16" t="n"/>
      <c r="F13" s="16" t="n"/>
      <c r="G13" s="18">
        <f>IF(AND(D13&lt;&gt;"已完成",D13&lt;&gt;"",E13&lt;&gt;"",E13&lt;TODAY()),"⚠️延期","")</f>
        <v/>
      </c>
      <c r="H13" s="17" t="n"/>
    </row>
    <row r="14">
      <c r="A14" s="16" t="n"/>
      <c r="B14" s="16" t="n"/>
      <c r="C14" s="17" t="n"/>
      <c r="D14" s="16" t="n"/>
      <c r="E14" s="16" t="n"/>
      <c r="F14" s="16" t="n"/>
      <c r="G14" s="18">
        <f>IF(AND(D14&lt;&gt;"已完成",D14&lt;&gt;"",E14&lt;&gt;"",E14&lt;TODAY()),"⚠️延期","")</f>
        <v/>
      </c>
      <c r="H14" s="17" t="n"/>
    </row>
    <row r="15">
      <c r="A15" s="16" t="n"/>
      <c r="B15" s="16" t="n"/>
      <c r="C15" s="17" t="n"/>
      <c r="D15" s="16" t="n"/>
      <c r="E15" s="16" t="n"/>
      <c r="F15" s="16" t="n"/>
      <c r="G15" s="18">
        <f>IF(AND(D15&lt;&gt;"已完成",D15&lt;&gt;"",E15&lt;&gt;"",E15&lt;TODAY()),"⚠️延期","")</f>
        <v/>
      </c>
      <c r="H15" s="17" t="n"/>
    </row>
    <row r="16">
      <c r="A16" s="16" t="n"/>
      <c r="B16" s="16" t="n"/>
      <c r="C16" s="17" t="n"/>
      <c r="D16" s="16" t="n"/>
      <c r="E16" s="16" t="n"/>
      <c r="F16" s="16" t="n"/>
      <c r="G16" s="18">
        <f>IF(AND(D16&lt;&gt;"已完成",D16&lt;&gt;"",E16&lt;&gt;"",E16&lt;TODAY()),"⚠️延期","")</f>
        <v/>
      </c>
      <c r="H16" s="17" t="n"/>
    </row>
    <row r="17">
      <c r="A17" s="16" t="n"/>
      <c r="B17" s="16" t="n"/>
      <c r="C17" s="17" t="n"/>
      <c r="D17" s="16" t="n"/>
      <c r="E17" s="16" t="n"/>
      <c r="F17" s="16" t="n"/>
      <c r="G17" s="18">
        <f>IF(AND(D17&lt;&gt;"已完成",D17&lt;&gt;"",E17&lt;&gt;"",E17&lt;TODAY()),"⚠️延期","")</f>
        <v/>
      </c>
      <c r="H17" s="17" t="n"/>
    </row>
    <row r="18">
      <c r="A18" s="16" t="n"/>
      <c r="B18" s="16" t="n"/>
      <c r="C18" s="17" t="n"/>
      <c r="D18" s="16" t="n"/>
      <c r="E18" s="16" t="n"/>
      <c r="F18" s="16" t="n"/>
      <c r="G18" s="18">
        <f>IF(AND(D18&lt;&gt;"已完成",D18&lt;&gt;"",E18&lt;&gt;"",E18&lt;TODAY()),"⚠️延期","")</f>
        <v/>
      </c>
      <c r="H18" s="17" t="n"/>
    </row>
    <row r="19">
      <c r="A19" s="16" t="n"/>
      <c r="B19" s="16" t="n"/>
      <c r="C19" s="17" t="n"/>
      <c r="D19" s="16" t="n"/>
      <c r="E19" s="16" t="n"/>
      <c r="F19" s="16" t="n"/>
      <c r="G19" s="18">
        <f>IF(AND(D19&lt;&gt;"已完成",D19&lt;&gt;"",E19&lt;&gt;"",E19&lt;TODAY()),"⚠️延期","")</f>
        <v/>
      </c>
      <c r="H19" s="17" t="n"/>
    </row>
    <row r="20">
      <c r="A20" s="16" t="n"/>
      <c r="B20" s="16" t="n"/>
      <c r="C20" s="17" t="n"/>
      <c r="D20" s="16" t="n"/>
      <c r="E20" s="16" t="n"/>
      <c r="F20" s="16" t="n"/>
      <c r="G20" s="18">
        <f>IF(AND(D20&lt;&gt;"已完成",D20&lt;&gt;"",E20&lt;&gt;"",E20&lt;TODAY()),"⚠️延期","")</f>
        <v/>
      </c>
      <c r="H20" s="17" t="n"/>
    </row>
    <row r="21">
      <c r="A21" s="16" t="n"/>
      <c r="B21" s="16" t="n"/>
      <c r="C21" s="17" t="n"/>
      <c r="D21" s="16" t="n"/>
      <c r="E21" s="16" t="n"/>
      <c r="F21" s="16" t="n"/>
      <c r="G21" s="18">
        <f>IF(AND(D21&lt;&gt;"已完成",D21&lt;&gt;"",E21&lt;&gt;"",E21&lt;TODAY()),"⚠️延期","")</f>
        <v/>
      </c>
      <c r="H21" s="17" t="n"/>
    </row>
    <row r="22">
      <c r="A22" s="16" t="n"/>
      <c r="B22" s="16" t="n"/>
      <c r="C22" s="17" t="n"/>
      <c r="D22" s="16" t="n"/>
      <c r="E22" s="16" t="n"/>
      <c r="F22" s="16" t="n"/>
      <c r="G22" s="18">
        <f>IF(AND(D22&lt;&gt;"已完成",D22&lt;&gt;"",E22&lt;&gt;"",E22&lt;TODAY()),"⚠️延期","")</f>
        <v/>
      </c>
      <c r="H22" s="17" t="n"/>
    </row>
    <row r="23">
      <c r="A23" s="16" t="n"/>
      <c r="B23" s="16" t="n"/>
      <c r="C23" s="17" t="n"/>
      <c r="D23" s="16" t="n"/>
      <c r="E23" s="16" t="n"/>
      <c r="F23" s="16" t="n"/>
      <c r="G23" s="18">
        <f>IF(AND(D23&lt;&gt;"已完成",D23&lt;&gt;"",E23&lt;&gt;"",E23&lt;TODAY()),"⚠️延期","")</f>
        <v/>
      </c>
      <c r="H23" s="17" t="n"/>
    </row>
    <row r="24">
      <c r="A24" s="16" t="n"/>
      <c r="B24" s="16" t="n"/>
      <c r="C24" s="17" t="n"/>
      <c r="D24" s="16" t="n"/>
      <c r="E24" s="16" t="n"/>
      <c r="F24" s="16" t="n"/>
      <c r="G24" s="18">
        <f>IF(AND(D24&lt;&gt;"已完成",D24&lt;&gt;"",E24&lt;&gt;"",E24&lt;TODAY()),"⚠️延期","")</f>
        <v/>
      </c>
      <c r="H24" s="17" t="n"/>
    </row>
    <row r="25">
      <c r="A25" s="16" t="n"/>
      <c r="B25" s="16" t="n"/>
      <c r="C25" s="17" t="n"/>
      <c r="D25" s="16" t="n"/>
      <c r="E25" s="16" t="n"/>
      <c r="F25" s="16" t="n"/>
      <c r="G25" s="18">
        <f>IF(AND(D25&lt;&gt;"已完成",D25&lt;&gt;"",E25&lt;&gt;"",E25&lt;TODAY()),"⚠️延期","")</f>
        <v/>
      </c>
      <c r="H25" s="17" t="n"/>
    </row>
    <row r="26">
      <c r="A26" s="16" t="n"/>
      <c r="B26" s="16" t="n"/>
      <c r="C26" s="17" t="n"/>
      <c r="D26" s="16" t="n"/>
      <c r="E26" s="16" t="n"/>
      <c r="F26" s="16" t="n"/>
      <c r="G26" s="18">
        <f>IF(AND(D26&lt;&gt;"已完成",D26&lt;&gt;"",E26&lt;&gt;"",E26&lt;TODAY()),"⚠️延期","")</f>
        <v/>
      </c>
      <c r="H26" s="17" t="n"/>
    </row>
    <row r="27">
      <c r="A27" s="16" t="n"/>
      <c r="B27" s="16" t="n"/>
      <c r="C27" s="17" t="n"/>
      <c r="D27" s="16" t="n"/>
      <c r="E27" s="16" t="n"/>
      <c r="F27" s="16" t="n"/>
      <c r="G27" s="18">
        <f>IF(AND(D27&lt;&gt;"已完成",D27&lt;&gt;"",E27&lt;&gt;"",E27&lt;TODAY()),"⚠️延期","")</f>
        <v/>
      </c>
      <c r="H27" s="17" t="n"/>
    </row>
    <row r="28">
      <c r="A28" s="16" t="n"/>
      <c r="B28" s="16" t="n"/>
      <c r="C28" s="17" t="n"/>
      <c r="D28" s="16" t="n"/>
      <c r="E28" s="16" t="n"/>
      <c r="F28" s="16" t="n"/>
      <c r="G28" s="18">
        <f>IF(AND(D28&lt;&gt;"已完成",D28&lt;&gt;"",E28&lt;&gt;"",E28&lt;TODAY()),"⚠️延期","")</f>
        <v/>
      </c>
      <c r="H28" s="17" t="n"/>
    </row>
    <row r="29">
      <c r="A29" s="16" t="n"/>
      <c r="B29" s="16" t="n"/>
      <c r="C29" s="17" t="n"/>
      <c r="D29" s="16" t="n"/>
      <c r="E29" s="16" t="n"/>
      <c r="F29" s="16" t="n"/>
      <c r="G29" s="18">
        <f>IF(AND(D29&lt;&gt;"已完成",D29&lt;&gt;"",E29&lt;&gt;"",E29&lt;TODAY()),"⚠️延期","")</f>
        <v/>
      </c>
      <c r="H29" s="17" t="n"/>
    </row>
    <row r="30">
      <c r="A30" s="16" t="n"/>
      <c r="B30" s="16" t="n"/>
      <c r="C30" s="17" t="n"/>
      <c r="D30" s="16" t="n"/>
      <c r="E30" s="16" t="n"/>
      <c r="F30" s="16" t="n"/>
      <c r="G30" s="18">
        <f>IF(AND(D30&lt;&gt;"已完成",D30&lt;&gt;"",E30&lt;&gt;"",E30&lt;TODAY()),"⚠️延期","")</f>
        <v/>
      </c>
      <c r="H30" s="17" t="n"/>
    </row>
    <row r="31">
      <c r="A31" s="16" t="n"/>
      <c r="B31" s="16" t="n"/>
      <c r="C31" s="17" t="n"/>
      <c r="D31" s="16" t="n"/>
      <c r="E31" s="16" t="n"/>
      <c r="F31" s="16" t="n"/>
      <c r="G31" s="18">
        <f>IF(AND(D31&lt;&gt;"已完成",D31&lt;&gt;"",E31&lt;&gt;"",E31&lt;TODAY()),"⚠️延期","")</f>
        <v/>
      </c>
      <c r="H31" s="17" t="n"/>
    </row>
    <row r="32">
      <c r="A32" s="16" t="n"/>
      <c r="B32" s="16" t="n"/>
      <c r="C32" s="17" t="n"/>
      <c r="D32" s="16" t="n"/>
      <c r="E32" s="16" t="n"/>
      <c r="F32" s="16" t="n"/>
      <c r="G32" s="18">
        <f>IF(AND(D32&lt;&gt;"已完成",D32&lt;&gt;"",E32&lt;&gt;"",E32&lt;TODAY()),"⚠️延期","")</f>
        <v/>
      </c>
      <c r="H32" s="17" t="n"/>
    </row>
    <row r="33">
      <c r="A33" s="16" t="n"/>
      <c r="B33" s="16" t="n"/>
      <c r="C33" s="17" t="n"/>
      <c r="D33" s="16" t="n"/>
      <c r="E33" s="16" t="n"/>
      <c r="F33" s="16" t="n"/>
      <c r="G33" s="18">
        <f>IF(AND(D33&lt;&gt;"已完成",D33&lt;&gt;"",E33&lt;&gt;"",E33&lt;TODAY()),"⚠️延期","")</f>
        <v/>
      </c>
      <c r="H33" s="17" t="n"/>
    </row>
    <row r="34">
      <c r="A34" s="16" t="n"/>
      <c r="B34" s="16" t="n"/>
      <c r="C34" s="17" t="n"/>
      <c r="D34" s="16" t="n"/>
      <c r="E34" s="16" t="n"/>
      <c r="F34" s="16" t="n"/>
      <c r="G34" s="18">
        <f>IF(AND(D34&lt;&gt;"已完成",D34&lt;&gt;"",E34&lt;&gt;"",E34&lt;TODAY()),"⚠️延期","")</f>
        <v/>
      </c>
      <c r="H34" s="17" t="n"/>
    </row>
    <row r="35">
      <c r="A35" s="16" t="n"/>
      <c r="B35" s="16" t="n"/>
      <c r="C35" s="17" t="n"/>
      <c r="D35" s="16" t="n"/>
      <c r="E35" s="16" t="n"/>
      <c r="F35" s="16" t="n"/>
      <c r="G35" s="18">
        <f>IF(AND(D35&lt;&gt;"已完成",D35&lt;&gt;"",E35&lt;&gt;"",E35&lt;TODAY()),"⚠️延期","")</f>
        <v/>
      </c>
      <c r="H35" s="17" t="n"/>
    </row>
    <row r="36">
      <c r="A36" s="16" t="n"/>
      <c r="B36" s="16" t="n"/>
      <c r="C36" s="17" t="n"/>
      <c r="D36" s="16" t="n"/>
      <c r="E36" s="16" t="n"/>
      <c r="F36" s="16" t="n"/>
      <c r="G36" s="18">
        <f>IF(AND(D36&lt;&gt;"已完成",D36&lt;&gt;"",E36&lt;&gt;"",E36&lt;TODAY()),"⚠️延期","")</f>
        <v/>
      </c>
      <c r="H36" s="17" t="n"/>
    </row>
    <row r="37">
      <c r="A37" s="16" t="n"/>
      <c r="B37" s="16" t="n"/>
      <c r="C37" s="17" t="n"/>
      <c r="D37" s="16" t="n"/>
      <c r="E37" s="16" t="n"/>
      <c r="F37" s="16" t="n"/>
      <c r="G37" s="18">
        <f>IF(AND(D37&lt;&gt;"已完成",D37&lt;&gt;"",E37&lt;&gt;"",E37&lt;TODAY()),"⚠️延期","")</f>
        <v/>
      </c>
      <c r="H37" s="17" t="n"/>
    </row>
    <row r="38">
      <c r="A38" s="16" t="n"/>
      <c r="B38" s="16" t="n"/>
      <c r="C38" s="17" t="n"/>
      <c r="D38" s="16" t="n"/>
      <c r="E38" s="16" t="n"/>
      <c r="F38" s="16" t="n"/>
      <c r="G38" s="18">
        <f>IF(AND(D38&lt;&gt;"已完成",D38&lt;&gt;"",E38&lt;&gt;"",E38&lt;TODAY()),"⚠️延期","")</f>
        <v/>
      </c>
      <c r="H38" s="17" t="n"/>
    </row>
    <row r="39">
      <c r="A39" s="16" t="n"/>
      <c r="B39" s="16" t="n"/>
      <c r="C39" s="17" t="n"/>
      <c r="D39" s="16" t="n"/>
      <c r="E39" s="16" t="n"/>
      <c r="F39" s="16" t="n"/>
      <c r="G39" s="18">
        <f>IF(AND(D39&lt;&gt;"已完成",D39&lt;&gt;"",E39&lt;&gt;"",E39&lt;TODAY()),"⚠️延期","")</f>
        <v/>
      </c>
      <c r="H39" s="17" t="n"/>
    </row>
    <row r="40">
      <c r="A40" s="16" t="n"/>
      <c r="B40" s="16" t="n"/>
      <c r="C40" s="17" t="n"/>
      <c r="D40" s="16" t="n"/>
      <c r="E40" s="16" t="n"/>
      <c r="F40" s="16" t="n"/>
      <c r="G40" s="18">
        <f>IF(AND(D40&lt;&gt;"已完成",D40&lt;&gt;"",E40&lt;&gt;"",E40&lt;TODAY()),"⚠️延期","")</f>
        <v/>
      </c>
      <c r="H40" s="17" t="n"/>
    </row>
    <row r="41">
      <c r="A41" s="16" t="n"/>
      <c r="B41" s="16" t="n"/>
      <c r="C41" s="17" t="n"/>
      <c r="D41" s="16" t="n"/>
      <c r="E41" s="16" t="n"/>
      <c r="F41" s="16" t="n"/>
      <c r="G41" s="18">
        <f>IF(AND(D41&lt;&gt;"已完成",D41&lt;&gt;"",E41&lt;&gt;"",E41&lt;TODAY()),"⚠️延期","")</f>
        <v/>
      </c>
      <c r="H41" s="17" t="n"/>
    </row>
    <row r="42">
      <c r="A42" s="16" t="n"/>
      <c r="B42" s="16" t="n"/>
      <c r="C42" s="17" t="n"/>
      <c r="D42" s="16" t="n"/>
      <c r="E42" s="16" t="n"/>
      <c r="F42" s="16" t="n"/>
      <c r="G42" s="18">
        <f>IF(AND(D42&lt;&gt;"已完成",D42&lt;&gt;"",E42&lt;&gt;"",E42&lt;TODAY()),"⚠️延期","")</f>
        <v/>
      </c>
      <c r="H42" s="17" t="n"/>
    </row>
    <row r="43">
      <c r="A43" s="16" t="n"/>
      <c r="B43" s="16" t="n"/>
      <c r="C43" s="17" t="n"/>
      <c r="D43" s="16" t="n"/>
      <c r="E43" s="16" t="n"/>
      <c r="F43" s="16" t="n"/>
      <c r="G43" s="18">
        <f>IF(AND(D43&lt;&gt;"已完成",D43&lt;&gt;"",E43&lt;&gt;"",E43&lt;TODAY()),"⚠️延期","")</f>
        <v/>
      </c>
      <c r="H43" s="17" t="n"/>
    </row>
    <row r="44">
      <c r="A44" s="16" t="n"/>
      <c r="B44" s="16" t="n"/>
      <c r="C44" s="17" t="n"/>
      <c r="D44" s="16" t="n"/>
      <c r="E44" s="16" t="n"/>
      <c r="F44" s="16" t="n"/>
      <c r="G44" s="18">
        <f>IF(AND(D44&lt;&gt;"已完成",D44&lt;&gt;"",E44&lt;&gt;"",E44&lt;TODAY()),"⚠️延期","")</f>
        <v/>
      </c>
      <c r="H44" s="17" t="n"/>
    </row>
    <row r="45">
      <c r="A45" s="16" t="n"/>
      <c r="B45" s="16" t="n"/>
      <c r="C45" s="17" t="n"/>
      <c r="D45" s="16" t="n"/>
      <c r="E45" s="16" t="n"/>
      <c r="F45" s="16" t="n"/>
      <c r="G45" s="18">
        <f>IF(AND(D45&lt;&gt;"已完成",D45&lt;&gt;"",E45&lt;&gt;"",E45&lt;TODAY()),"⚠️延期","")</f>
        <v/>
      </c>
      <c r="H45" s="17" t="n"/>
    </row>
    <row r="46">
      <c r="A46" s="16" t="n"/>
      <c r="B46" s="16" t="n"/>
      <c r="C46" s="17" t="n"/>
      <c r="D46" s="16" t="n"/>
      <c r="E46" s="16" t="n"/>
      <c r="F46" s="16" t="n"/>
      <c r="G46" s="18">
        <f>IF(AND(D46&lt;&gt;"已完成",D46&lt;&gt;"",E46&lt;&gt;"",E46&lt;TODAY()),"⚠️延期","")</f>
        <v/>
      </c>
      <c r="H46" s="17" t="n"/>
    </row>
    <row r="47">
      <c r="A47" s="16" t="n"/>
      <c r="B47" s="16" t="n"/>
      <c r="C47" s="17" t="n"/>
      <c r="D47" s="16" t="n"/>
      <c r="E47" s="16" t="n"/>
      <c r="F47" s="16" t="n"/>
      <c r="G47" s="18">
        <f>IF(AND(D47&lt;&gt;"已完成",D47&lt;&gt;"",E47&lt;&gt;"",E47&lt;TODAY()),"⚠️延期","")</f>
        <v/>
      </c>
      <c r="H47" s="17" t="n"/>
    </row>
    <row r="48">
      <c r="A48" s="16" t="n"/>
      <c r="B48" s="16" t="n"/>
      <c r="C48" s="17" t="n"/>
      <c r="D48" s="16" t="n"/>
      <c r="E48" s="16" t="n"/>
      <c r="F48" s="16" t="n"/>
      <c r="G48" s="18">
        <f>IF(AND(D48&lt;&gt;"已完成",D48&lt;&gt;"",E48&lt;&gt;"",E48&lt;TODAY()),"⚠️延期","")</f>
        <v/>
      </c>
      <c r="H48" s="17" t="n"/>
    </row>
    <row r="49">
      <c r="A49" s="16" t="n"/>
      <c r="B49" s="16" t="n"/>
      <c r="C49" s="17" t="n"/>
      <c r="D49" s="16" t="n"/>
      <c r="E49" s="16" t="n"/>
      <c r="F49" s="16" t="n"/>
      <c r="G49" s="18">
        <f>IF(AND(D49&lt;&gt;"已完成",D49&lt;&gt;"",E49&lt;&gt;"",E49&lt;TODAY()),"⚠️延期","")</f>
        <v/>
      </c>
      <c r="H49" s="17" t="n"/>
    </row>
    <row r="50">
      <c r="A50" s="16" t="n"/>
      <c r="B50" s="16" t="n"/>
      <c r="C50" s="17" t="n"/>
      <c r="D50" s="16" t="n"/>
      <c r="E50" s="16" t="n"/>
      <c r="F50" s="16" t="n"/>
      <c r="G50" s="18">
        <f>IF(AND(D50&lt;&gt;"已完成",D50&lt;&gt;"",E50&lt;&gt;"",E50&lt;TODAY()),"⚠️延期","")</f>
        <v/>
      </c>
      <c r="H50" s="17" t="n"/>
    </row>
    <row r="51">
      <c r="A51" s="16" t="n"/>
      <c r="B51" s="16" t="n"/>
      <c r="C51" s="17" t="n"/>
      <c r="D51" s="16" t="n"/>
      <c r="E51" s="16" t="n"/>
      <c r="F51" s="16" t="n"/>
      <c r="G51" s="18">
        <f>IF(AND(D51&lt;&gt;"已完成",D51&lt;&gt;"",E51&lt;&gt;"",E51&lt;TODAY()),"⚠️延期","")</f>
        <v/>
      </c>
      <c r="H51" s="17" t="n"/>
    </row>
    <row r="52">
      <c r="A52" s="16" t="n"/>
      <c r="B52" s="16" t="n"/>
      <c r="C52" s="17" t="n"/>
      <c r="D52" s="16" t="n"/>
      <c r="E52" s="16" t="n"/>
      <c r="F52" s="16" t="n"/>
      <c r="G52" s="18">
        <f>IF(AND(D52&lt;&gt;"已完成",D52&lt;&gt;"",E52&lt;&gt;"",E52&lt;TODAY()),"⚠️延期","")</f>
        <v/>
      </c>
      <c r="H52" s="17" t="n"/>
    </row>
    <row r="53">
      <c r="A53" s="16" t="n"/>
      <c r="B53" s="16" t="n"/>
      <c r="C53" s="17" t="n"/>
      <c r="D53" s="16" t="n"/>
      <c r="E53" s="16" t="n"/>
      <c r="F53" s="16" t="n"/>
      <c r="G53" s="18">
        <f>IF(AND(D53&lt;&gt;"已完成",D53&lt;&gt;"",E53&lt;&gt;"",E53&lt;TODAY()),"⚠️延期","")</f>
        <v/>
      </c>
      <c r="H53" s="17" t="n"/>
    </row>
    <row r="54">
      <c r="A54" s="16" t="n"/>
      <c r="B54" s="16" t="n"/>
      <c r="C54" s="17" t="n"/>
      <c r="D54" s="16" t="n"/>
      <c r="E54" s="16" t="n"/>
      <c r="F54" s="16" t="n"/>
      <c r="G54" s="18">
        <f>IF(AND(D54&lt;&gt;"已完成",D54&lt;&gt;"",E54&lt;&gt;"",E54&lt;TODAY()),"⚠️延期","")</f>
        <v/>
      </c>
      <c r="H54" s="17" t="n"/>
    </row>
    <row r="55">
      <c r="A55" s="16" t="n"/>
      <c r="B55" s="16" t="n"/>
      <c r="C55" s="17" t="n"/>
      <c r="D55" s="16" t="n"/>
      <c r="E55" s="16" t="n"/>
      <c r="F55" s="16" t="n"/>
      <c r="G55" s="18">
        <f>IF(AND(D55&lt;&gt;"已完成",D55&lt;&gt;"",E55&lt;&gt;"",E55&lt;TODAY()),"⚠️延期","")</f>
        <v/>
      </c>
      <c r="H55" s="17" t="n"/>
    </row>
    <row r="56">
      <c r="A56" s="16" t="n"/>
      <c r="B56" s="16" t="n"/>
      <c r="C56" s="17" t="n"/>
      <c r="D56" s="16" t="n"/>
      <c r="E56" s="16" t="n"/>
      <c r="F56" s="16" t="n"/>
      <c r="G56" s="18">
        <f>IF(AND(D56&lt;&gt;"已完成",D56&lt;&gt;"",E56&lt;&gt;"",E56&lt;TODAY()),"⚠️延期","")</f>
        <v/>
      </c>
      <c r="H56" s="17" t="n"/>
    </row>
    <row r="57">
      <c r="A57" s="16" t="n"/>
      <c r="B57" s="16" t="n"/>
      <c r="C57" s="17" t="n"/>
      <c r="D57" s="16" t="n"/>
      <c r="E57" s="16" t="n"/>
      <c r="F57" s="16" t="n"/>
      <c r="G57" s="18">
        <f>IF(AND(D57&lt;&gt;"已完成",D57&lt;&gt;"",E57&lt;&gt;"",E57&lt;TODAY()),"⚠️延期","")</f>
        <v/>
      </c>
      <c r="H57" s="17" t="n"/>
    </row>
    <row r="58">
      <c r="A58" s="16" t="n"/>
      <c r="B58" s="16" t="n"/>
      <c r="C58" s="17" t="n"/>
      <c r="D58" s="16" t="n"/>
      <c r="E58" s="16" t="n"/>
      <c r="F58" s="16" t="n"/>
      <c r="G58" s="18">
        <f>IF(AND(D58&lt;&gt;"已完成",D58&lt;&gt;"",E58&lt;&gt;"",E58&lt;TODAY()),"⚠️延期","")</f>
        <v/>
      </c>
      <c r="H58" s="17" t="n"/>
    </row>
    <row r="59">
      <c r="A59" s="16" t="n"/>
      <c r="B59" s="16" t="n"/>
      <c r="C59" s="17" t="n"/>
      <c r="D59" s="16" t="n"/>
      <c r="E59" s="16" t="n"/>
      <c r="F59" s="16" t="n"/>
      <c r="G59" s="18">
        <f>IF(AND(D59&lt;&gt;"已完成",D59&lt;&gt;"",E59&lt;&gt;"",E59&lt;TODAY()),"⚠️延期","")</f>
        <v/>
      </c>
      <c r="H59" s="17" t="n"/>
    </row>
    <row r="60">
      <c r="A60" s="16" t="n"/>
      <c r="B60" s="16" t="n"/>
      <c r="C60" s="17" t="n"/>
      <c r="D60" s="16" t="n"/>
      <c r="E60" s="16" t="n"/>
      <c r="F60" s="16" t="n"/>
      <c r="G60" s="18">
        <f>IF(AND(D60&lt;&gt;"已完成",D60&lt;&gt;"",E60&lt;&gt;"",E60&lt;TODAY()),"⚠️延期","")</f>
        <v/>
      </c>
      <c r="H60" s="17" t="n"/>
    </row>
    <row r="61">
      <c r="A61" s="16" t="n"/>
      <c r="B61" s="16" t="n"/>
      <c r="C61" s="17" t="n"/>
      <c r="D61" s="16" t="n"/>
      <c r="E61" s="16" t="n"/>
      <c r="F61" s="16" t="n"/>
      <c r="G61" s="18">
        <f>IF(AND(D61&lt;&gt;"已完成",D61&lt;&gt;"",E61&lt;&gt;"",E61&lt;TODAY()),"⚠️延期","")</f>
        <v/>
      </c>
      <c r="H61" s="17" t="n"/>
    </row>
    <row r="62">
      <c r="A62" s="16" t="n"/>
      <c r="B62" s="16" t="n"/>
      <c r="C62" s="17" t="n"/>
      <c r="D62" s="16" t="n"/>
      <c r="E62" s="16" t="n"/>
      <c r="F62" s="16" t="n"/>
      <c r="G62" s="18">
        <f>IF(AND(D62&lt;&gt;"已完成",D62&lt;&gt;"",E62&lt;&gt;"",E62&lt;TODAY()),"⚠️延期","")</f>
        <v/>
      </c>
      <c r="H62" s="17" t="n"/>
    </row>
    <row r="63">
      <c r="A63" s="16" t="n"/>
      <c r="B63" s="16" t="n"/>
      <c r="C63" s="17" t="n"/>
      <c r="D63" s="16" t="n"/>
      <c r="E63" s="16" t="n"/>
      <c r="F63" s="16" t="n"/>
      <c r="G63" s="18">
        <f>IF(AND(D63&lt;&gt;"已完成",D63&lt;&gt;"",E63&lt;&gt;"",E63&lt;TODAY()),"⚠️延期","")</f>
        <v/>
      </c>
      <c r="H63" s="17" t="n"/>
    </row>
    <row r="64">
      <c r="A64" s="16" t="n"/>
      <c r="B64" s="16" t="n"/>
      <c r="C64" s="17" t="n"/>
      <c r="D64" s="16" t="n"/>
      <c r="E64" s="16" t="n"/>
      <c r="F64" s="16" t="n"/>
      <c r="G64" s="18">
        <f>IF(AND(D64&lt;&gt;"已完成",D64&lt;&gt;"",E64&lt;&gt;"",E64&lt;TODAY()),"⚠️延期","")</f>
        <v/>
      </c>
      <c r="H64" s="17" t="n"/>
    </row>
    <row r="65">
      <c r="A65" s="16" t="n"/>
      <c r="B65" s="16" t="n"/>
      <c r="C65" s="17" t="n"/>
      <c r="D65" s="16" t="n"/>
      <c r="E65" s="16" t="n"/>
      <c r="F65" s="16" t="n"/>
      <c r="G65" s="18">
        <f>IF(AND(D65&lt;&gt;"已完成",D65&lt;&gt;"",E65&lt;&gt;"",E65&lt;TODAY()),"⚠️延期","")</f>
        <v/>
      </c>
      <c r="H65" s="17" t="n"/>
    </row>
    <row r="66">
      <c r="A66" s="16" t="n"/>
      <c r="B66" s="16" t="n"/>
      <c r="C66" s="17" t="n"/>
      <c r="D66" s="16" t="n"/>
      <c r="E66" s="16" t="n"/>
      <c r="F66" s="16" t="n"/>
      <c r="G66" s="18">
        <f>IF(AND(D66&lt;&gt;"已完成",D66&lt;&gt;"",E66&lt;&gt;"",E66&lt;TODAY()),"⚠️延期","")</f>
        <v/>
      </c>
      <c r="H66" s="17" t="n"/>
    </row>
    <row r="67">
      <c r="A67" s="16" t="n"/>
      <c r="B67" s="16" t="n"/>
      <c r="C67" s="17" t="n"/>
      <c r="D67" s="16" t="n"/>
      <c r="E67" s="16" t="n"/>
      <c r="F67" s="16" t="n"/>
      <c r="G67" s="18">
        <f>IF(AND(D67&lt;&gt;"已完成",D67&lt;&gt;"",E67&lt;&gt;"",E67&lt;TODAY()),"⚠️延期","")</f>
        <v/>
      </c>
      <c r="H67" s="17" t="n"/>
    </row>
    <row r="68">
      <c r="A68" s="16" t="n"/>
      <c r="B68" s="16" t="n"/>
      <c r="C68" s="17" t="n"/>
      <c r="D68" s="16" t="n"/>
      <c r="E68" s="16" t="n"/>
      <c r="F68" s="16" t="n"/>
      <c r="G68" s="18">
        <f>IF(AND(D68&lt;&gt;"已完成",D68&lt;&gt;"",E68&lt;&gt;"",E68&lt;TODAY()),"⚠️延期","")</f>
        <v/>
      </c>
      <c r="H68" s="17" t="n"/>
    </row>
    <row r="69">
      <c r="A69" s="16" t="n"/>
      <c r="B69" s="16" t="n"/>
      <c r="C69" s="17" t="n"/>
      <c r="D69" s="16" t="n"/>
      <c r="E69" s="16" t="n"/>
      <c r="F69" s="16" t="n"/>
      <c r="G69" s="18">
        <f>IF(AND(D69&lt;&gt;"已完成",D69&lt;&gt;"",E69&lt;&gt;"",E69&lt;TODAY()),"⚠️延期","")</f>
        <v/>
      </c>
      <c r="H69" s="17" t="n"/>
    </row>
    <row r="70">
      <c r="A70" s="16" t="n"/>
      <c r="B70" s="16" t="n"/>
      <c r="C70" s="17" t="n"/>
      <c r="D70" s="16" t="n"/>
      <c r="E70" s="16" t="n"/>
      <c r="F70" s="16" t="n"/>
      <c r="G70" s="18">
        <f>IF(AND(D70&lt;&gt;"已完成",D70&lt;&gt;"",E70&lt;&gt;"",E70&lt;TODAY()),"⚠️延期","")</f>
        <v/>
      </c>
      <c r="H70" s="17" t="n"/>
    </row>
    <row r="71">
      <c r="A71" s="16" t="n"/>
      <c r="B71" s="16" t="n"/>
      <c r="C71" s="17" t="n"/>
      <c r="D71" s="16" t="n"/>
      <c r="E71" s="16" t="n"/>
      <c r="F71" s="16" t="n"/>
      <c r="G71" s="18">
        <f>IF(AND(D71&lt;&gt;"已完成",D71&lt;&gt;"",E71&lt;&gt;"",E71&lt;TODAY()),"⚠️延期","")</f>
        <v/>
      </c>
      <c r="H71" s="17" t="n"/>
    </row>
    <row r="72">
      <c r="A72" s="16" t="n"/>
      <c r="B72" s="16" t="n"/>
      <c r="C72" s="17" t="n"/>
      <c r="D72" s="16" t="n"/>
      <c r="E72" s="16" t="n"/>
      <c r="F72" s="16" t="n"/>
      <c r="G72" s="18">
        <f>IF(AND(D72&lt;&gt;"已完成",D72&lt;&gt;"",E72&lt;&gt;"",E72&lt;TODAY()),"⚠️延期","")</f>
        <v/>
      </c>
      <c r="H72" s="17" t="n"/>
    </row>
    <row r="73">
      <c r="A73" s="16" t="n"/>
      <c r="B73" s="16" t="n"/>
      <c r="C73" s="17" t="n"/>
      <c r="D73" s="16" t="n"/>
      <c r="E73" s="16" t="n"/>
      <c r="F73" s="16" t="n"/>
      <c r="G73" s="18">
        <f>IF(AND(D73&lt;&gt;"已完成",D73&lt;&gt;"",E73&lt;&gt;"",E73&lt;TODAY()),"⚠️延期","")</f>
        <v/>
      </c>
      <c r="H73" s="17" t="n"/>
    </row>
    <row r="74">
      <c r="A74" s="16" t="n"/>
      <c r="B74" s="16" t="n"/>
      <c r="C74" s="17" t="n"/>
      <c r="D74" s="16" t="n"/>
      <c r="E74" s="16" t="n"/>
      <c r="F74" s="16" t="n"/>
      <c r="G74" s="18">
        <f>IF(AND(D74&lt;&gt;"已完成",D74&lt;&gt;"",E74&lt;&gt;"",E74&lt;TODAY()),"⚠️延期","")</f>
        <v/>
      </c>
      <c r="H74" s="17" t="n"/>
    </row>
    <row r="75">
      <c r="A75" s="16" t="n"/>
      <c r="B75" s="16" t="n"/>
      <c r="C75" s="17" t="n"/>
      <c r="D75" s="16" t="n"/>
      <c r="E75" s="16" t="n"/>
      <c r="F75" s="16" t="n"/>
      <c r="G75" s="18">
        <f>IF(AND(D75&lt;&gt;"已完成",D75&lt;&gt;"",E75&lt;&gt;"",E75&lt;TODAY()),"⚠️延期","")</f>
        <v/>
      </c>
      <c r="H75" s="17" t="n"/>
    </row>
    <row r="76">
      <c r="A76" s="16" t="n"/>
      <c r="B76" s="16" t="n"/>
      <c r="C76" s="17" t="n"/>
      <c r="D76" s="16" t="n"/>
      <c r="E76" s="16" t="n"/>
      <c r="F76" s="16" t="n"/>
      <c r="G76" s="18">
        <f>IF(AND(D76&lt;&gt;"已完成",D76&lt;&gt;"",E76&lt;&gt;"",E76&lt;TODAY()),"⚠️延期","")</f>
        <v/>
      </c>
      <c r="H76" s="17" t="n"/>
    </row>
    <row r="77">
      <c r="A77" s="16" t="n"/>
      <c r="B77" s="16" t="n"/>
      <c r="C77" s="17" t="n"/>
      <c r="D77" s="16" t="n"/>
      <c r="E77" s="16" t="n"/>
      <c r="F77" s="16" t="n"/>
      <c r="G77" s="18">
        <f>IF(AND(D77&lt;&gt;"已完成",D77&lt;&gt;"",E77&lt;&gt;"",E77&lt;TODAY()),"⚠️延期","")</f>
        <v/>
      </c>
      <c r="H77" s="17" t="n"/>
    </row>
    <row r="78">
      <c r="A78" s="16" t="n"/>
      <c r="B78" s="16" t="n"/>
      <c r="C78" s="17" t="n"/>
      <c r="D78" s="16" t="n"/>
      <c r="E78" s="16" t="n"/>
      <c r="F78" s="16" t="n"/>
      <c r="G78" s="18">
        <f>IF(AND(D78&lt;&gt;"已完成",D78&lt;&gt;"",E78&lt;&gt;"",E78&lt;TODAY()),"⚠️延期","")</f>
        <v/>
      </c>
      <c r="H78" s="17" t="n"/>
    </row>
    <row r="79">
      <c r="A79" s="16" t="n"/>
      <c r="B79" s="16" t="n"/>
      <c r="C79" s="17" t="n"/>
      <c r="D79" s="16" t="n"/>
      <c r="E79" s="16" t="n"/>
      <c r="F79" s="16" t="n"/>
      <c r="G79" s="18">
        <f>IF(AND(D79&lt;&gt;"已完成",D79&lt;&gt;"",E79&lt;&gt;"",E79&lt;TODAY()),"⚠️延期","")</f>
        <v/>
      </c>
      <c r="H79" s="17" t="n"/>
    </row>
    <row r="80">
      <c r="A80" s="16" t="n"/>
      <c r="B80" s="16" t="n"/>
      <c r="C80" s="17" t="n"/>
      <c r="D80" s="16" t="n"/>
      <c r="E80" s="16" t="n"/>
      <c r="F80" s="16" t="n"/>
      <c r="G80" s="18">
        <f>IF(AND(D80&lt;&gt;"已完成",D80&lt;&gt;"",E80&lt;&gt;"",E80&lt;TODAY()),"⚠️延期","")</f>
        <v/>
      </c>
      <c r="H80" s="17" t="n"/>
    </row>
    <row r="81">
      <c r="A81" s="16" t="n"/>
      <c r="B81" s="16" t="n"/>
      <c r="C81" s="17" t="n"/>
      <c r="D81" s="16" t="n"/>
      <c r="E81" s="16" t="n"/>
      <c r="F81" s="16" t="n"/>
      <c r="G81" s="18">
        <f>IF(AND(D81&lt;&gt;"已完成",D81&lt;&gt;"",E81&lt;&gt;"",E81&lt;TODAY()),"⚠️延期","")</f>
        <v/>
      </c>
      <c r="H81" s="17" t="n"/>
    </row>
    <row r="82">
      <c r="A82" s="16" t="n"/>
      <c r="B82" s="16" t="n"/>
      <c r="C82" s="17" t="n"/>
      <c r="D82" s="16" t="n"/>
      <c r="E82" s="16" t="n"/>
      <c r="F82" s="16" t="n"/>
      <c r="G82" s="18">
        <f>IF(AND(D82&lt;&gt;"已完成",D82&lt;&gt;"",E82&lt;&gt;"",E82&lt;TODAY()),"⚠️延期","")</f>
        <v/>
      </c>
      <c r="H82" s="17" t="n"/>
    </row>
    <row r="83">
      <c r="A83" s="16" t="n"/>
      <c r="B83" s="16" t="n"/>
      <c r="C83" s="17" t="n"/>
      <c r="D83" s="16" t="n"/>
      <c r="E83" s="16" t="n"/>
      <c r="F83" s="16" t="n"/>
      <c r="G83" s="18">
        <f>IF(AND(D83&lt;&gt;"已完成",D83&lt;&gt;"",E83&lt;&gt;"",E83&lt;TODAY()),"⚠️延期","")</f>
        <v/>
      </c>
      <c r="H83" s="17" t="n"/>
    </row>
    <row r="84">
      <c r="A84" s="16" t="n"/>
      <c r="B84" s="16" t="n"/>
      <c r="C84" s="17" t="n"/>
      <c r="D84" s="16" t="n"/>
      <c r="E84" s="16" t="n"/>
      <c r="F84" s="16" t="n"/>
      <c r="G84" s="18">
        <f>IF(AND(D84&lt;&gt;"已完成",D84&lt;&gt;"",E84&lt;&gt;"",E84&lt;TODAY()),"⚠️延期","")</f>
        <v/>
      </c>
      <c r="H84" s="17" t="n"/>
    </row>
    <row r="85">
      <c r="A85" s="16" t="n"/>
      <c r="B85" s="16" t="n"/>
      <c r="C85" s="17" t="n"/>
      <c r="D85" s="16" t="n"/>
      <c r="E85" s="16" t="n"/>
      <c r="F85" s="16" t="n"/>
      <c r="G85" s="18">
        <f>IF(AND(D85&lt;&gt;"已完成",D85&lt;&gt;"",E85&lt;&gt;"",E85&lt;TODAY()),"⚠️延期","")</f>
        <v/>
      </c>
      <c r="H85" s="17" t="n"/>
    </row>
    <row r="86">
      <c r="A86" s="16" t="n"/>
      <c r="B86" s="16" t="n"/>
      <c r="C86" s="17" t="n"/>
      <c r="D86" s="16" t="n"/>
      <c r="E86" s="16" t="n"/>
      <c r="F86" s="16" t="n"/>
      <c r="G86" s="18">
        <f>IF(AND(D86&lt;&gt;"已完成",D86&lt;&gt;"",E86&lt;&gt;"",E86&lt;TODAY()),"⚠️延期","")</f>
        <v/>
      </c>
      <c r="H86" s="17" t="n"/>
    </row>
    <row r="87">
      <c r="A87" s="16" t="n"/>
      <c r="B87" s="16" t="n"/>
      <c r="C87" s="17" t="n"/>
      <c r="D87" s="16" t="n"/>
      <c r="E87" s="16" t="n"/>
      <c r="F87" s="16" t="n"/>
      <c r="G87" s="18">
        <f>IF(AND(D87&lt;&gt;"已完成",D87&lt;&gt;"",E87&lt;&gt;"",E87&lt;TODAY()),"⚠️延期","")</f>
        <v/>
      </c>
      <c r="H87" s="17" t="n"/>
    </row>
    <row r="88">
      <c r="A88" s="16" t="n"/>
      <c r="B88" s="16" t="n"/>
      <c r="C88" s="17" t="n"/>
      <c r="D88" s="16" t="n"/>
      <c r="E88" s="16" t="n"/>
      <c r="F88" s="16" t="n"/>
      <c r="G88" s="18">
        <f>IF(AND(D88&lt;&gt;"已完成",D88&lt;&gt;"",E88&lt;&gt;"",E88&lt;TODAY()),"⚠️延期","")</f>
        <v/>
      </c>
      <c r="H88" s="17" t="n"/>
    </row>
    <row r="89">
      <c r="A89" s="16" t="n"/>
      <c r="B89" s="16" t="n"/>
      <c r="C89" s="17" t="n"/>
      <c r="D89" s="16" t="n"/>
      <c r="E89" s="16" t="n"/>
      <c r="F89" s="16" t="n"/>
      <c r="G89" s="18">
        <f>IF(AND(D89&lt;&gt;"已完成",D89&lt;&gt;"",E89&lt;&gt;"",E89&lt;TODAY()),"⚠️延期","")</f>
        <v/>
      </c>
      <c r="H89" s="17" t="n"/>
    </row>
    <row r="90">
      <c r="A90" s="16" t="n"/>
      <c r="B90" s="16" t="n"/>
      <c r="C90" s="17" t="n"/>
      <c r="D90" s="16" t="n"/>
      <c r="E90" s="16" t="n"/>
      <c r="F90" s="16" t="n"/>
      <c r="G90" s="18">
        <f>IF(AND(D90&lt;&gt;"已完成",D90&lt;&gt;"",E90&lt;&gt;"",E90&lt;TODAY()),"⚠️延期","")</f>
        <v/>
      </c>
      <c r="H90" s="17" t="n"/>
    </row>
    <row r="91">
      <c r="A91" s="16" t="n"/>
      <c r="B91" s="16" t="n"/>
      <c r="C91" s="17" t="n"/>
      <c r="D91" s="16" t="n"/>
      <c r="E91" s="16" t="n"/>
      <c r="F91" s="16" t="n"/>
      <c r="G91" s="18">
        <f>IF(AND(D91&lt;&gt;"已完成",D91&lt;&gt;"",E91&lt;&gt;"",E91&lt;TODAY()),"⚠️延期","")</f>
        <v/>
      </c>
      <c r="H91" s="17" t="n"/>
    </row>
    <row r="92">
      <c r="A92" s="16" t="n"/>
      <c r="B92" s="16" t="n"/>
      <c r="C92" s="17" t="n"/>
      <c r="D92" s="16" t="n"/>
      <c r="E92" s="16" t="n"/>
      <c r="F92" s="16" t="n"/>
      <c r="G92" s="18">
        <f>IF(AND(D92&lt;&gt;"已完成",D92&lt;&gt;"",E92&lt;&gt;"",E92&lt;TODAY()),"⚠️延期","")</f>
        <v/>
      </c>
      <c r="H92" s="17" t="n"/>
    </row>
    <row r="93">
      <c r="A93" s="16" t="n"/>
      <c r="B93" s="16" t="n"/>
      <c r="C93" s="17" t="n"/>
      <c r="D93" s="16" t="n"/>
      <c r="E93" s="16" t="n"/>
      <c r="F93" s="16" t="n"/>
      <c r="G93" s="18">
        <f>IF(AND(D93&lt;&gt;"已完成",D93&lt;&gt;"",E93&lt;&gt;"",E93&lt;TODAY()),"⚠️延期","")</f>
        <v/>
      </c>
      <c r="H93" s="17" t="n"/>
    </row>
    <row r="94">
      <c r="A94" s="16" t="n"/>
      <c r="B94" s="16" t="n"/>
      <c r="C94" s="17" t="n"/>
      <c r="D94" s="16" t="n"/>
      <c r="E94" s="16" t="n"/>
      <c r="F94" s="16" t="n"/>
      <c r="G94" s="18">
        <f>IF(AND(D94&lt;&gt;"已完成",D94&lt;&gt;"",E94&lt;&gt;"",E94&lt;TODAY()),"⚠️延期","")</f>
        <v/>
      </c>
      <c r="H94" s="17" t="n"/>
    </row>
    <row r="95">
      <c r="A95" s="16" t="n"/>
      <c r="B95" s="16" t="n"/>
      <c r="C95" s="17" t="n"/>
      <c r="D95" s="16" t="n"/>
      <c r="E95" s="16" t="n"/>
      <c r="F95" s="16" t="n"/>
      <c r="G95" s="18">
        <f>IF(AND(D95&lt;&gt;"已完成",D95&lt;&gt;"",E95&lt;&gt;"",E95&lt;TODAY()),"⚠️延期","")</f>
        <v/>
      </c>
      <c r="H95" s="17" t="n"/>
    </row>
    <row r="96">
      <c r="A96" s="16" t="n"/>
      <c r="B96" s="16" t="n"/>
      <c r="C96" s="17" t="n"/>
      <c r="D96" s="16" t="n"/>
      <c r="E96" s="16" t="n"/>
      <c r="F96" s="16" t="n"/>
      <c r="G96" s="18">
        <f>IF(AND(D96&lt;&gt;"已完成",D96&lt;&gt;"",E96&lt;&gt;"",E96&lt;TODAY()),"⚠️延期","")</f>
        <v/>
      </c>
      <c r="H96" s="17" t="n"/>
    </row>
    <row r="97">
      <c r="A97" s="16" t="n"/>
      <c r="B97" s="16" t="n"/>
      <c r="C97" s="17" t="n"/>
      <c r="D97" s="16" t="n"/>
      <c r="E97" s="16" t="n"/>
      <c r="F97" s="16" t="n"/>
      <c r="G97" s="18">
        <f>IF(AND(D97&lt;&gt;"已完成",D97&lt;&gt;"",E97&lt;&gt;"",E97&lt;TODAY()),"⚠️延期","")</f>
        <v/>
      </c>
      <c r="H97" s="17" t="n"/>
    </row>
    <row r="98">
      <c r="A98" s="16" t="n"/>
      <c r="B98" s="16" t="n"/>
      <c r="C98" s="17" t="n"/>
      <c r="D98" s="16" t="n"/>
      <c r="E98" s="16" t="n"/>
      <c r="F98" s="16" t="n"/>
      <c r="G98" s="18">
        <f>IF(AND(D98&lt;&gt;"已完成",D98&lt;&gt;"",E98&lt;&gt;"",E98&lt;TODAY()),"⚠️延期","")</f>
        <v/>
      </c>
      <c r="H98" s="17" t="n"/>
    </row>
    <row r="99">
      <c r="A99" s="16" t="n"/>
      <c r="B99" s="16" t="n"/>
      <c r="C99" s="17" t="n"/>
      <c r="D99" s="16" t="n"/>
      <c r="E99" s="16" t="n"/>
      <c r="F99" s="16" t="n"/>
      <c r="G99" s="18">
        <f>IF(AND(D99&lt;&gt;"已完成",D99&lt;&gt;"",E99&lt;&gt;"",E99&lt;TODAY()),"⚠️延期","")</f>
        <v/>
      </c>
      <c r="H99" s="17" t="n"/>
    </row>
    <row r="100">
      <c r="A100" s="16" t="n"/>
      <c r="B100" s="16" t="n"/>
      <c r="C100" s="17" t="n"/>
      <c r="D100" s="16" t="n"/>
      <c r="E100" s="16" t="n"/>
      <c r="F100" s="16" t="n"/>
      <c r="G100" s="18">
        <f>IF(AND(D100&lt;&gt;"已完成",D100&lt;&gt;"",E100&lt;&gt;"",E100&lt;TODAY()),"⚠️延期","")</f>
        <v/>
      </c>
      <c r="H100" s="17" t="n"/>
    </row>
    <row r="101">
      <c r="A101" s="16" t="n"/>
      <c r="B101" s="16" t="n"/>
      <c r="C101" s="17" t="n"/>
      <c r="D101" s="16" t="n"/>
      <c r="E101" s="16" t="n"/>
      <c r="F101" s="16" t="n"/>
      <c r="G101" s="18">
        <f>IF(AND(D101&lt;&gt;"已完成",D101&lt;&gt;"",E101&lt;&gt;"",E101&lt;TODAY()),"⚠️延期","")</f>
        <v/>
      </c>
      <c r="H101" s="17" t="n"/>
    </row>
    <row r="102">
      <c r="A102" s="16" t="n"/>
      <c r="B102" s="16" t="n"/>
      <c r="C102" s="17" t="n"/>
      <c r="D102" s="16" t="n"/>
      <c r="E102" s="16" t="n"/>
      <c r="F102" s="16" t="n"/>
      <c r="G102" s="18">
        <f>IF(AND(D102&lt;&gt;"已完成",D102&lt;&gt;"",E102&lt;&gt;"",E102&lt;TODAY()),"⚠️延期","")</f>
        <v/>
      </c>
      <c r="H102" s="17" t="n"/>
    </row>
    <row r="103">
      <c r="A103" s="16" t="n"/>
      <c r="B103" s="16" t="n"/>
      <c r="C103" s="17" t="n"/>
      <c r="D103" s="16" t="n"/>
      <c r="E103" s="16" t="n"/>
      <c r="F103" s="16" t="n"/>
      <c r="G103" s="18">
        <f>IF(AND(D103&lt;&gt;"已完成",D103&lt;&gt;"",E103&lt;&gt;"",E103&lt;TODAY()),"⚠️延期","")</f>
        <v/>
      </c>
      <c r="H103" s="17" t="n"/>
    </row>
    <row r="104">
      <c r="A104" s="16" t="n"/>
      <c r="B104" s="16" t="n"/>
      <c r="C104" s="17" t="n"/>
      <c r="D104" s="16" t="n"/>
      <c r="E104" s="16" t="n"/>
      <c r="F104" s="16" t="n"/>
      <c r="G104" s="18">
        <f>IF(AND(D104&lt;&gt;"已完成",D104&lt;&gt;"",E104&lt;&gt;"",E104&lt;TODAY()),"⚠️延期","")</f>
        <v/>
      </c>
      <c r="H104" s="17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D5:D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H104">
    <cfRule type="expression" priority="7" dxfId="5">
      <formula>$G5="⚠️延期"</formula>
    </cfRule>
  </conditionalFormatting>
  <dataValidations count="2">
    <dataValidation sqref="B5:B104" showDropDown="0" showInputMessage="0" showErrorMessage="0" allowBlank="1" type="list">
      <formula1>=选项!$A$2:$A$8</formula1>
    </dataValidation>
    <dataValidation sqref="D5:D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2" customWidth="1" min="3" max="3"/>
    <col width="10" customWidth="1" min="4" max="4"/>
    <col width="12" customWidth="1" min="5" max="5"/>
    <col width="12" customWidth="1" min="6" max="6"/>
    <col width="10" customWidth="1" min="7" max="7"/>
    <col width="20" customWidth="1" min="8" max="8"/>
  </cols>
  <sheetData>
    <row r="1" ht="24" customHeight="1">
      <c r="A1" s="13" t="inlineStr">
        <is>
          <t>设计-小杨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COUNTA(C5:C104)</f>
        <v/>
      </c>
      <c r="B3" s="14">
        <f>COUNTIF(D5:D104,"已完成")</f>
        <v/>
      </c>
      <c r="C3" s="14">
        <f>COUNTIF(D5:D104,"进行中")</f>
        <v/>
      </c>
      <c r="D3" s="14">
        <f>COUNTIF(G5:G104,"⚠️延期")+COUNTIF(D5:D104,"已延期")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项目</t>
        </is>
      </c>
      <c r="C4" s="15" t="inlineStr">
        <is>
          <t>工作内容</t>
        </is>
      </c>
      <c r="D4" s="15" t="inlineStr">
        <is>
          <t>状态</t>
        </is>
      </c>
      <c r="E4" s="15" t="inlineStr">
        <is>
          <t>计划完成日</t>
        </is>
      </c>
      <c r="F4" s="15" t="inlineStr">
        <is>
          <t>实际完成日</t>
        </is>
      </c>
      <c r="G4" s="15" t="inlineStr">
        <is>
          <t>是否延期</t>
        </is>
      </c>
      <c r="H4" s="15" t="inlineStr">
        <is>
          <t>备注</t>
        </is>
      </c>
    </row>
    <row r="5">
      <c r="A5" s="16" t="n"/>
      <c r="B5" s="16" t="n"/>
      <c r="C5" s="17" t="n"/>
      <c r="D5" s="16" t="n"/>
      <c r="E5" s="16" t="n"/>
      <c r="F5" s="16" t="n"/>
      <c r="G5" s="18">
        <f>IF(AND(D5&lt;&gt;"已完成",D5&lt;&gt;"",E5&lt;&gt;"",E5&lt;TODAY()),"⚠️延期","")</f>
        <v/>
      </c>
      <c r="H5" s="17" t="n"/>
    </row>
    <row r="6">
      <c r="A6" s="16" t="n"/>
      <c r="B6" s="16" t="n"/>
      <c r="C6" s="17" t="n"/>
      <c r="D6" s="16" t="n"/>
      <c r="E6" s="16" t="n"/>
      <c r="F6" s="16" t="n"/>
      <c r="G6" s="18">
        <f>IF(AND(D6&lt;&gt;"已完成",D6&lt;&gt;"",E6&lt;&gt;"",E6&lt;TODAY()),"⚠️延期","")</f>
        <v/>
      </c>
      <c r="H6" s="17" t="n"/>
    </row>
    <row r="7">
      <c r="A7" s="16" t="n"/>
      <c r="B7" s="16" t="n"/>
      <c r="C7" s="17" t="n"/>
      <c r="D7" s="16" t="n"/>
      <c r="E7" s="16" t="n"/>
      <c r="F7" s="16" t="n"/>
      <c r="G7" s="18">
        <f>IF(AND(D7&lt;&gt;"已完成",D7&lt;&gt;"",E7&lt;&gt;"",E7&lt;TODAY()),"⚠️延期","")</f>
        <v/>
      </c>
      <c r="H7" s="17" t="n"/>
    </row>
    <row r="8">
      <c r="A8" s="16" t="n"/>
      <c r="B8" s="16" t="n"/>
      <c r="C8" s="17" t="n"/>
      <c r="D8" s="16" t="n"/>
      <c r="E8" s="16" t="n"/>
      <c r="F8" s="16" t="n"/>
      <c r="G8" s="18">
        <f>IF(AND(D8&lt;&gt;"已完成",D8&lt;&gt;"",E8&lt;&gt;"",E8&lt;TODAY()),"⚠️延期","")</f>
        <v/>
      </c>
      <c r="H8" s="17" t="n"/>
    </row>
    <row r="9">
      <c r="A9" s="16" t="n"/>
      <c r="B9" s="16" t="n"/>
      <c r="C9" s="17" t="n"/>
      <c r="D9" s="16" t="n"/>
      <c r="E9" s="16" t="n"/>
      <c r="F9" s="16" t="n"/>
      <c r="G9" s="18">
        <f>IF(AND(D9&lt;&gt;"已完成",D9&lt;&gt;"",E9&lt;&gt;"",E9&lt;TODAY()),"⚠️延期","")</f>
        <v/>
      </c>
      <c r="H9" s="17" t="n"/>
    </row>
    <row r="10">
      <c r="A10" s="16" t="n"/>
      <c r="B10" s="16" t="n"/>
      <c r="C10" s="17" t="n"/>
      <c r="D10" s="16" t="n"/>
      <c r="E10" s="16" t="n"/>
      <c r="F10" s="16" t="n"/>
      <c r="G10" s="18">
        <f>IF(AND(D10&lt;&gt;"已完成",D10&lt;&gt;"",E10&lt;&gt;"",E10&lt;TODAY()),"⚠️延期","")</f>
        <v/>
      </c>
      <c r="H10" s="17" t="n"/>
    </row>
    <row r="11">
      <c r="A11" s="16" t="n"/>
      <c r="B11" s="16" t="n"/>
      <c r="C11" s="17" t="n"/>
      <c r="D11" s="16" t="n"/>
      <c r="E11" s="16" t="n"/>
      <c r="F11" s="16" t="n"/>
      <c r="G11" s="18">
        <f>IF(AND(D11&lt;&gt;"已完成",D11&lt;&gt;"",E11&lt;&gt;"",E11&lt;TODAY()),"⚠️延期","")</f>
        <v/>
      </c>
      <c r="H11" s="17" t="n"/>
    </row>
    <row r="12">
      <c r="A12" s="16" t="n"/>
      <c r="B12" s="16" t="n"/>
      <c r="C12" s="17" t="n"/>
      <c r="D12" s="16" t="n"/>
      <c r="E12" s="16" t="n"/>
      <c r="F12" s="16" t="n"/>
      <c r="G12" s="18">
        <f>IF(AND(D12&lt;&gt;"已完成",D12&lt;&gt;"",E12&lt;&gt;"",E12&lt;TODAY()),"⚠️延期","")</f>
        <v/>
      </c>
      <c r="H12" s="17" t="n"/>
    </row>
    <row r="13">
      <c r="A13" s="16" t="n"/>
      <c r="B13" s="16" t="n"/>
      <c r="C13" s="17" t="n"/>
      <c r="D13" s="16" t="n"/>
      <c r="E13" s="16" t="n"/>
      <c r="F13" s="16" t="n"/>
      <c r="G13" s="18">
        <f>IF(AND(D13&lt;&gt;"已完成",D13&lt;&gt;"",E13&lt;&gt;"",E13&lt;TODAY()),"⚠️延期","")</f>
        <v/>
      </c>
      <c r="H13" s="17" t="n"/>
    </row>
    <row r="14">
      <c r="A14" s="16" t="n"/>
      <c r="B14" s="16" t="n"/>
      <c r="C14" s="17" t="n"/>
      <c r="D14" s="16" t="n"/>
      <c r="E14" s="16" t="n"/>
      <c r="F14" s="16" t="n"/>
      <c r="G14" s="18">
        <f>IF(AND(D14&lt;&gt;"已完成",D14&lt;&gt;"",E14&lt;&gt;"",E14&lt;TODAY()),"⚠️延期","")</f>
        <v/>
      </c>
      <c r="H14" s="17" t="n"/>
    </row>
    <row r="15">
      <c r="A15" s="16" t="n"/>
      <c r="B15" s="16" t="n"/>
      <c r="C15" s="17" t="n"/>
      <c r="D15" s="16" t="n"/>
      <c r="E15" s="16" t="n"/>
      <c r="F15" s="16" t="n"/>
      <c r="G15" s="18">
        <f>IF(AND(D15&lt;&gt;"已完成",D15&lt;&gt;"",E15&lt;&gt;"",E15&lt;TODAY()),"⚠️延期","")</f>
        <v/>
      </c>
      <c r="H15" s="17" t="n"/>
    </row>
    <row r="16">
      <c r="A16" s="16" t="n"/>
      <c r="B16" s="16" t="n"/>
      <c r="C16" s="17" t="n"/>
      <c r="D16" s="16" t="n"/>
      <c r="E16" s="16" t="n"/>
      <c r="F16" s="16" t="n"/>
      <c r="G16" s="18">
        <f>IF(AND(D16&lt;&gt;"已完成",D16&lt;&gt;"",E16&lt;&gt;"",E16&lt;TODAY()),"⚠️延期","")</f>
        <v/>
      </c>
      <c r="H16" s="17" t="n"/>
    </row>
    <row r="17">
      <c r="A17" s="16" t="n"/>
      <c r="B17" s="16" t="n"/>
      <c r="C17" s="17" t="n"/>
      <c r="D17" s="16" t="n"/>
      <c r="E17" s="16" t="n"/>
      <c r="F17" s="16" t="n"/>
      <c r="G17" s="18">
        <f>IF(AND(D17&lt;&gt;"已完成",D17&lt;&gt;"",E17&lt;&gt;"",E17&lt;TODAY()),"⚠️延期","")</f>
        <v/>
      </c>
      <c r="H17" s="17" t="n"/>
    </row>
    <row r="18">
      <c r="A18" s="16" t="n"/>
      <c r="B18" s="16" t="n"/>
      <c r="C18" s="17" t="n"/>
      <c r="D18" s="16" t="n"/>
      <c r="E18" s="16" t="n"/>
      <c r="F18" s="16" t="n"/>
      <c r="G18" s="18">
        <f>IF(AND(D18&lt;&gt;"已完成",D18&lt;&gt;"",E18&lt;&gt;"",E18&lt;TODAY()),"⚠️延期","")</f>
        <v/>
      </c>
      <c r="H18" s="17" t="n"/>
    </row>
    <row r="19">
      <c r="A19" s="16" t="n"/>
      <c r="B19" s="16" t="n"/>
      <c r="C19" s="17" t="n"/>
      <c r="D19" s="16" t="n"/>
      <c r="E19" s="16" t="n"/>
      <c r="F19" s="16" t="n"/>
      <c r="G19" s="18">
        <f>IF(AND(D19&lt;&gt;"已完成",D19&lt;&gt;"",E19&lt;&gt;"",E19&lt;TODAY()),"⚠️延期","")</f>
        <v/>
      </c>
      <c r="H19" s="17" t="n"/>
    </row>
    <row r="20">
      <c r="A20" s="16" t="n"/>
      <c r="B20" s="16" t="n"/>
      <c r="C20" s="17" t="n"/>
      <c r="D20" s="16" t="n"/>
      <c r="E20" s="16" t="n"/>
      <c r="F20" s="16" t="n"/>
      <c r="G20" s="18">
        <f>IF(AND(D20&lt;&gt;"已完成",D20&lt;&gt;"",E20&lt;&gt;"",E20&lt;TODAY()),"⚠️延期","")</f>
        <v/>
      </c>
      <c r="H20" s="17" t="n"/>
    </row>
    <row r="21">
      <c r="A21" s="16" t="n"/>
      <c r="B21" s="16" t="n"/>
      <c r="C21" s="17" t="n"/>
      <c r="D21" s="16" t="n"/>
      <c r="E21" s="16" t="n"/>
      <c r="F21" s="16" t="n"/>
      <c r="G21" s="18">
        <f>IF(AND(D21&lt;&gt;"已完成",D21&lt;&gt;"",E21&lt;&gt;"",E21&lt;TODAY()),"⚠️延期","")</f>
        <v/>
      </c>
      <c r="H21" s="17" t="n"/>
    </row>
    <row r="22">
      <c r="A22" s="16" t="n"/>
      <c r="B22" s="16" t="n"/>
      <c r="C22" s="17" t="n"/>
      <c r="D22" s="16" t="n"/>
      <c r="E22" s="16" t="n"/>
      <c r="F22" s="16" t="n"/>
      <c r="G22" s="18">
        <f>IF(AND(D22&lt;&gt;"已完成",D22&lt;&gt;"",E22&lt;&gt;"",E22&lt;TODAY()),"⚠️延期","")</f>
        <v/>
      </c>
      <c r="H22" s="17" t="n"/>
    </row>
    <row r="23">
      <c r="A23" s="16" t="n"/>
      <c r="B23" s="16" t="n"/>
      <c r="C23" s="17" t="n"/>
      <c r="D23" s="16" t="n"/>
      <c r="E23" s="16" t="n"/>
      <c r="F23" s="16" t="n"/>
      <c r="G23" s="18">
        <f>IF(AND(D23&lt;&gt;"已完成",D23&lt;&gt;"",E23&lt;&gt;"",E23&lt;TODAY()),"⚠️延期","")</f>
        <v/>
      </c>
      <c r="H23" s="17" t="n"/>
    </row>
    <row r="24">
      <c r="A24" s="16" t="n"/>
      <c r="B24" s="16" t="n"/>
      <c r="C24" s="17" t="n"/>
      <c r="D24" s="16" t="n"/>
      <c r="E24" s="16" t="n"/>
      <c r="F24" s="16" t="n"/>
      <c r="G24" s="18">
        <f>IF(AND(D24&lt;&gt;"已完成",D24&lt;&gt;"",E24&lt;&gt;"",E24&lt;TODAY()),"⚠️延期","")</f>
        <v/>
      </c>
      <c r="H24" s="17" t="n"/>
    </row>
    <row r="25">
      <c r="A25" s="16" t="n"/>
      <c r="B25" s="16" t="n"/>
      <c r="C25" s="17" t="n"/>
      <c r="D25" s="16" t="n"/>
      <c r="E25" s="16" t="n"/>
      <c r="F25" s="16" t="n"/>
      <c r="G25" s="18">
        <f>IF(AND(D25&lt;&gt;"已完成",D25&lt;&gt;"",E25&lt;&gt;"",E25&lt;TODAY()),"⚠️延期","")</f>
        <v/>
      </c>
      <c r="H25" s="17" t="n"/>
    </row>
    <row r="26">
      <c r="A26" s="16" t="n"/>
      <c r="B26" s="16" t="n"/>
      <c r="C26" s="17" t="n"/>
      <c r="D26" s="16" t="n"/>
      <c r="E26" s="16" t="n"/>
      <c r="F26" s="16" t="n"/>
      <c r="G26" s="18">
        <f>IF(AND(D26&lt;&gt;"已完成",D26&lt;&gt;"",E26&lt;&gt;"",E26&lt;TODAY()),"⚠️延期","")</f>
        <v/>
      </c>
      <c r="H26" s="17" t="n"/>
    </row>
    <row r="27">
      <c r="A27" s="16" t="n"/>
      <c r="B27" s="16" t="n"/>
      <c r="C27" s="17" t="n"/>
      <c r="D27" s="16" t="n"/>
      <c r="E27" s="16" t="n"/>
      <c r="F27" s="16" t="n"/>
      <c r="G27" s="18">
        <f>IF(AND(D27&lt;&gt;"已完成",D27&lt;&gt;"",E27&lt;&gt;"",E27&lt;TODAY()),"⚠️延期","")</f>
        <v/>
      </c>
      <c r="H27" s="17" t="n"/>
    </row>
    <row r="28">
      <c r="A28" s="16" t="n"/>
      <c r="B28" s="16" t="n"/>
      <c r="C28" s="17" t="n"/>
      <c r="D28" s="16" t="n"/>
      <c r="E28" s="16" t="n"/>
      <c r="F28" s="16" t="n"/>
      <c r="G28" s="18">
        <f>IF(AND(D28&lt;&gt;"已完成",D28&lt;&gt;"",E28&lt;&gt;"",E28&lt;TODAY()),"⚠️延期","")</f>
        <v/>
      </c>
      <c r="H28" s="17" t="n"/>
    </row>
    <row r="29">
      <c r="A29" s="16" t="n"/>
      <c r="B29" s="16" t="n"/>
      <c r="C29" s="17" t="n"/>
      <c r="D29" s="16" t="n"/>
      <c r="E29" s="16" t="n"/>
      <c r="F29" s="16" t="n"/>
      <c r="G29" s="18">
        <f>IF(AND(D29&lt;&gt;"已完成",D29&lt;&gt;"",E29&lt;&gt;"",E29&lt;TODAY()),"⚠️延期","")</f>
        <v/>
      </c>
      <c r="H29" s="17" t="n"/>
    </row>
    <row r="30">
      <c r="A30" s="16" t="n"/>
      <c r="B30" s="16" t="n"/>
      <c r="C30" s="17" t="n"/>
      <c r="D30" s="16" t="n"/>
      <c r="E30" s="16" t="n"/>
      <c r="F30" s="16" t="n"/>
      <c r="G30" s="18">
        <f>IF(AND(D30&lt;&gt;"已完成",D30&lt;&gt;"",E30&lt;&gt;"",E30&lt;TODAY()),"⚠️延期","")</f>
        <v/>
      </c>
      <c r="H30" s="17" t="n"/>
    </row>
    <row r="31">
      <c r="A31" s="16" t="n"/>
      <c r="B31" s="16" t="n"/>
      <c r="C31" s="17" t="n"/>
      <c r="D31" s="16" t="n"/>
      <c r="E31" s="16" t="n"/>
      <c r="F31" s="16" t="n"/>
      <c r="G31" s="18">
        <f>IF(AND(D31&lt;&gt;"已完成",D31&lt;&gt;"",E31&lt;&gt;"",E31&lt;TODAY()),"⚠️延期","")</f>
        <v/>
      </c>
      <c r="H31" s="17" t="n"/>
    </row>
    <row r="32">
      <c r="A32" s="16" t="n"/>
      <c r="B32" s="16" t="n"/>
      <c r="C32" s="17" t="n"/>
      <c r="D32" s="16" t="n"/>
      <c r="E32" s="16" t="n"/>
      <c r="F32" s="16" t="n"/>
      <c r="G32" s="18">
        <f>IF(AND(D32&lt;&gt;"已完成",D32&lt;&gt;"",E32&lt;&gt;"",E32&lt;TODAY()),"⚠️延期","")</f>
        <v/>
      </c>
      <c r="H32" s="17" t="n"/>
    </row>
    <row r="33">
      <c r="A33" s="16" t="n"/>
      <c r="B33" s="16" t="n"/>
      <c r="C33" s="17" t="n"/>
      <c r="D33" s="16" t="n"/>
      <c r="E33" s="16" t="n"/>
      <c r="F33" s="16" t="n"/>
      <c r="G33" s="18">
        <f>IF(AND(D33&lt;&gt;"已完成",D33&lt;&gt;"",E33&lt;&gt;"",E33&lt;TODAY()),"⚠️延期","")</f>
        <v/>
      </c>
      <c r="H33" s="17" t="n"/>
    </row>
    <row r="34">
      <c r="A34" s="16" t="n"/>
      <c r="B34" s="16" t="n"/>
      <c r="C34" s="17" t="n"/>
      <c r="D34" s="16" t="n"/>
      <c r="E34" s="16" t="n"/>
      <c r="F34" s="16" t="n"/>
      <c r="G34" s="18">
        <f>IF(AND(D34&lt;&gt;"已完成",D34&lt;&gt;"",E34&lt;&gt;"",E34&lt;TODAY()),"⚠️延期","")</f>
        <v/>
      </c>
      <c r="H34" s="17" t="n"/>
    </row>
    <row r="35">
      <c r="A35" s="16" t="n"/>
      <c r="B35" s="16" t="n"/>
      <c r="C35" s="17" t="n"/>
      <c r="D35" s="16" t="n"/>
      <c r="E35" s="16" t="n"/>
      <c r="F35" s="16" t="n"/>
      <c r="G35" s="18">
        <f>IF(AND(D35&lt;&gt;"已完成",D35&lt;&gt;"",E35&lt;&gt;"",E35&lt;TODAY()),"⚠️延期","")</f>
        <v/>
      </c>
      <c r="H35" s="17" t="n"/>
    </row>
    <row r="36">
      <c r="A36" s="16" t="n"/>
      <c r="B36" s="16" t="n"/>
      <c r="C36" s="17" t="n"/>
      <c r="D36" s="16" t="n"/>
      <c r="E36" s="16" t="n"/>
      <c r="F36" s="16" t="n"/>
      <c r="G36" s="18">
        <f>IF(AND(D36&lt;&gt;"已完成",D36&lt;&gt;"",E36&lt;&gt;"",E36&lt;TODAY()),"⚠️延期","")</f>
        <v/>
      </c>
      <c r="H36" s="17" t="n"/>
    </row>
    <row r="37">
      <c r="A37" s="16" t="n"/>
      <c r="B37" s="16" t="n"/>
      <c r="C37" s="17" t="n"/>
      <c r="D37" s="16" t="n"/>
      <c r="E37" s="16" t="n"/>
      <c r="F37" s="16" t="n"/>
      <c r="G37" s="18">
        <f>IF(AND(D37&lt;&gt;"已完成",D37&lt;&gt;"",E37&lt;&gt;"",E37&lt;TODAY()),"⚠️延期","")</f>
        <v/>
      </c>
      <c r="H37" s="17" t="n"/>
    </row>
    <row r="38">
      <c r="A38" s="16" t="n"/>
      <c r="B38" s="16" t="n"/>
      <c r="C38" s="17" t="n"/>
      <c r="D38" s="16" t="n"/>
      <c r="E38" s="16" t="n"/>
      <c r="F38" s="16" t="n"/>
      <c r="G38" s="18">
        <f>IF(AND(D38&lt;&gt;"已完成",D38&lt;&gt;"",E38&lt;&gt;"",E38&lt;TODAY()),"⚠️延期","")</f>
        <v/>
      </c>
      <c r="H38" s="17" t="n"/>
    </row>
    <row r="39">
      <c r="A39" s="16" t="n"/>
      <c r="B39" s="16" t="n"/>
      <c r="C39" s="17" t="n"/>
      <c r="D39" s="16" t="n"/>
      <c r="E39" s="16" t="n"/>
      <c r="F39" s="16" t="n"/>
      <c r="G39" s="18">
        <f>IF(AND(D39&lt;&gt;"已完成",D39&lt;&gt;"",E39&lt;&gt;"",E39&lt;TODAY()),"⚠️延期","")</f>
        <v/>
      </c>
      <c r="H39" s="17" t="n"/>
    </row>
    <row r="40">
      <c r="A40" s="16" t="n"/>
      <c r="B40" s="16" t="n"/>
      <c r="C40" s="17" t="n"/>
      <c r="D40" s="16" t="n"/>
      <c r="E40" s="16" t="n"/>
      <c r="F40" s="16" t="n"/>
      <c r="G40" s="18">
        <f>IF(AND(D40&lt;&gt;"已完成",D40&lt;&gt;"",E40&lt;&gt;"",E40&lt;TODAY()),"⚠️延期","")</f>
        <v/>
      </c>
      <c r="H40" s="17" t="n"/>
    </row>
    <row r="41">
      <c r="A41" s="16" t="n"/>
      <c r="B41" s="16" t="n"/>
      <c r="C41" s="17" t="n"/>
      <c r="D41" s="16" t="n"/>
      <c r="E41" s="16" t="n"/>
      <c r="F41" s="16" t="n"/>
      <c r="G41" s="18">
        <f>IF(AND(D41&lt;&gt;"已完成",D41&lt;&gt;"",E41&lt;&gt;"",E41&lt;TODAY()),"⚠️延期","")</f>
        <v/>
      </c>
      <c r="H41" s="17" t="n"/>
    </row>
    <row r="42">
      <c r="A42" s="16" t="n"/>
      <c r="B42" s="16" t="n"/>
      <c r="C42" s="17" t="n"/>
      <c r="D42" s="16" t="n"/>
      <c r="E42" s="16" t="n"/>
      <c r="F42" s="16" t="n"/>
      <c r="G42" s="18">
        <f>IF(AND(D42&lt;&gt;"已完成",D42&lt;&gt;"",E42&lt;&gt;"",E42&lt;TODAY()),"⚠️延期","")</f>
        <v/>
      </c>
      <c r="H42" s="17" t="n"/>
    </row>
    <row r="43">
      <c r="A43" s="16" t="n"/>
      <c r="B43" s="16" t="n"/>
      <c r="C43" s="17" t="n"/>
      <c r="D43" s="16" t="n"/>
      <c r="E43" s="16" t="n"/>
      <c r="F43" s="16" t="n"/>
      <c r="G43" s="18">
        <f>IF(AND(D43&lt;&gt;"已完成",D43&lt;&gt;"",E43&lt;&gt;"",E43&lt;TODAY()),"⚠️延期","")</f>
        <v/>
      </c>
      <c r="H43" s="17" t="n"/>
    </row>
    <row r="44">
      <c r="A44" s="16" t="n"/>
      <c r="B44" s="16" t="n"/>
      <c r="C44" s="17" t="n"/>
      <c r="D44" s="16" t="n"/>
      <c r="E44" s="16" t="n"/>
      <c r="F44" s="16" t="n"/>
      <c r="G44" s="18">
        <f>IF(AND(D44&lt;&gt;"已完成",D44&lt;&gt;"",E44&lt;&gt;"",E44&lt;TODAY()),"⚠️延期","")</f>
        <v/>
      </c>
      <c r="H44" s="17" t="n"/>
    </row>
    <row r="45">
      <c r="A45" s="16" t="n"/>
      <c r="B45" s="16" t="n"/>
      <c r="C45" s="17" t="n"/>
      <c r="D45" s="16" t="n"/>
      <c r="E45" s="16" t="n"/>
      <c r="F45" s="16" t="n"/>
      <c r="G45" s="18">
        <f>IF(AND(D45&lt;&gt;"已完成",D45&lt;&gt;"",E45&lt;&gt;"",E45&lt;TODAY()),"⚠️延期","")</f>
        <v/>
      </c>
      <c r="H45" s="17" t="n"/>
    </row>
    <row r="46">
      <c r="A46" s="16" t="n"/>
      <c r="B46" s="16" t="n"/>
      <c r="C46" s="17" t="n"/>
      <c r="D46" s="16" t="n"/>
      <c r="E46" s="16" t="n"/>
      <c r="F46" s="16" t="n"/>
      <c r="G46" s="18">
        <f>IF(AND(D46&lt;&gt;"已完成",D46&lt;&gt;"",E46&lt;&gt;"",E46&lt;TODAY()),"⚠️延期","")</f>
        <v/>
      </c>
      <c r="H46" s="17" t="n"/>
    </row>
    <row r="47">
      <c r="A47" s="16" t="n"/>
      <c r="B47" s="16" t="n"/>
      <c r="C47" s="17" t="n"/>
      <c r="D47" s="16" t="n"/>
      <c r="E47" s="16" t="n"/>
      <c r="F47" s="16" t="n"/>
      <c r="G47" s="18">
        <f>IF(AND(D47&lt;&gt;"已完成",D47&lt;&gt;"",E47&lt;&gt;"",E47&lt;TODAY()),"⚠️延期","")</f>
        <v/>
      </c>
      <c r="H47" s="17" t="n"/>
    </row>
    <row r="48">
      <c r="A48" s="16" t="n"/>
      <c r="B48" s="16" t="n"/>
      <c r="C48" s="17" t="n"/>
      <c r="D48" s="16" t="n"/>
      <c r="E48" s="16" t="n"/>
      <c r="F48" s="16" t="n"/>
      <c r="G48" s="18">
        <f>IF(AND(D48&lt;&gt;"已完成",D48&lt;&gt;"",E48&lt;&gt;"",E48&lt;TODAY()),"⚠️延期","")</f>
        <v/>
      </c>
      <c r="H48" s="17" t="n"/>
    </row>
    <row r="49">
      <c r="A49" s="16" t="n"/>
      <c r="B49" s="16" t="n"/>
      <c r="C49" s="17" t="n"/>
      <c r="D49" s="16" t="n"/>
      <c r="E49" s="16" t="n"/>
      <c r="F49" s="16" t="n"/>
      <c r="G49" s="18">
        <f>IF(AND(D49&lt;&gt;"已完成",D49&lt;&gt;"",E49&lt;&gt;"",E49&lt;TODAY()),"⚠️延期","")</f>
        <v/>
      </c>
      <c r="H49" s="17" t="n"/>
    </row>
    <row r="50">
      <c r="A50" s="16" t="n"/>
      <c r="B50" s="16" t="n"/>
      <c r="C50" s="17" t="n"/>
      <c r="D50" s="16" t="n"/>
      <c r="E50" s="16" t="n"/>
      <c r="F50" s="16" t="n"/>
      <c r="G50" s="18">
        <f>IF(AND(D50&lt;&gt;"已完成",D50&lt;&gt;"",E50&lt;&gt;"",E50&lt;TODAY()),"⚠️延期","")</f>
        <v/>
      </c>
      <c r="H50" s="17" t="n"/>
    </row>
    <row r="51">
      <c r="A51" s="16" t="n"/>
      <c r="B51" s="16" t="n"/>
      <c r="C51" s="17" t="n"/>
      <c r="D51" s="16" t="n"/>
      <c r="E51" s="16" t="n"/>
      <c r="F51" s="16" t="n"/>
      <c r="G51" s="18">
        <f>IF(AND(D51&lt;&gt;"已完成",D51&lt;&gt;"",E51&lt;&gt;"",E51&lt;TODAY()),"⚠️延期","")</f>
        <v/>
      </c>
      <c r="H51" s="17" t="n"/>
    </row>
    <row r="52">
      <c r="A52" s="16" t="n"/>
      <c r="B52" s="16" t="n"/>
      <c r="C52" s="17" t="n"/>
      <c r="D52" s="16" t="n"/>
      <c r="E52" s="16" t="n"/>
      <c r="F52" s="16" t="n"/>
      <c r="G52" s="18">
        <f>IF(AND(D52&lt;&gt;"已完成",D52&lt;&gt;"",E52&lt;&gt;"",E52&lt;TODAY()),"⚠️延期","")</f>
        <v/>
      </c>
      <c r="H52" s="17" t="n"/>
    </row>
    <row r="53">
      <c r="A53" s="16" t="n"/>
      <c r="B53" s="16" t="n"/>
      <c r="C53" s="17" t="n"/>
      <c r="D53" s="16" t="n"/>
      <c r="E53" s="16" t="n"/>
      <c r="F53" s="16" t="n"/>
      <c r="G53" s="18">
        <f>IF(AND(D53&lt;&gt;"已完成",D53&lt;&gt;"",E53&lt;&gt;"",E53&lt;TODAY()),"⚠️延期","")</f>
        <v/>
      </c>
      <c r="H53" s="17" t="n"/>
    </row>
    <row r="54">
      <c r="A54" s="16" t="n"/>
      <c r="B54" s="16" t="n"/>
      <c r="C54" s="17" t="n"/>
      <c r="D54" s="16" t="n"/>
      <c r="E54" s="16" t="n"/>
      <c r="F54" s="16" t="n"/>
      <c r="G54" s="18">
        <f>IF(AND(D54&lt;&gt;"已完成",D54&lt;&gt;"",E54&lt;&gt;"",E54&lt;TODAY()),"⚠️延期","")</f>
        <v/>
      </c>
      <c r="H54" s="17" t="n"/>
    </row>
    <row r="55">
      <c r="A55" s="16" t="n"/>
      <c r="B55" s="16" t="n"/>
      <c r="C55" s="17" t="n"/>
      <c r="D55" s="16" t="n"/>
      <c r="E55" s="16" t="n"/>
      <c r="F55" s="16" t="n"/>
      <c r="G55" s="18">
        <f>IF(AND(D55&lt;&gt;"已完成",D55&lt;&gt;"",E55&lt;&gt;"",E55&lt;TODAY()),"⚠️延期","")</f>
        <v/>
      </c>
      <c r="H55" s="17" t="n"/>
    </row>
    <row r="56">
      <c r="A56" s="16" t="n"/>
      <c r="B56" s="16" t="n"/>
      <c r="C56" s="17" t="n"/>
      <c r="D56" s="16" t="n"/>
      <c r="E56" s="16" t="n"/>
      <c r="F56" s="16" t="n"/>
      <c r="G56" s="18">
        <f>IF(AND(D56&lt;&gt;"已完成",D56&lt;&gt;"",E56&lt;&gt;"",E56&lt;TODAY()),"⚠️延期","")</f>
        <v/>
      </c>
      <c r="H56" s="17" t="n"/>
    </row>
    <row r="57">
      <c r="A57" s="16" t="n"/>
      <c r="B57" s="16" t="n"/>
      <c r="C57" s="17" t="n"/>
      <c r="D57" s="16" t="n"/>
      <c r="E57" s="16" t="n"/>
      <c r="F57" s="16" t="n"/>
      <c r="G57" s="18">
        <f>IF(AND(D57&lt;&gt;"已完成",D57&lt;&gt;"",E57&lt;&gt;"",E57&lt;TODAY()),"⚠️延期","")</f>
        <v/>
      </c>
      <c r="H57" s="17" t="n"/>
    </row>
    <row r="58">
      <c r="A58" s="16" t="n"/>
      <c r="B58" s="16" t="n"/>
      <c r="C58" s="17" t="n"/>
      <c r="D58" s="16" t="n"/>
      <c r="E58" s="16" t="n"/>
      <c r="F58" s="16" t="n"/>
      <c r="G58" s="18">
        <f>IF(AND(D58&lt;&gt;"已完成",D58&lt;&gt;"",E58&lt;&gt;"",E58&lt;TODAY()),"⚠️延期","")</f>
        <v/>
      </c>
      <c r="H58" s="17" t="n"/>
    </row>
    <row r="59">
      <c r="A59" s="16" t="n"/>
      <c r="B59" s="16" t="n"/>
      <c r="C59" s="17" t="n"/>
      <c r="D59" s="16" t="n"/>
      <c r="E59" s="16" t="n"/>
      <c r="F59" s="16" t="n"/>
      <c r="G59" s="18">
        <f>IF(AND(D59&lt;&gt;"已完成",D59&lt;&gt;"",E59&lt;&gt;"",E59&lt;TODAY()),"⚠️延期","")</f>
        <v/>
      </c>
      <c r="H59" s="17" t="n"/>
    </row>
    <row r="60">
      <c r="A60" s="16" t="n"/>
      <c r="B60" s="16" t="n"/>
      <c r="C60" s="17" t="n"/>
      <c r="D60" s="16" t="n"/>
      <c r="E60" s="16" t="n"/>
      <c r="F60" s="16" t="n"/>
      <c r="G60" s="18">
        <f>IF(AND(D60&lt;&gt;"已完成",D60&lt;&gt;"",E60&lt;&gt;"",E60&lt;TODAY()),"⚠️延期","")</f>
        <v/>
      </c>
      <c r="H60" s="17" t="n"/>
    </row>
    <row r="61">
      <c r="A61" s="16" t="n"/>
      <c r="B61" s="16" t="n"/>
      <c r="C61" s="17" t="n"/>
      <c r="D61" s="16" t="n"/>
      <c r="E61" s="16" t="n"/>
      <c r="F61" s="16" t="n"/>
      <c r="G61" s="18">
        <f>IF(AND(D61&lt;&gt;"已完成",D61&lt;&gt;"",E61&lt;&gt;"",E61&lt;TODAY()),"⚠️延期","")</f>
        <v/>
      </c>
      <c r="H61" s="17" t="n"/>
    </row>
    <row r="62">
      <c r="A62" s="16" t="n"/>
      <c r="B62" s="16" t="n"/>
      <c r="C62" s="17" t="n"/>
      <c r="D62" s="16" t="n"/>
      <c r="E62" s="16" t="n"/>
      <c r="F62" s="16" t="n"/>
      <c r="G62" s="18">
        <f>IF(AND(D62&lt;&gt;"已完成",D62&lt;&gt;"",E62&lt;&gt;"",E62&lt;TODAY()),"⚠️延期","")</f>
        <v/>
      </c>
      <c r="H62" s="17" t="n"/>
    </row>
    <row r="63">
      <c r="A63" s="16" t="n"/>
      <c r="B63" s="16" t="n"/>
      <c r="C63" s="17" t="n"/>
      <c r="D63" s="16" t="n"/>
      <c r="E63" s="16" t="n"/>
      <c r="F63" s="16" t="n"/>
      <c r="G63" s="18">
        <f>IF(AND(D63&lt;&gt;"已完成",D63&lt;&gt;"",E63&lt;&gt;"",E63&lt;TODAY()),"⚠️延期","")</f>
        <v/>
      </c>
      <c r="H63" s="17" t="n"/>
    </row>
    <row r="64">
      <c r="A64" s="16" t="n"/>
      <c r="B64" s="16" t="n"/>
      <c r="C64" s="17" t="n"/>
      <c r="D64" s="16" t="n"/>
      <c r="E64" s="16" t="n"/>
      <c r="F64" s="16" t="n"/>
      <c r="G64" s="18">
        <f>IF(AND(D64&lt;&gt;"已完成",D64&lt;&gt;"",E64&lt;&gt;"",E64&lt;TODAY()),"⚠️延期","")</f>
        <v/>
      </c>
      <c r="H64" s="17" t="n"/>
    </row>
    <row r="65">
      <c r="A65" s="16" t="n"/>
      <c r="B65" s="16" t="n"/>
      <c r="C65" s="17" t="n"/>
      <c r="D65" s="16" t="n"/>
      <c r="E65" s="16" t="n"/>
      <c r="F65" s="16" t="n"/>
      <c r="G65" s="18">
        <f>IF(AND(D65&lt;&gt;"已完成",D65&lt;&gt;"",E65&lt;&gt;"",E65&lt;TODAY()),"⚠️延期","")</f>
        <v/>
      </c>
      <c r="H65" s="17" t="n"/>
    </row>
    <row r="66">
      <c r="A66" s="16" t="n"/>
      <c r="B66" s="16" t="n"/>
      <c r="C66" s="17" t="n"/>
      <c r="D66" s="16" t="n"/>
      <c r="E66" s="16" t="n"/>
      <c r="F66" s="16" t="n"/>
      <c r="G66" s="18">
        <f>IF(AND(D66&lt;&gt;"已完成",D66&lt;&gt;"",E66&lt;&gt;"",E66&lt;TODAY()),"⚠️延期","")</f>
        <v/>
      </c>
      <c r="H66" s="17" t="n"/>
    </row>
    <row r="67">
      <c r="A67" s="16" t="n"/>
      <c r="B67" s="16" t="n"/>
      <c r="C67" s="17" t="n"/>
      <c r="D67" s="16" t="n"/>
      <c r="E67" s="16" t="n"/>
      <c r="F67" s="16" t="n"/>
      <c r="G67" s="18">
        <f>IF(AND(D67&lt;&gt;"已完成",D67&lt;&gt;"",E67&lt;&gt;"",E67&lt;TODAY()),"⚠️延期","")</f>
        <v/>
      </c>
      <c r="H67" s="17" t="n"/>
    </row>
    <row r="68">
      <c r="A68" s="16" t="n"/>
      <c r="B68" s="16" t="n"/>
      <c r="C68" s="17" t="n"/>
      <c r="D68" s="16" t="n"/>
      <c r="E68" s="16" t="n"/>
      <c r="F68" s="16" t="n"/>
      <c r="G68" s="18">
        <f>IF(AND(D68&lt;&gt;"已完成",D68&lt;&gt;"",E68&lt;&gt;"",E68&lt;TODAY()),"⚠️延期","")</f>
        <v/>
      </c>
      <c r="H68" s="17" t="n"/>
    </row>
    <row r="69">
      <c r="A69" s="16" t="n"/>
      <c r="B69" s="16" t="n"/>
      <c r="C69" s="17" t="n"/>
      <c r="D69" s="16" t="n"/>
      <c r="E69" s="16" t="n"/>
      <c r="F69" s="16" t="n"/>
      <c r="G69" s="18">
        <f>IF(AND(D69&lt;&gt;"已完成",D69&lt;&gt;"",E69&lt;&gt;"",E69&lt;TODAY()),"⚠️延期","")</f>
        <v/>
      </c>
      <c r="H69" s="17" t="n"/>
    </row>
    <row r="70">
      <c r="A70" s="16" t="n"/>
      <c r="B70" s="16" t="n"/>
      <c r="C70" s="17" t="n"/>
      <c r="D70" s="16" t="n"/>
      <c r="E70" s="16" t="n"/>
      <c r="F70" s="16" t="n"/>
      <c r="G70" s="18">
        <f>IF(AND(D70&lt;&gt;"已完成",D70&lt;&gt;"",E70&lt;&gt;"",E70&lt;TODAY()),"⚠️延期","")</f>
        <v/>
      </c>
      <c r="H70" s="17" t="n"/>
    </row>
    <row r="71">
      <c r="A71" s="16" t="n"/>
      <c r="B71" s="16" t="n"/>
      <c r="C71" s="17" t="n"/>
      <c r="D71" s="16" t="n"/>
      <c r="E71" s="16" t="n"/>
      <c r="F71" s="16" t="n"/>
      <c r="G71" s="18">
        <f>IF(AND(D71&lt;&gt;"已完成",D71&lt;&gt;"",E71&lt;&gt;"",E71&lt;TODAY()),"⚠️延期","")</f>
        <v/>
      </c>
      <c r="H71" s="17" t="n"/>
    </row>
    <row r="72">
      <c r="A72" s="16" t="n"/>
      <c r="B72" s="16" t="n"/>
      <c r="C72" s="17" t="n"/>
      <c r="D72" s="16" t="n"/>
      <c r="E72" s="16" t="n"/>
      <c r="F72" s="16" t="n"/>
      <c r="G72" s="18">
        <f>IF(AND(D72&lt;&gt;"已完成",D72&lt;&gt;"",E72&lt;&gt;"",E72&lt;TODAY()),"⚠️延期","")</f>
        <v/>
      </c>
      <c r="H72" s="17" t="n"/>
    </row>
    <row r="73">
      <c r="A73" s="16" t="n"/>
      <c r="B73" s="16" t="n"/>
      <c r="C73" s="17" t="n"/>
      <c r="D73" s="16" t="n"/>
      <c r="E73" s="16" t="n"/>
      <c r="F73" s="16" t="n"/>
      <c r="G73" s="18">
        <f>IF(AND(D73&lt;&gt;"已完成",D73&lt;&gt;"",E73&lt;&gt;"",E73&lt;TODAY()),"⚠️延期","")</f>
        <v/>
      </c>
      <c r="H73" s="17" t="n"/>
    </row>
    <row r="74">
      <c r="A74" s="16" t="n"/>
      <c r="B74" s="16" t="n"/>
      <c r="C74" s="17" t="n"/>
      <c r="D74" s="16" t="n"/>
      <c r="E74" s="16" t="n"/>
      <c r="F74" s="16" t="n"/>
      <c r="G74" s="18">
        <f>IF(AND(D74&lt;&gt;"已完成",D74&lt;&gt;"",E74&lt;&gt;"",E74&lt;TODAY()),"⚠️延期","")</f>
        <v/>
      </c>
      <c r="H74" s="17" t="n"/>
    </row>
    <row r="75">
      <c r="A75" s="16" t="n"/>
      <c r="B75" s="16" t="n"/>
      <c r="C75" s="17" t="n"/>
      <c r="D75" s="16" t="n"/>
      <c r="E75" s="16" t="n"/>
      <c r="F75" s="16" t="n"/>
      <c r="G75" s="18">
        <f>IF(AND(D75&lt;&gt;"已完成",D75&lt;&gt;"",E75&lt;&gt;"",E75&lt;TODAY()),"⚠️延期","")</f>
        <v/>
      </c>
      <c r="H75" s="17" t="n"/>
    </row>
    <row r="76">
      <c r="A76" s="16" t="n"/>
      <c r="B76" s="16" t="n"/>
      <c r="C76" s="17" t="n"/>
      <c r="D76" s="16" t="n"/>
      <c r="E76" s="16" t="n"/>
      <c r="F76" s="16" t="n"/>
      <c r="G76" s="18">
        <f>IF(AND(D76&lt;&gt;"已完成",D76&lt;&gt;"",E76&lt;&gt;"",E76&lt;TODAY()),"⚠️延期","")</f>
        <v/>
      </c>
      <c r="H76" s="17" t="n"/>
    </row>
    <row r="77">
      <c r="A77" s="16" t="n"/>
      <c r="B77" s="16" t="n"/>
      <c r="C77" s="17" t="n"/>
      <c r="D77" s="16" t="n"/>
      <c r="E77" s="16" t="n"/>
      <c r="F77" s="16" t="n"/>
      <c r="G77" s="18">
        <f>IF(AND(D77&lt;&gt;"已完成",D77&lt;&gt;"",E77&lt;&gt;"",E77&lt;TODAY()),"⚠️延期","")</f>
        <v/>
      </c>
      <c r="H77" s="17" t="n"/>
    </row>
    <row r="78">
      <c r="A78" s="16" t="n"/>
      <c r="B78" s="16" t="n"/>
      <c r="C78" s="17" t="n"/>
      <c r="D78" s="16" t="n"/>
      <c r="E78" s="16" t="n"/>
      <c r="F78" s="16" t="n"/>
      <c r="G78" s="18">
        <f>IF(AND(D78&lt;&gt;"已完成",D78&lt;&gt;"",E78&lt;&gt;"",E78&lt;TODAY()),"⚠️延期","")</f>
        <v/>
      </c>
      <c r="H78" s="17" t="n"/>
    </row>
    <row r="79">
      <c r="A79" s="16" t="n"/>
      <c r="B79" s="16" t="n"/>
      <c r="C79" s="17" t="n"/>
      <c r="D79" s="16" t="n"/>
      <c r="E79" s="16" t="n"/>
      <c r="F79" s="16" t="n"/>
      <c r="G79" s="18">
        <f>IF(AND(D79&lt;&gt;"已完成",D79&lt;&gt;"",E79&lt;&gt;"",E79&lt;TODAY()),"⚠️延期","")</f>
        <v/>
      </c>
      <c r="H79" s="17" t="n"/>
    </row>
    <row r="80">
      <c r="A80" s="16" t="n"/>
      <c r="B80" s="16" t="n"/>
      <c r="C80" s="17" t="n"/>
      <c r="D80" s="16" t="n"/>
      <c r="E80" s="16" t="n"/>
      <c r="F80" s="16" t="n"/>
      <c r="G80" s="18">
        <f>IF(AND(D80&lt;&gt;"已完成",D80&lt;&gt;"",E80&lt;&gt;"",E80&lt;TODAY()),"⚠️延期","")</f>
        <v/>
      </c>
      <c r="H80" s="17" t="n"/>
    </row>
    <row r="81">
      <c r="A81" s="16" t="n"/>
      <c r="B81" s="16" t="n"/>
      <c r="C81" s="17" t="n"/>
      <c r="D81" s="16" t="n"/>
      <c r="E81" s="16" t="n"/>
      <c r="F81" s="16" t="n"/>
      <c r="G81" s="18">
        <f>IF(AND(D81&lt;&gt;"已完成",D81&lt;&gt;"",E81&lt;&gt;"",E81&lt;TODAY()),"⚠️延期","")</f>
        <v/>
      </c>
      <c r="H81" s="17" t="n"/>
    </row>
    <row r="82">
      <c r="A82" s="16" t="n"/>
      <c r="B82" s="16" t="n"/>
      <c r="C82" s="17" t="n"/>
      <c r="D82" s="16" t="n"/>
      <c r="E82" s="16" t="n"/>
      <c r="F82" s="16" t="n"/>
      <c r="G82" s="18">
        <f>IF(AND(D82&lt;&gt;"已完成",D82&lt;&gt;"",E82&lt;&gt;"",E82&lt;TODAY()),"⚠️延期","")</f>
        <v/>
      </c>
      <c r="H82" s="17" t="n"/>
    </row>
    <row r="83">
      <c r="A83" s="16" t="n"/>
      <c r="B83" s="16" t="n"/>
      <c r="C83" s="17" t="n"/>
      <c r="D83" s="16" t="n"/>
      <c r="E83" s="16" t="n"/>
      <c r="F83" s="16" t="n"/>
      <c r="G83" s="18">
        <f>IF(AND(D83&lt;&gt;"已完成",D83&lt;&gt;"",E83&lt;&gt;"",E83&lt;TODAY()),"⚠️延期","")</f>
        <v/>
      </c>
      <c r="H83" s="17" t="n"/>
    </row>
    <row r="84">
      <c r="A84" s="16" t="n"/>
      <c r="B84" s="16" t="n"/>
      <c r="C84" s="17" t="n"/>
      <c r="D84" s="16" t="n"/>
      <c r="E84" s="16" t="n"/>
      <c r="F84" s="16" t="n"/>
      <c r="G84" s="18">
        <f>IF(AND(D84&lt;&gt;"已完成",D84&lt;&gt;"",E84&lt;&gt;"",E84&lt;TODAY()),"⚠️延期","")</f>
        <v/>
      </c>
      <c r="H84" s="17" t="n"/>
    </row>
    <row r="85">
      <c r="A85" s="16" t="n"/>
      <c r="B85" s="16" t="n"/>
      <c r="C85" s="17" t="n"/>
      <c r="D85" s="16" t="n"/>
      <c r="E85" s="16" t="n"/>
      <c r="F85" s="16" t="n"/>
      <c r="G85" s="18">
        <f>IF(AND(D85&lt;&gt;"已完成",D85&lt;&gt;"",E85&lt;&gt;"",E85&lt;TODAY()),"⚠️延期","")</f>
        <v/>
      </c>
      <c r="H85" s="17" t="n"/>
    </row>
    <row r="86">
      <c r="A86" s="16" t="n"/>
      <c r="B86" s="16" t="n"/>
      <c r="C86" s="17" t="n"/>
      <c r="D86" s="16" t="n"/>
      <c r="E86" s="16" t="n"/>
      <c r="F86" s="16" t="n"/>
      <c r="G86" s="18">
        <f>IF(AND(D86&lt;&gt;"已完成",D86&lt;&gt;"",E86&lt;&gt;"",E86&lt;TODAY()),"⚠️延期","")</f>
        <v/>
      </c>
      <c r="H86" s="17" t="n"/>
    </row>
    <row r="87">
      <c r="A87" s="16" t="n"/>
      <c r="B87" s="16" t="n"/>
      <c r="C87" s="17" t="n"/>
      <c r="D87" s="16" t="n"/>
      <c r="E87" s="16" t="n"/>
      <c r="F87" s="16" t="n"/>
      <c r="G87" s="18">
        <f>IF(AND(D87&lt;&gt;"已完成",D87&lt;&gt;"",E87&lt;&gt;"",E87&lt;TODAY()),"⚠️延期","")</f>
        <v/>
      </c>
      <c r="H87" s="17" t="n"/>
    </row>
    <row r="88">
      <c r="A88" s="16" t="n"/>
      <c r="B88" s="16" t="n"/>
      <c r="C88" s="17" t="n"/>
      <c r="D88" s="16" t="n"/>
      <c r="E88" s="16" t="n"/>
      <c r="F88" s="16" t="n"/>
      <c r="G88" s="18">
        <f>IF(AND(D88&lt;&gt;"已完成",D88&lt;&gt;"",E88&lt;&gt;"",E88&lt;TODAY()),"⚠️延期","")</f>
        <v/>
      </c>
      <c r="H88" s="17" t="n"/>
    </row>
    <row r="89">
      <c r="A89" s="16" t="n"/>
      <c r="B89" s="16" t="n"/>
      <c r="C89" s="17" t="n"/>
      <c r="D89" s="16" t="n"/>
      <c r="E89" s="16" t="n"/>
      <c r="F89" s="16" t="n"/>
      <c r="G89" s="18">
        <f>IF(AND(D89&lt;&gt;"已完成",D89&lt;&gt;"",E89&lt;&gt;"",E89&lt;TODAY()),"⚠️延期","")</f>
        <v/>
      </c>
      <c r="H89" s="17" t="n"/>
    </row>
    <row r="90">
      <c r="A90" s="16" t="n"/>
      <c r="B90" s="16" t="n"/>
      <c r="C90" s="17" t="n"/>
      <c r="D90" s="16" t="n"/>
      <c r="E90" s="16" t="n"/>
      <c r="F90" s="16" t="n"/>
      <c r="G90" s="18">
        <f>IF(AND(D90&lt;&gt;"已完成",D90&lt;&gt;"",E90&lt;&gt;"",E90&lt;TODAY()),"⚠️延期","")</f>
        <v/>
      </c>
      <c r="H90" s="17" t="n"/>
    </row>
    <row r="91">
      <c r="A91" s="16" t="n"/>
      <c r="B91" s="16" t="n"/>
      <c r="C91" s="17" t="n"/>
      <c r="D91" s="16" t="n"/>
      <c r="E91" s="16" t="n"/>
      <c r="F91" s="16" t="n"/>
      <c r="G91" s="18">
        <f>IF(AND(D91&lt;&gt;"已完成",D91&lt;&gt;"",E91&lt;&gt;"",E91&lt;TODAY()),"⚠️延期","")</f>
        <v/>
      </c>
      <c r="H91" s="17" t="n"/>
    </row>
    <row r="92">
      <c r="A92" s="16" t="n"/>
      <c r="B92" s="16" t="n"/>
      <c r="C92" s="17" t="n"/>
      <c r="D92" s="16" t="n"/>
      <c r="E92" s="16" t="n"/>
      <c r="F92" s="16" t="n"/>
      <c r="G92" s="18">
        <f>IF(AND(D92&lt;&gt;"已完成",D92&lt;&gt;"",E92&lt;&gt;"",E92&lt;TODAY()),"⚠️延期","")</f>
        <v/>
      </c>
      <c r="H92" s="17" t="n"/>
    </row>
    <row r="93">
      <c r="A93" s="16" t="n"/>
      <c r="B93" s="16" t="n"/>
      <c r="C93" s="17" t="n"/>
      <c r="D93" s="16" t="n"/>
      <c r="E93" s="16" t="n"/>
      <c r="F93" s="16" t="n"/>
      <c r="G93" s="18">
        <f>IF(AND(D93&lt;&gt;"已完成",D93&lt;&gt;"",E93&lt;&gt;"",E93&lt;TODAY()),"⚠️延期","")</f>
        <v/>
      </c>
      <c r="H93" s="17" t="n"/>
    </row>
    <row r="94">
      <c r="A94" s="16" t="n"/>
      <c r="B94" s="16" t="n"/>
      <c r="C94" s="17" t="n"/>
      <c r="D94" s="16" t="n"/>
      <c r="E94" s="16" t="n"/>
      <c r="F94" s="16" t="n"/>
      <c r="G94" s="18">
        <f>IF(AND(D94&lt;&gt;"已完成",D94&lt;&gt;"",E94&lt;&gt;"",E94&lt;TODAY()),"⚠️延期","")</f>
        <v/>
      </c>
      <c r="H94" s="17" t="n"/>
    </row>
    <row r="95">
      <c r="A95" s="16" t="n"/>
      <c r="B95" s="16" t="n"/>
      <c r="C95" s="17" t="n"/>
      <c r="D95" s="16" t="n"/>
      <c r="E95" s="16" t="n"/>
      <c r="F95" s="16" t="n"/>
      <c r="G95" s="18">
        <f>IF(AND(D95&lt;&gt;"已完成",D95&lt;&gt;"",E95&lt;&gt;"",E95&lt;TODAY()),"⚠️延期","")</f>
        <v/>
      </c>
      <c r="H95" s="17" t="n"/>
    </row>
    <row r="96">
      <c r="A96" s="16" t="n"/>
      <c r="B96" s="16" t="n"/>
      <c r="C96" s="17" t="n"/>
      <c r="D96" s="16" t="n"/>
      <c r="E96" s="16" t="n"/>
      <c r="F96" s="16" t="n"/>
      <c r="G96" s="18">
        <f>IF(AND(D96&lt;&gt;"已完成",D96&lt;&gt;"",E96&lt;&gt;"",E96&lt;TODAY()),"⚠️延期","")</f>
        <v/>
      </c>
      <c r="H96" s="17" t="n"/>
    </row>
    <row r="97">
      <c r="A97" s="16" t="n"/>
      <c r="B97" s="16" t="n"/>
      <c r="C97" s="17" t="n"/>
      <c r="D97" s="16" t="n"/>
      <c r="E97" s="16" t="n"/>
      <c r="F97" s="16" t="n"/>
      <c r="G97" s="18">
        <f>IF(AND(D97&lt;&gt;"已完成",D97&lt;&gt;"",E97&lt;&gt;"",E97&lt;TODAY()),"⚠️延期","")</f>
        <v/>
      </c>
      <c r="H97" s="17" t="n"/>
    </row>
    <row r="98">
      <c r="A98" s="16" t="n"/>
      <c r="B98" s="16" t="n"/>
      <c r="C98" s="17" t="n"/>
      <c r="D98" s="16" t="n"/>
      <c r="E98" s="16" t="n"/>
      <c r="F98" s="16" t="n"/>
      <c r="G98" s="18">
        <f>IF(AND(D98&lt;&gt;"已完成",D98&lt;&gt;"",E98&lt;&gt;"",E98&lt;TODAY()),"⚠️延期","")</f>
        <v/>
      </c>
      <c r="H98" s="17" t="n"/>
    </row>
    <row r="99">
      <c r="A99" s="16" t="n"/>
      <c r="B99" s="16" t="n"/>
      <c r="C99" s="17" t="n"/>
      <c r="D99" s="16" t="n"/>
      <c r="E99" s="16" t="n"/>
      <c r="F99" s="16" t="n"/>
      <c r="G99" s="18">
        <f>IF(AND(D99&lt;&gt;"已完成",D99&lt;&gt;"",E99&lt;&gt;"",E99&lt;TODAY()),"⚠️延期","")</f>
        <v/>
      </c>
      <c r="H99" s="17" t="n"/>
    </row>
    <row r="100">
      <c r="A100" s="16" t="n"/>
      <c r="B100" s="16" t="n"/>
      <c r="C100" s="17" t="n"/>
      <c r="D100" s="16" t="n"/>
      <c r="E100" s="16" t="n"/>
      <c r="F100" s="16" t="n"/>
      <c r="G100" s="18">
        <f>IF(AND(D100&lt;&gt;"已完成",D100&lt;&gt;"",E100&lt;&gt;"",E100&lt;TODAY()),"⚠️延期","")</f>
        <v/>
      </c>
      <c r="H100" s="17" t="n"/>
    </row>
    <row r="101">
      <c r="A101" s="16" t="n"/>
      <c r="B101" s="16" t="n"/>
      <c r="C101" s="17" t="n"/>
      <c r="D101" s="16" t="n"/>
      <c r="E101" s="16" t="n"/>
      <c r="F101" s="16" t="n"/>
      <c r="G101" s="18">
        <f>IF(AND(D101&lt;&gt;"已完成",D101&lt;&gt;"",E101&lt;&gt;"",E101&lt;TODAY()),"⚠️延期","")</f>
        <v/>
      </c>
      <c r="H101" s="17" t="n"/>
    </row>
    <row r="102">
      <c r="A102" s="16" t="n"/>
      <c r="B102" s="16" t="n"/>
      <c r="C102" s="17" t="n"/>
      <c r="D102" s="16" t="n"/>
      <c r="E102" s="16" t="n"/>
      <c r="F102" s="16" t="n"/>
      <c r="G102" s="18">
        <f>IF(AND(D102&lt;&gt;"已完成",D102&lt;&gt;"",E102&lt;&gt;"",E102&lt;TODAY()),"⚠️延期","")</f>
        <v/>
      </c>
      <c r="H102" s="17" t="n"/>
    </row>
    <row r="103">
      <c r="A103" s="16" t="n"/>
      <c r="B103" s="16" t="n"/>
      <c r="C103" s="17" t="n"/>
      <c r="D103" s="16" t="n"/>
      <c r="E103" s="16" t="n"/>
      <c r="F103" s="16" t="n"/>
      <c r="G103" s="18">
        <f>IF(AND(D103&lt;&gt;"已完成",D103&lt;&gt;"",E103&lt;&gt;"",E103&lt;TODAY()),"⚠️延期","")</f>
        <v/>
      </c>
      <c r="H103" s="17" t="n"/>
    </row>
    <row r="104">
      <c r="A104" s="16" t="n"/>
      <c r="B104" s="16" t="n"/>
      <c r="C104" s="17" t="n"/>
      <c r="D104" s="16" t="n"/>
      <c r="E104" s="16" t="n"/>
      <c r="F104" s="16" t="n"/>
      <c r="G104" s="18">
        <f>IF(AND(D104&lt;&gt;"已完成",D104&lt;&gt;"",E104&lt;&gt;"",E104&lt;TODAY()),"⚠️延期","")</f>
        <v/>
      </c>
      <c r="H104" s="17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D5:D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H104">
    <cfRule type="expression" priority="7" dxfId="5">
      <formula>$G5="⚠️延期"</formula>
    </cfRule>
  </conditionalFormatting>
  <dataValidations count="2">
    <dataValidation sqref="B5:B104" showDropDown="0" showInputMessage="0" showErrorMessage="0" allowBlank="1" type="list">
      <formula1>=选项!$A$2:$A$8</formula1>
    </dataValidation>
    <dataValidation sqref="D5:D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2" customWidth="1" min="3" max="3"/>
    <col width="10" customWidth="1" min="4" max="4"/>
    <col width="12" customWidth="1" min="5" max="5"/>
    <col width="12" customWidth="1" min="6" max="6"/>
    <col width="10" customWidth="1" min="7" max="7"/>
    <col width="20" customWidth="1" min="8" max="8"/>
  </cols>
  <sheetData>
    <row r="1" ht="24" customHeight="1">
      <c r="A1" s="13" t="inlineStr">
        <is>
          <t>天猫-楠楠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COUNTA(C5:C104)</f>
        <v/>
      </c>
      <c r="B3" s="14">
        <f>COUNTIF(D5:D104,"已完成")</f>
        <v/>
      </c>
      <c r="C3" s="14">
        <f>COUNTIF(D5:D104,"进行中")</f>
        <v/>
      </c>
      <c r="D3" s="14">
        <f>COUNTIF(G5:G104,"⚠️延期")+COUNTIF(D5:D104,"已延期")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项目</t>
        </is>
      </c>
      <c r="C4" s="15" t="inlineStr">
        <is>
          <t>工作内容</t>
        </is>
      </c>
      <c r="D4" s="15" t="inlineStr">
        <is>
          <t>状态</t>
        </is>
      </c>
      <c r="E4" s="15" t="inlineStr">
        <is>
          <t>计划完成日</t>
        </is>
      </c>
      <c r="F4" s="15" t="inlineStr">
        <is>
          <t>实际完成日</t>
        </is>
      </c>
      <c r="G4" s="15" t="inlineStr">
        <is>
          <t>是否延期</t>
        </is>
      </c>
      <c r="H4" s="15" t="inlineStr">
        <is>
          <t>备注</t>
        </is>
      </c>
    </row>
    <row r="5">
      <c r="A5" s="16" t="n"/>
      <c r="B5" s="16" t="n"/>
      <c r="C5" s="17" t="n"/>
      <c r="D5" s="16" t="n"/>
      <c r="E5" s="16" t="n"/>
      <c r="F5" s="16" t="n"/>
      <c r="G5" s="18">
        <f>IF(AND(D5&lt;&gt;"已完成",D5&lt;&gt;"",E5&lt;&gt;"",E5&lt;TODAY()),"⚠️延期","")</f>
        <v/>
      </c>
      <c r="H5" s="17" t="n"/>
    </row>
    <row r="6">
      <c r="A6" s="16" t="n"/>
      <c r="B6" s="16" t="n"/>
      <c r="C6" s="17" t="n"/>
      <c r="D6" s="16" t="n"/>
      <c r="E6" s="16" t="n"/>
      <c r="F6" s="16" t="n"/>
      <c r="G6" s="18">
        <f>IF(AND(D6&lt;&gt;"已完成",D6&lt;&gt;"",E6&lt;&gt;"",E6&lt;TODAY()),"⚠️延期","")</f>
        <v/>
      </c>
      <c r="H6" s="17" t="n"/>
    </row>
    <row r="7">
      <c r="A7" s="16" t="n"/>
      <c r="B7" s="16" t="n"/>
      <c r="C7" s="17" t="n"/>
      <c r="D7" s="16" t="n"/>
      <c r="E7" s="16" t="n"/>
      <c r="F7" s="16" t="n"/>
      <c r="G7" s="18">
        <f>IF(AND(D7&lt;&gt;"已完成",D7&lt;&gt;"",E7&lt;&gt;"",E7&lt;TODAY()),"⚠️延期","")</f>
        <v/>
      </c>
      <c r="H7" s="17" t="n"/>
    </row>
    <row r="8">
      <c r="A8" s="16" t="n"/>
      <c r="B8" s="16" t="n"/>
      <c r="C8" s="17" t="n"/>
      <c r="D8" s="16" t="n"/>
      <c r="E8" s="16" t="n"/>
      <c r="F8" s="16" t="n"/>
      <c r="G8" s="18">
        <f>IF(AND(D8&lt;&gt;"已完成",D8&lt;&gt;"",E8&lt;&gt;"",E8&lt;TODAY()),"⚠️延期","")</f>
        <v/>
      </c>
      <c r="H8" s="17" t="n"/>
    </row>
    <row r="9">
      <c r="A9" s="16" t="n"/>
      <c r="B9" s="16" t="n"/>
      <c r="C9" s="17" t="n"/>
      <c r="D9" s="16" t="n"/>
      <c r="E9" s="16" t="n"/>
      <c r="F9" s="16" t="n"/>
      <c r="G9" s="18">
        <f>IF(AND(D9&lt;&gt;"已完成",D9&lt;&gt;"",E9&lt;&gt;"",E9&lt;TODAY()),"⚠️延期","")</f>
        <v/>
      </c>
      <c r="H9" s="17" t="n"/>
    </row>
    <row r="10">
      <c r="A10" s="16" t="n"/>
      <c r="B10" s="16" t="n"/>
      <c r="C10" s="17" t="n"/>
      <c r="D10" s="16" t="n"/>
      <c r="E10" s="16" t="n"/>
      <c r="F10" s="16" t="n"/>
      <c r="G10" s="18">
        <f>IF(AND(D10&lt;&gt;"已完成",D10&lt;&gt;"",E10&lt;&gt;"",E10&lt;TODAY()),"⚠️延期","")</f>
        <v/>
      </c>
      <c r="H10" s="17" t="n"/>
    </row>
    <row r="11">
      <c r="A11" s="16" t="n"/>
      <c r="B11" s="16" t="n"/>
      <c r="C11" s="17" t="n"/>
      <c r="D11" s="16" t="n"/>
      <c r="E11" s="16" t="n"/>
      <c r="F11" s="16" t="n"/>
      <c r="G11" s="18">
        <f>IF(AND(D11&lt;&gt;"已完成",D11&lt;&gt;"",E11&lt;&gt;"",E11&lt;TODAY()),"⚠️延期","")</f>
        <v/>
      </c>
      <c r="H11" s="17" t="n"/>
    </row>
    <row r="12">
      <c r="A12" s="16" t="n"/>
      <c r="B12" s="16" t="n"/>
      <c r="C12" s="17" t="n"/>
      <c r="D12" s="16" t="n"/>
      <c r="E12" s="16" t="n"/>
      <c r="F12" s="16" t="n"/>
      <c r="G12" s="18">
        <f>IF(AND(D12&lt;&gt;"已完成",D12&lt;&gt;"",E12&lt;&gt;"",E12&lt;TODAY()),"⚠️延期","")</f>
        <v/>
      </c>
      <c r="H12" s="17" t="n"/>
    </row>
    <row r="13">
      <c r="A13" s="16" t="n"/>
      <c r="B13" s="16" t="n"/>
      <c r="C13" s="17" t="n"/>
      <c r="D13" s="16" t="n"/>
      <c r="E13" s="16" t="n"/>
      <c r="F13" s="16" t="n"/>
      <c r="G13" s="18">
        <f>IF(AND(D13&lt;&gt;"已完成",D13&lt;&gt;"",E13&lt;&gt;"",E13&lt;TODAY()),"⚠️延期","")</f>
        <v/>
      </c>
      <c r="H13" s="17" t="n"/>
    </row>
    <row r="14">
      <c r="A14" s="16" t="n"/>
      <c r="B14" s="16" t="n"/>
      <c r="C14" s="17" t="n"/>
      <c r="D14" s="16" t="n"/>
      <c r="E14" s="16" t="n"/>
      <c r="F14" s="16" t="n"/>
      <c r="G14" s="18">
        <f>IF(AND(D14&lt;&gt;"已完成",D14&lt;&gt;"",E14&lt;&gt;"",E14&lt;TODAY()),"⚠️延期","")</f>
        <v/>
      </c>
      <c r="H14" s="17" t="n"/>
    </row>
    <row r="15">
      <c r="A15" s="16" t="n"/>
      <c r="B15" s="16" t="n"/>
      <c r="C15" s="17" t="n"/>
      <c r="D15" s="16" t="n"/>
      <c r="E15" s="16" t="n"/>
      <c r="F15" s="16" t="n"/>
      <c r="G15" s="18">
        <f>IF(AND(D15&lt;&gt;"已完成",D15&lt;&gt;"",E15&lt;&gt;"",E15&lt;TODAY()),"⚠️延期","")</f>
        <v/>
      </c>
      <c r="H15" s="17" t="n"/>
    </row>
    <row r="16">
      <c r="A16" s="16" t="n"/>
      <c r="B16" s="16" t="n"/>
      <c r="C16" s="17" t="n"/>
      <c r="D16" s="16" t="n"/>
      <c r="E16" s="16" t="n"/>
      <c r="F16" s="16" t="n"/>
      <c r="G16" s="18">
        <f>IF(AND(D16&lt;&gt;"已完成",D16&lt;&gt;"",E16&lt;&gt;"",E16&lt;TODAY()),"⚠️延期","")</f>
        <v/>
      </c>
      <c r="H16" s="17" t="n"/>
    </row>
    <row r="17">
      <c r="A17" s="16" t="n"/>
      <c r="B17" s="16" t="n"/>
      <c r="C17" s="17" t="n"/>
      <c r="D17" s="16" t="n"/>
      <c r="E17" s="16" t="n"/>
      <c r="F17" s="16" t="n"/>
      <c r="G17" s="18">
        <f>IF(AND(D17&lt;&gt;"已完成",D17&lt;&gt;"",E17&lt;&gt;"",E17&lt;TODAY()),"⚠️延期","")</f>
        <v/>
      </c>
      <c r="H17" s="17" t="n"/>
    </row>
    <row r="18">
      <c r="A18" s="16" t="n"/>
      <c r="B18" s="16" t="n"/>
      <c r="C18" s="17" t="n"/>
      <c r="D18" s="16" t="n"/>
      <c r="E18" s="16" t="n"/>
      <c r="F18" s="16" t="n"/>
      <c r="G18" s="18">
        <f>IF(AND(D18&lt;&gt;"已完成",D18&lt;&gt;"",E18&lt;&gt;"",E18&lt;TODAY()),"⚠️延期","")</f>
        <v/>
      </c>
      <c r="H18" s="17" t="n"/>
    </row>
    <row r="19">
      <c r="A19" s="16" t="n"/>
      <c r="B19" s="16" t="n"/>
      <c r="C19" s="17" t="n"/>
      <c r="D19" s="16" t="n"/>
      <c r="E19" s="16" t="n"/>
      <c r="F19" s="16" t="n"/>
      <c r="G19" s="18">
        <f>IF(AND(D19&lt;&gt;"已完成",D19&lt;&gt;"",E19&lt;&gt;"",E19&lt;TODAY()),"⚠️延期","")</f>
        <v/>
      </c>
      <c r="H19" s="17" t="n"/>
    </row>
    <row r="20">
      <c r="A20" s="16" t="n"/>
      <c r="B20" s="16" t="n"/>
      <c r="C20" s="17" t="n"/>
      <c r="D20" s="16" t="n"/>
      <c r="E20" s="16" t="n"/>
      <c r="F20" s="16" t="n"/>
      <c r="G20" s="18">
        <f>IF(AND(D20&lt;&gt;"已完成",D20&lt;&gt;"",E20&lt;&gt;"",E20&lt;TODAY()),"⚠️延期","")</f>
        <v/>
      </c>
      <c r="H20" s="17" t="n"/>
    </row>
    <row r="21">
      <c r="A21" s="16" t="n"/>
      <c r="B21" s="16" t="n"/>
      <c r="C21" s="17" t="n"/>
      <c r="D21" s="16" t="n"/>
      <c r="E21" s="16" t="n"/>
      <c r="F21" s="16" t="n"/>
      <c r="G21" s="18">
        <f>IF(AND(D21&lt;&gt;"已完成",D21&lt;&gt;"",E21&lt;&gt;"",E21&lt;TODAY()),"⚠️延期","")</f>
        <v/>
      </c>
      <c r="H21" s="17" t="n"/>
    </row>
    <row r="22">
      <c r="A22" s="16" t="n"/>
      <c r="B22" s="16" t="n"/>
      <c r="C22" s="17" t="n"/>
      <c r="D22" s="16" t="n"/>
      <c r="E22" s="16" t="n"/>
      <c r="F22" s="16" t="n"/>
      <c r="G22" s="18">
        <f>IF(AND(D22&lt;&gt;"已完成",D22&lt;&gt;"",E22&lt;&gt;"",E22&lt;TODAY()),"⚠️延期","")</f>
        <v/>
      </c>
      <c r="H22" s="17" t="n"/>
    </row>
    <row r="23">
      <c r="A23" s="16" t="n"/>
      <c r="B23" s="16" t="n"/>
      <c r="C23" s="17" t="n"/>
      <c r="D23" s="16" t="n"/>
      <c r="E23" s="16" t="n"/>
      <c r="F23" s="16" t="n"/>
      <c r="G23" s="18">
        <f>IF(AND(D23&lt;&gt;"已完成",D23&lt;&gt;"",E23&lt;&gt;"",E23&lt;TODAY()),"⚠️延期","")</f>
        <v/>
      </c>
      <c r="H23" s="17" t="n"/>
    </row>
    <row r="24">
      <c r="A24" s="16" t="n"/>
      <c r="B24" s="16" t="n"/>
      <c r="C24" s="17" t="n"/>
      <c r="D24" s="16" t="n"/>
      <c r="E24" s="16" t="n"/>
      <c r="F24" s="16" t="n"/>
      <c r="G24" s="18">
        <f>IF(AND(D24&lt;&gt;"已完成",D24&lt;&gt;"",E24&lt;&gt;"",E24&lt;TODAY()),"⚠️延期","")</f>
        <v/>
      </c>
      <c r="H24" s="17" t="n"/>
    </row>
    <row r="25">
      <c r="A25" s="16" t="n"/>
      <c r="B25" s="16" t="n"/>
      <c r="C25" s="17" t="n"/>
      <c r="D25" s="16" t="n"/>
      <c r="E25" s="16" t="n"/>
      <c r="F25" s="16" t="n"/>
      <c r="G25" s="18">
        <f>IF(AND(D25&lt;&gt;"已完成",D25&lt;&gt;"",E25&lt;&gt;"",E25&lt;TODAY()),"⚠️延期","")</f>
        <v/>
      </c>
      <c r="H25" s="17" t="n"/>
    </row>
    <row r="26">
      <c r="A26" s="16" t="n"/>
      <c r="B26" s="16" t="n"/>
      <c r="C26" s="17" t="n"/>
      <c r="D26" s="16" t="n"/>
      <c r="E26" s="16" t="n"/>
      <c r="F26" s="16" t="n"/>
      <c r="G26" s="18">
        <f>IF(AND(D26&lt;&gt;"已完成",D26&lt;&gt;"",E26&lt;&gt;"",E26&lt;TODAY()),"⚠️延期","")</f>
        <v/>
      </c>
      <c r="H26" s="17" t="n"/>
    </row>
    <row r="27">
      <c r="A27" s="16" t="n"/>
      <c r="B27" s="16" t="n"/>
      <c r="C27" s="17" t="n"/>
      <c r="D27" s="16" t="n"/>
      <c r="E27" s="16" t="n"/>
      <c r="F27" s="16" t="n"/>
      <c r="G27" s="18">
        <f>IF(AND(D27&lt;&gt;"已完成",D27&lt;&gt;"",E27&lt;&gt;"",E27&lt;TODAY()),"⚠️延期","")</f>
        <v/>
      </c>
      <c r="H27" s="17" t="n"/>
    </row>
    <row r="28">
      <c r="A28" s="16" t="n"/>
      <c r="B28" s="16" t="n"/>
      <c r="C28" s="17" t="n"/>
      <c r="D28" s="16" t="n"/>
      <c r="E28" s="16" t="n"/>
      <c r="F28" s="16" t="n"/>
      <c r="G28" s="18">
        <f>IF(AND(D28&lt;&gt;"已完成",D28&lt;&gt;"",E28&lt;&gt;"",E28&lt;TODAY()),"⚠️延期","")</f>
        <v/>
      </c>
      <c r="H28" s="17" t="n"/>
    </row>
    <row r="29">
      <c r="A29" s="16" t="n"/>
      <c r="B29" s="16" t="n"/>
      <c r="C29" s="17" t="n"/>
      <c r="D29" s="16" t="n"/>
      <c r="E29" s="16" t="n"/>
      <c r="F29" s="16" t="n"/>
      <c r="G29" s="18">
        <f>IF(AND(D29&lt;&gt;"已完成",D29&lt;&gt;"",E29&lt;&gt;"",E29&lt;TODAY()),"⚠️延期","")</f>
        <v/>
      </c>
      <c r="H29" s="17" t="n"/>
    </row>
    <row r="30">
      <c r="A30" s="16" t="n"/>
      <c r="B30" s="16" t="n"/>
      <c r="C30" s="17" t="n"/>
      <c r="D30" s="16" t="n"/>
      <c r="E30" s="16" t="n"/>
      <c r="F30" s="16" t="n"/>
      <c r="G30" s="18">
        <f>IF(AND(D30&lt;&gt;"已完成",D30&lt;&gt;"",E30&lt;&gt;"",E30&lt;TODAY()),"⚠️延期","")</f>
        <v/>
      </c>
      <c r="H30" s="17" t="n"/>
    </row>
    <row r="31">
      <c r="A31" s="16" t="n"/>
      <c r="B31" s="16" t="n"/>
      <c r="C31" s="17" t="n"/>
      <c r="D31" s="16" t="n"/>
      <c r="E31" s="16" t="n"/>
      <c r="F31" s="16" t="n"/>
      <c r="G31" s="18">
        <f>IF(AND(D31&lt;&gt;"已完成",D31&lt;&gt;"",E31&lt;&gt;"",E31&lt;TODAY()),"⚠️延期","")</f>
        <v/>
      </c>
      <c r="H31" s="17" t="n"/>
    </row>
    <row r="32">
      <c r="A32" s="16" t="n"/>
      <c r="B32" s="16" t="n"/>
      <c r="C32" s="17" t="n"/>
      <c r="D32" s="16" t="n"/>
      <c r="E32" s="16" t="n"/>
      <c r="F32" s="16" t="n"/>
      <c r="G32" s="18">
        <f>IF(AND(D32&lt;&gt;"已完成",D32&lt;&gt;"",E32&lt;&gt;"",E32&lt;TODAY()),"⚠️延期","")</f>
        <v/>
      </c>
      <c r="H32" s="17" t="n"/>
    </row>
    <row r="33">
      <c r="A33" s="16" t="n"/>
      <c r="B33" s="16" t="n"/>
      <c r="C33" s="17" t="n"/>
      <c r="D33" s="16" t="n"/>
      <c r="E33" s="16" t="n"/>
      <c r="F33" s="16" t="n"/>
      <c r="G33" s="18">
        <f>IF(AND(D33&lt;&gt;"已完成",D33&lt;&gt;"",E33&lt;&gt;"",E33&lt;TODAY()),"⚠️延期","")</f>
        <v/>
      </c>
      <c r="H33" s="17" t="n"/>
    </row>
    <row r="34">
      <c r="A34" s="16" t="n"/>
      <c r="B34" s="16" t="n"/>
      <c r="C34" s="17" t="n"/>
      <c r="D34" s="16" t="n"/>
      <c r="E34" s="16" t="n"/>
      <c r="F34" s="16" t="n"/>
      <c r="G34" s="18">
        <f>IF(AND(D34&lt;&gt;"已完成",D34&lt;&gt;"",E34&lt;&gt;"",E34&lt;TODAY()),"⚠️延期","")</f>
        <v/>
      </c>
      <c r="H34" s="17" t="n"/>
    </row>
    <row r="35">
      <c r="A35" s="16" t="n"/>
      <c r="B35" s="16" t="n"/>
      <c r="C35" s="17" t="n"/>
      <c r="D35" s="16" t="n"/>
      <c r="E35" s="16" t="n"/>
      <c r="F35" s="16" t="n"/>
      <c r="G35" s="18">
        <f>IF(AND(D35&lt;&gt;"已完成",D35&lt;&gt;"",E35&lt;&gt;"",E35&lt;TODAY()),"⚠️延期","")</f>
        <v/>
      </c>
      <c r="H35" s="17" t="n"/>
    </row>
    <row r="36">
      <c r="A36" s="16" t="n"/>
      <c r="B36" s="16" t="n"/>
      <c r="C36" s="17" t="n"/>
      <c r="D36" s="16" t="n"/>
      <c r="E36" s="16" t="n"/>
      <c r="F36" s="16" t="n"/>
      <c r="G36" s="18">
        <f>IF(AND(D36&lt;&gt;"已完成",D36&lt;&gt;"",E36&lt;&gt;"",E36&lt;TODAY()),"⚠️延期","")</f>
        <v/>
      </c>
      <c r="H36" s="17" t="n"/>
    </row>
    <row r="37">
      <c r="A37" s="16" t="n"/>
      <c r="B37" s="16" t="n"/>
      <c r="C37" s="17" t="n"/>
      <c r="D37" s="16" t="n"/>
      <c r="E37" s="16" t="n"/>
      <c r="F37" s="16" t="n"/>
      <c r="G37" s="18">
        <f>IF(AND(D37&lt;&gt;"已完成",D37&lt;&gt;"",E37&lt;&gt;"",E37&lt;TODAY()),"⚠️延期","")</f>
        <v/>
      </c>
      <c r="H37" s="17" t="n"/>
    </row>
    <row r="38">
      <c r="A38" s="16" t="n"/>
      <c r="B38" s="16" t="n"/>
      <c r="C38" s="17" t="n"/>
      <c r="D38" s="16" t="n"/>
      <c r="E38" s="16" t="n"/>
      <c r="F38" s="16" t="n"/>
      <c r="G38" s="18">
        <f>IF(AND(D38&lt;&gt;"已完成",D38&lt;&gt;"",E38&lt;&gt;"",E38&lt;TODAY()),"⚠️延期","")</f>
        <v/>
      </c>
      <c r="H38" s="17" t="n"/>
    </row>
    <row r="39">
      <c r="A39" s="16" t="n"/>
      <c r="B39" s="16" t="n"/>
      <c r="C39" s="17" t="n"/>
      <c r="D39" s="16" t="n"/>
      <c r="E39" s="16" t="n"/>
      <c r="F39" s="16" t="n"/>
      <c r="G39" s="18">
        <f>IF(AND(D39&lt;&gt;"已完成",D39&lt;&gt;"",E39&lt;&gt;"",E39&lt;TODAY()),"⚠️延期","")</f>
        <v/>
      </c>
      <c r="H39" s="17" t="n"/>
    </row>
    <row r="40">
      <c r="A40" s="16" t="n"/>
      <c r="B40" s="16" t="n"/>
      <c r="C40" s="17" t="n"/>
      <c r="D40" s="16" t="n"/>
      <c r="E40" s="16" t="n"/>
      <c r="F40" s="16" t="n"/>
      <c r="G40" s="18">
        <f>IF(AND(D40&lt;&gt;"已完成",D40&lt;&gt;"",E40&lt;&gt;"",E40&lt;TODAY()),"⚠️延期","")</f>
        <v/>
      </c>
      <c r="H40" s="17" t="n"/>
    </row>
    <row r="41">
      <c r="A41" s="16" t="n"/>
      <c r="B41" s="16" t="n"/>
      <c r="C41" s="17" t="n"/>
      <c r="D41" s="16" t="n"/>
      <c r="E41" s="16" t="n"/>
      <c r="F41" s="16" t="n"/>
      <c r="G41" s="18">
        <f>IF(AND(D41&lt;&gt;"已完成",D41&lt;&gt;"",E41&lt;&gt;"",E41&lt;TODAY()),"⚠️延期","")</f>
        <v/>
      </c>
      <c r="H41" s="17" t="n"/>
    </row>
    <row r="42">
      <c r="A42" s="16" t="n"/>
      <c r="B42" s="16" t="n"/>
      <c r="C42" s="17" t="n"/>
      <c r="D42" s="16" t="n"/>
      <c r="E42" s="16" t="n"/>
      <c r="F42" s="16" t="n"/>
      <c r="G42" s="18">
        <f>IF(AND(D42&lt;&gt;"已完成",D42&lt;&gt;"",E42&lt;&gt;"",E42&lt;TODAY()),"⚠️延期","")</f>
        <v/>
      </c>
      <c r="H42" s="17" t="n"/>
    </row>
    <row r="43">
      <c r="A43" s="16" t="n"/>
      <c r="B43" s="16" t="n"/>
      <c r="C43" s="17" t="n"/>
      <c r="D43" s="16" t="n"/>
      <c r="E43" s="16" t="n"/>
      <c r="F43" s="16" t="n"/>
      <c r="G43" s="18">
        <f>IF(AND(D43&lt;&gt;"已完成",D43&lt;&gt;"",E43&lt;&gt;"",E43&lt;TODAY()),"⚠️延期","")</f>
        <v/>
      </c>
      <c r="H43" s="17" t="n"/>
    </row>
    <row r="44">
      <c r="A44" s="16" t="n"/>
      <c r="B44" s="16" t="n"/>
      <c r="C44" s="17" t="n"/>
      <c r="D44" s="16" t="n"/>
      <c r="E44" s="16" t="n"/>
      <c r="F44" s="16" t="n"/>
      <c r="G44" s="18">
        <f>IF(AND(D44&lt;&gt;"已完成",D44&lt;&gt;"",E44&lt;&gt;"",E44&lt;TODAY()),"⚠️延期","")</f>
        <v/>
      </c>
      <c r="H44" s="17" t="n"/>
    </row>
    <row r="45">
      <c r="A45" s="16" t="n"/>
      <c r="B45" s="16" t="n"/>
      <c r="C45" s="17" t="n"/>
      <c r="D45" s="16" t="n"/>
      <c r="E45" s="16" t="n"/>
      <c r="F45" s="16" t="n"/>
      <c r="G45" s="18">
        <f>IF(AND(D45&lt;&gt;"已完成",D45&lt;&gt;"",E45&lt;&gt;"",E45&lt;TODAY()),"⚠️延期","")</f>
        <v/>
      </c>
      <c r="H45" s="17" t="n"/>
    </row>
    <row r="46">
      <c r="A46" s="16" t="n"/>
      <c r="B46" s="16" t="n"/>
      <c r="C46" s="17" t="n"/>
      <c r="D46" s="16" t="n"/>
      <c r="E46" s="16" t="n"/>
      <c r="F46" s="16" t="n"/>
      <c r="G46" s="18">
        <f>IF(AND(D46&lt;&gt;"已完成",D46&lt;&gt;"",E46&lt;&gt;"",E46&lt;TODAY()),"⚠️延期","")</f>
        <v/>
      </c>
      <c r="H46" s="17" t="n"/>
    </row>
    <row r="47">
      <c r="A47" s="16" t="n"/>
      <c r="B47" s="16" t="n"/>
      <c r="C47" s="17" t="n"/>
      <c r="D47" s="16" t="n"/>
      <c r="E47" s="16" t="n"/>
      <c r="F47" s="16" t="n"/>
      <c r="G47" s="18">
        <f>IF(AND(D47&lt;&gt;"已完成",D47&lt;&gt;"",E47&lt;&gt;"",E47&lt;TODAY()),"⚠️延期","")</f>
        <v/>
      </c>
      <c r="H47" s="17" t="n"/>
    </row>
    <row r="48">
      <c r="A48" s="16" t="n"/>
      <c r="B48" s="16" t="n"/>
      <c r="C48" s="17" t="n"/>
      <c r="D48" s="16" t="n"/>
      <c r="E48" s="16" t="n"/>
      <c r="F48" s="16" t="n"/>
      <c r="G48" s="18">
        <f>IF(AND(D48&lt;&gt;"已完成",D48&lt;&gt;"",E48&lt;&gt;"",E48&lt;TODAY()),"⚠️延期","")</f>
        <v/>
      </c>
      <c r="H48" s="17" t="n"/>
    </row>
    <row r="49">
      <c r="A49" s="16" t="n"/>
      <c r="B49" s="16" t="n"/>
      <c r="C49" s="17" t="n"/>
      <c r="D49" s="16" t="n"/>
      <c r="E49" s="16" t="n"/>
      <c r="F49" s="16" t="n"/>
      <c r="G49" s="18">
        <f>IF(AND(D49&lt;&gt;"已完成",D49&lt;&gt;"",E49&lt;&gt;"",E49&lt;TODAY()),"⚠️延期","")</f>
        <v/>
      </c>
      <c r="H49" s="17" t="n"/>
    </row>
    <row r="50">
      <c r="A50" s="16" t="n"/>
      <c r="B50" s="16" t="n"/>
      <c r="C50" s="17" t="n"/>
      <c r="D50" s="16" t="n"/>
      <c r="E50" s="16" t="n"/>
      <c r="F50" s="16" t="n"/>
      <c r="G50" s="18">
        <f>IF(AND(D50&lt;&gt;"已完成",D50&lt;&gt;"",E50&lt;&gt;"",E50&lt;TODAY()),"⚠️延期","")</f>
        <v/>
      </c>
      <c r="H50" s="17" t="n"/>
    </row>
    <row r="51">
      <c r="A51" s="16" t="n"/>
      <c r="B51" s="16" t="n"/>
      <c r="C51" s="17" t="n"/>
      <c r="D51" s="16" t="n"/>
      <c r="E51" s="16" t="n"/>
      <c r="F51" s="16" t="n"/>
      <c r="G51" s="18">
        <f>IF(AND(D51&lt;&gt;"已完成",D51&lt;&gt;"",E51&lt;&gt;"",E51&lt;TODAY()),"⚠️延期","")</f>
        <v/>
      </c>
      <c r="H51" s="17" t="n"/>
    </row>
    <row r="52">
      <c r="A52" s="16" t="n"/>
      <c r="B52" s="16" t="n"/>
      <c r="C52" s="17" t="n"/>
      <c r="D52" s="16" t="n"/>
      <c r="E52" s="16" t="n"/>
      <c r="F52" s="16" t="n"/>
      <c r="G52" s="18">
        <f>IF(AND(D52&lt;&gt;"已完成",D52&lt;&gt;"",E52&lt;&gt;"",E52&lt;TODAY()),"⚠️延期","")</f>
        <v/>
      </c>
      <c r="H52" s="17" t="n"/>
    </row>
    <row r="53">
      <c r="A53" s="16" t="n"/>
      <c r="B53" s="16" t="n"/>
      <c r="C53" s="17" t="n"/>
      <c r="D53" s="16" t="n"/>
      <c r="E53" s="16" t="n"/>
      <c r="F53" s="16" t="n"/>
      <c r="G53" s="18">
        <f>IF(AND(D53&lt;&gt;"已完成",D53&lt;&gt;"",E53&lt;&gt;"",E53&lt;TODAY()),"⚠️延期","")</f>
        <v/>
      </c>
      <c r="H53" s="17" t="n"/>
    </row>
    <row r="54">
      <c r="A54" s="16" t="n"/>
      <c r="B54" s="16" t="n"/>
      <c r="C54" s="17" t="n"/>
      <c r="D54" s="16" t="n"/>
      <c r="E54" s="16" t="n"/>
      <c r="F54" s="16" t="n"/>
      <c r="G54" s="18">
        <f>IF(AND(D54&lt;&gt;"已完成",D54&lt;&gt;"",E54&lt;&gt;"",E54&lt;TODAY()),"⚠️延期","")</f>
        <v/>
      </c>
      <c r="H54" s="17" t="n"/>
    </row>
    <row r="55">
      <c r="A55" s="16" t="n"/>
      <c r="B55" s="16" t="n"/>
      <c r="C55" s="17" t="n"/>
      <c r="D55" s="16" t="n"/>
      <c r="E55" s="16" t="n"/>
      <c r="F55" s="16" t="n"/>
      <c r="G55" s="18">
        <f>IF(AND(D55&lt;&gt;"已完成",D55&lt;&gt;"",E55&lt;&gt;"",E55&lt;TODAY()),"⚠️延期","")</f>
        <v/>
      </c>
      <c r="H55" s="17" t="n"/>
    </row>
    <row r="56">
      <c r="A56" s="16" t="n"/>
      <c r="B56" s="16" t="n"/>
      <c r="C56" s="17" t="n"/>
      <c r="D56" s="16" t="n"/>
      <c r="E56" s="16" t="n"/>
      <c r="F56" s="16" t="n"/>
      <c r="G56" s="18">
        <f>IF(AND(D56&lt;&gt;"已完成",D56&lt;&gt;"",E56&lt;&gt;"",E56&lt;TODAY()),"⚠️延期","")</f>
        <v/>
      </c>
      <c r="H56" s="17" t="n"/>
    </row>
    <row r="57">
      <c r="A57" s="16" t="n"/>
      <c r="B57" s="16" t="n"/>
      <c r="C57" s="17" t="n"/>
      <c r="D57" s="16" t="n"/>
      <c r="E57" s="16" t="n"/>
      <c r="F57" s="16" t="n"/>
      <c r="G57" s="18">
        <f>IF(AND(D57&lt;&gt;"已完成",D57&lt;&gt;"",E57&lt;&gt;"",E57&lt;TODAY()),"⚠️延期","")</f>
        <v/>
      </c>
      <c r="H57" s="17" t="n"/>
    </row>
    <row r="58">
      <c r="A58" s="16" t="n"/>
      <c r="B58" s="16" t="n"/>
      <c r="C58" s="17" t="n"/>
      <c r="D58" s="16" t="n"/>
      <c r="E58" s="16" t="n"/>
      <c r="F58" s="16" t="n"/>
      <c r="G58" s="18">
        <f>IF(AND(D58&lt;&gt;"已完成",D58&lt;&gt;"",E58&lt;&gt;"",E58&lt;TODAY()),"⚠️延期","")</f>
        <v/>
      </c>
      <c r="H58" s="17" t="n"/>
    </row>
    <row r="59">
      <c r="A59" s="16" t="n"/>
      <c r="B59" s="16" t="n"/>
      <c r="C59" s="17" t="n"/>
      <c r="D59" s="16" t="n"/>
      <c r="E59" s="16" t="n"/>
      <c r="F59" s="16" t="n"/>
      <c r="G59" s="18">
        <f>IF(AND(D59&lt;&gt;"已完成",D59&lt;&gt;"",E59&lt;&gt;"",E59&lt;TODAY()),"⚠️延期","")</f>
        <v/>
      </c>
      <c r="H59" s="17" t="n"/>
    </row>
    <row r="60">
      <c r="A60" s="16" t="n"/>
      <c r="B60" s="16" t="n"/>
      <c r="C60" s="17" t="n"/>
      <c r="D60" s="16" t="n"/>
      <c r="E60" s="16" t="n"/>
      <c r="F60" s="16" t="n"/>
      <c r="G60" s="18">
        <f>IF(AND(D60&lt;&gt;"已完成",D60&lt;&gt;"",E60&lt;&gt;"",E60&lt;TODAY()),"⚠️延期","")</f>
        <v/>
      </c>
      <c r="H60" s="17" t="n"/>
    </row>
    <row r="61">
      <c r="A61" s="16" t="n"/>
      <c r="B61" s="16" t="n"/>
      <c r="C61" s="17" t="n"/>
      <c r="D61" s="16" t="n"/>
      <c r="E61" s="16" t="n"/>
      <c r="F61" s="16" t="n"/>
      <c r="G61" s="18">
        <f>IF(AND(D61&lt;&gt;"已完成",D61&lt;&gt;"",E61&lt;&gt;"",E61&lt;TODAY()),"⚠️延期","")</f>
        <v/>
      </c>
      <c r="H61" s="17" t="n"/>
    </row>
    <row r="62">
      <c r="A62" s="16" t="n"/>
      <c r="B62" s="16" t="n"/>
      <c r="C62" s="17" t="n"/>
      <c r="D62" s="16" t="n"/>
      <c r="E62" s="16" t="n"/>
      <c r="F62" s="16" t="n"/>
      <c r="G62" s="18">
        <f>IF(AND(D62&lt;&gt;"已完成",D62&lt;&gt;"",E62&lt;&gt;"",E62&lt;TODAY()),"⚠️延期","")</f>
        <v/>
      </c>
      <c r="H62" s="17" t="n"/>
    </row>
    <row r="63">
      <c r="A63" s="16" t="n"/>
      <c r="B63" s="16" t="n"/>
      <c r="C63" s="17" t="n"/>
      <c r="D63" s="16" t="n"/>
      <c r="E63" s="16" t="n"/>
      <c r="F63" s="16" t="n"/>
      <c r="G63" s="18">
        <f>IF(AND(D63&lt;&gt;"已完成",D63&lt;&gt;"",E63&lt;&gt;"",E63&lt;TODAY()),"⚠️延期","")</f>
        <v/>
      </c>
      <c r="H63" s="17" t="n"/>
    </row>
    <row r="64">
      <c r="A64" s="16" t="n"/>
      <c r="B64" s="16" t="n"/>
      <c r="C64" s="17" t="n"/>
      <c r="D64" s="16" t="n"/>
      <c r="E64" s="16" t="n"/>
      <c r="F64" s="16" t="n"/>
      <c r="G64" s="18">
        <f>IF(AND(D64&lt;&gt;"已完成",D64&lt;&gt;"",E64&lt;&gt;"",E64&lt;TODAY()),"⚠️延期","")</f>
        <v/>
      </c>
      <c r="H64" s="17" t="n"/>
    </row>
    <row r="65">
      <c r="A65" s="16" t="n"/>
      <c r="B65" s="16" t="n"/>
      <c r="C65" s="17" t="n"/>
      <c r="D65" s="16" t="n"/>
      <c r="E65" s="16" t="n"/>
      <c r="F65" s="16" t="n"/>
      <c r="G65" s="18">
        <f>IF(AND(D65&lt;&gt;"已完成",D65&lt;&gt;"",E65&lt;&gt;"",E65&lt;TODAY()),"⚠️延期","")</f>
        <v/>
      </c>
      <c r="H65" s="17" t="n"/>
    </row>
    <row r="66">
      <c r="A66" s="16" t="n"/>
      <c r="B66" s="16" t="n"/>
      <c r="C66" s="17" t="n"/>
      <c r="D66" s="16" t="n"/>
      <c r="E66" s="16" t="n"/>
      <c r="F66" s="16" t="n"/>
      <c r="G66" s="18">
        <f>IF(AND(D66&lt;&gt;"已完成",D66&lt;&gt;"",E66&lt;&gt;"",E66&lt;TODAY()),"⚠️延期","")</f>
        <v/>
      </c>
      <c r="H66" s="17" t="n"/>
    </row>
    <row r="67">
      <c r="A67" s="16" t="n"/>
      <c r="B67" s="16" t="n"/>
      <c r="C67" s="17" t="n"/>
      <c r="D67" s="16" t="n"/>
      <c r="E67" s="16" t="n"/>
      <c r="F67" s="16" t="n"/>
      <c r="G67" s="18">
        <f>IF(AND(D67&lt;&gt;"已完成",D67&lt;&gt;"",E67&lt;&gt;"",E67&lt;TODAY()),"⚠️延期","")</f>
        <v/>
      </c>
      <c r="H67" s="17" t="n"/>
    </row>
    <row r="68">
      <c r="A68" s="16" t="n"/>
      <c r="B68" s="16" t="n"/>
      <c r="C68" s="17" t="n"/>
      <c r="D68" s="16" t="n"/>
      <c r="E68" s="16" t="n"/>
      <c r="F68" s="16" t="n"/>
      <c r="G68" s="18">
        <f>IF(AND(D68&lt;&gt;"已完成",D68&lt;&gt;"",E68&lt;&gt;"",E68&lt;TODAY()),"⚠️延期","")</f>
        <v/>
      </c>
      <c r="H68" s="17" t="n"/>
    </row>
    <row r="69">
      <c r="A69" s="16" t="n"/>
      <c r="B69" s="16" t="n"/>
      <c r="C69" s="17" t="n"/>
      <c r="D69" s="16" t="n"/>
      <c r="E69" s="16" t="n"/>
      <c r="F69" s="16" t="n"/>
      <c r="G69" s="18">
        <f>IF(AND(D69&lt;&gt;"已完成",D69&lt;&gt;"",E69&lt;&gt;"",E69&lt;TODAY()),"⚠️延期","")</f>
        <v/>
      </c>
      <c r="H69" s="17" t="n"/>
    </row>
    <row r="70">
      <c r="A70" s="16" t="n"/>
      <c r="B70" s="16" t="n"/>
      <c r="C70" s="17" t="n"/>
      <c r="D70" s="16" t="n"/>
      <c r="E70" s="16" t="n"/>
      <c r="F70" s="16" t="n"/>
      <c r="G70" s="18">
        <f>IF(AND(D70&lt;&gt;"已完成",D70&lt;&gt;"",E70&lt;&gt;"",E70&lt;TODAY()),"⚠️延期","")</f>
        <v/>
      </c>
      <c r="H70" s="17" t="n"/>
    </row>
    <row r="71">
      <c r="A71" s="16" t="n"/>
      <c r="B71" s="16" t="n"/>
      <c r="C71" s="17" t="n"/>
      <c r="D71" s="16" t="n"/>
      <c r="E71" s="16" t="n"/>
      <c r="F71" s="16" t="n"/>
      <c r="G71" s="18">
        <f>IF(AND(D71&lt;&gt;"已完成",D71&lt;&gt;"",E71&lt;&gt;"",E71&lt;TODAY()),"⚠️延期","")</f>
        <v/>
      </c>
      <c r="H71" s="17" t="n"/>
    </row>
    <row r="72">
      <c r="A72" s="16" t="n"/>
      <c r="B72" s="16" t="n"/>
      <c r="C72" s="17" t="n"/>
      <c r="D72" s="16" t="n"/>
      <c r="E72" s="16" t="n"/>
      <c r="F72" s="16" t="n"/>
      <c r="G72" s="18">
        <f>IF(AND(D72&lt;&gt;"已完成",D72&lt;&gt;"",E72&lt;&gt;"",E72&lt;TODAY()),"⚠️延期","")</f>
        <v/>
      </c>
      <c r="H72" s="17" t="n"/>
    </row>
    <row r="73">
      <c r="A73" s="16" t="n"/>
      <c r="B73" s="16" t="n"/>
      <c r="C73" s="17" t="n"/>
      <c r="D73" s="16" t="n"/>
      <c r="E73" s="16" t="n"/>
      <c r="F73" s="16" t="n"/>
      <c r="G73" s="18">
        <f>IF(AND(D73&lt;&gt;"已完成",D73&lt;&gt;"",E73&lt;&gt;"",E73&lt;TODAY()),"⚠️延期","")</f>
        <v/>
      </c>
      <c r="H73" s="17" t="n"/>
    </row>
    <row r="74">
      <c r="A74" s="16" t="n"/>
      <c r="B74" s="16" t="n"/>
      <c r="C74" s="17" t="n"/>
      <c r="D74" s="16" t="n"/>
      <c r="E74" s="16" t="n"/>
      <c r="F74" s="16" t="n"/>
      <c r="G74" s="18">
        <f>IF(AND(D74&lt;&gt;"已完成",D74&lt;&gt;"",E74&lt;&gt;"",E74&lt;TODAY()),"⚠️延期","")</f>
        <v/>
      </c>
      <c r="H74" s="17" t="n"/>
    </row>
    <row r="75">
      <c r="A75" s="16" t="n"/>
      <c r="B75" s="16" t="n"/>
      <c r="C75" s="17" t="n"/>
      <c r="D75" s="16" t="n"/>
      <c r="E75" s="16" t="n"/>
      <c r="F75" s="16" t="n"/>
      <c r="G75" s="18">
        <f>IF(AND(D75&lt;&gt;"已完成",D75&lt;&gt;"",E75&lt;&gt;"",E75&lt;TODAY()),"⚠️延期","")</f>
        <v/>
      </c>
      <c r="H75" s="17" t="n"/>
    </row>
    <row r="76">
      <c r="A76" s="16" t="n"/>
      <c r="B76" s="16" t="n"/>
      <c r="C76" s="17" t="n"/>
      <c r="D76" s="16" t="n"/>
      <c r="E76" s="16" t="n"/>
      <c r="F76" s="16" t="n"/>
      <c r="G76" s="18">
        <f>IF(AND(D76&lt;&gt;"已完成",D76&lt;&gt;"",E76&lt;&gt;"",E76&lt;TODAY()),"⚠️延期","")</f>
        <v/>
      </c>
      <c r="H76" s="17" t="n"/>
    </row>
    <row r="77">
      <c r="A77" s="16" t="n"/>
      <c r="B77" s="16" t="n"/>
      <c r="C77" s="17" t="n"/>
      <c r="D77" s="16" t="n"/>
      <c r="E77" s="16" t="n"/>
      <c r="F77" s="16" t="n"/>
      <c r="G77" s="18">
        <f>IF(AND(D77&lt;&gt;"已完成",D77&lt;&gt;"",E77&lt;&gt;"",E77&lt;TODAY()),"⚠️延期","")</f>
        <v/>
      </c>
      <c r="H77" s="17" t="n"/>
    </row>
    <row r="78">
      <c r="A78" s="16" t="n"/>
      <c r="B78" s="16" t="n"/>
      <c r="C78" s="17" t="n"/>
      <c r="D78" s="16" t="n"/>
      <c r="E78" s="16" t="n"/>
      <c r="F78" s="16" t="n"/>
      <c r="G78" s="18">
        <f>IF(AND(D78&lt;&gt;"已完成",D78&lt;&gt;"",E78&lt;&gt;"",E78&lt;TODAY()),"⚠️延期","")</f>
        <v/>
      </c>
      <c r="H78" s="17" t="n"/>
    </row>
    <row r="79">
      <c r="A79" s="16" t="n"/>
      <c r="B79" s="16" t="n"/>
      <c r="C79" s="17" t="n"/>
      <c r="D79" s="16" t="n"/>
      <c r="E79" s="16" t="n"/>
      <c r="F79" s="16" t="n"/>
      <c r="G79" s="18">
        <f>IF(AND(D79&lt;&gt;"已完成",D79&lt;&gt;"",E79&lt;&gt;"",E79&lt;TODAY()),"⚠️延期","")</f>
        <v/>
      </c>
      <c r="H79" s="17" t="n"/>
    </row>
    <row r="80">
      <c r="A80" s="16" t="n"/>
      <c r="B80" s="16" t="n"/>
      <c r="C80" s="17" t="n"/>
      <c r="D80" s="16" t="n"/>
      <c r="E80" s="16" t="n"/>
      <c r="F80" s="16" t="n"/>
      <c r="G80" s="18">
        <f>IF(AND(D80&lt;&gt;"已完成",D80&lt;&gt;"",E80&lt;&gt;"",E80&lt;TODAY()),"⚠️延期","")</f>
        <v/>
      </c>
      <c r="H80" s="17" t="n"/>
    </row>
    <row r="81">
      <c r="A81" s="16" t="n"/>
      <c r="B81" s="16" t="n"/>
      <c r="C81" s="17" t="n"/>
      <c r="D81" s="16" t="n"/>
      <c r="E81" s="16" t="n"/>
      <c r="F81" s="16" t="n"/>
      <c r="G81" s="18">
        <f>IF(AND(D81&lt;&gt;"已完成",D81&lt;&gt;"",E81&lt;&gt;"",E81&lt;TODAY()),"⚠️延期","")</f>
        <v/>
      </c>
      <c r="H81" s="17" t="n"/>
    </row>
    <row r="82">
      <c r="A82" s="16" t="n"/>
      <c r="B82" s="16" t="n"/>
      <c r="C82" s="17" t="n"/>
      <c r="D82" s="16" t="n"/>
      <c r="E82" s="16" t="n"/>
      <c r="F82" s="16" t="n"/>
      <c r="G82" s="18">
        <f>IF(AND(D82&lt;&gt;"已完成",D82&lt;&gt;"",E82&lt;&gt;"",E82&lt;TODAY()),"⚠️延期","")</f>
        <v/>
      </c>
      <c r="H82" s="17" t="n"/>
    </row>
    <row r="83">
      <c r="A83" s="16" t="n"/>
      <c r="B83" s="16" t="n"/>
      <c r="C83" s="17" t="n"/>
      <c r="D83" s="16" t="n"/>
      <c r="E83" s="16" t="n"/>
      <c r="F83" s="16" t="n"/>
      <c r="G83" s="18">
        <f>IF(AND(D83&lt;&gt;"已完成",D83&lt;&gt;"",E83&lt;&gt;"",E83&lt;TODAY()),"⚠️延期","")</f>
        <v/>
      </c>
      <c r="H83" s="17" t="n"/>
    </row>
    <row r="84">
      <c r="A84" s="16" t="n"/>
      <c r="B84" s="16" t="n"/>
      <c r="C84" s="17" t="n"/>
      <c r="D84" s="16" t="n"/>
      <c r="E84" s="16" t="n"/>
      <c r="F84" s="16" t="n"/>
      <c r="G84" s="18">
        <f>IF(AND(D84&lt;&gt;"已完成",D84&lt;&gt;"",E84&lt;&gt;"",E84&lt;TODAY()),"⚠️延期","")</f>
        <v/>
      </c>
      <c r="H84" s="17" t="n"/>
    </row>
    <row r="85">
      <c r="A85" s="16" t="n"/>
      <c r="B85" s="16" t="n"/>
      <c r="C85" s="17" t="n"/>
      <c r="D85" s="16" t="n"/>
      <c r="E85" s="16" t="n"/>
      <c r="F85" s="16" t="n"/>
      <c r="G85" s="18">
        <f>IF(AND(D85&lt;&gt;"已完成",D85&lt;&gt;"",E85&lt;&gt;"",E85&lt;TODAY()),"⚠️延期","")</f>
        <v/>
      </c>
      <c r="H85" s="17" t="n"/>
    </row>
    <row r="86">
      <c r="A86" s="16" t="n"/>
      <c r="B86" s="16" t="n"/>
      <c r="C86" s="17" t="n"/>
      <c r="D86" s="16" t="n"/>
      <c r="E86" s="16" t="n"/>
      <c r="F86" s="16" t="n"/>
      <c r="G86" s="18">
        <f>IF(AND(D86&lt;&gt;"已完成",D86&lt;&gt;"",E86&lt;&gt;"",E86&lt;TODAY()),"⚠️延期","")</f>
        <v/>
      </c>
      <c r="H86" s="17" t="n"/>
    </row>
    <row r="87">
      <c r="A87" s="16" t="n"/>
      <c r="B87" s="16" t="n"/>
      <c r="C87" s="17" t="n"/>
      <c r="D87" s="16" t="n"/>
      <c r="E87" s="16" t="n"/>
      <c r="F87" s="16" t="n"/>
      <c r="G87" s="18">
        <f>IF(AND(D87&lt;&gt;"已完成",D87&lt;&gt;"",E87&lt;&gt;"",E87&lt;TODAY()),"⚠️延期","")</f>
        <v/>
      </c>
      <c r="H87" s="17" t="n"/>
    </row>
    <row r="88">
      <c r="A88" s="16" t="n"/>
      <c r="B88" s="16" t="n"/>
      <c r="C88" s="17" t="n"/>
      <c r="D88" s="16" t="n"/>
      <c r="E88" s="16" t="n"/>
      <c r="F88" s="16" t="n"/>
      <c r="G88" s="18">
        <f>IF(AND(D88&lt;&gt;"已完成",D88&lt;&gt;"",E88&lt;&gt;"",E88&lt;TODAY()),"⚠️延期","")</f>
        <v/>
      </c>
      <c r="H88" s="17" t="n"/>
    </row>
    <row r="89">
      <c r="A89" s="16" t="n"/>
      <c r="B89" s="16" t="n"/>
      <c r="C89" s="17" t="n"/>
      <c r="D89" s="16" t="n"/>
      <c r="E89" s="16" t="n"/>
      <c r="F89" s="16" t="n"/>
      <c r="G89" s="18">
        <f>IF(AND(D89&lt;&gt;"已完成",D89&lt;&gt;"",E89&lt;&gt;"",E89&lt;TODAY()),"⚠️延期","")</f>
        <v/>
      </c>
      <c r="H89" s="17" t="n"/>
    </row>
    <row r="90">
      <c r="A90" s="16" t="n"/>
      <c r="B90" s="16" t="n"/>
      <c r="C90" s="17" t="n"/>
      <c r="D90" s="16" t="n"/>
      <c r="E90" s="16" t="n"/>
      <c r="F90" s="16" t="n"/>
      <c r="G90" s="18">
        <f>IF(AND(D90&lt;&gt;"已完成",D90&lt;&gt;"",E90&lt;&gt;"",E90&lt;TODAY()),"⚠️延期","")</f>
        <v/>
      </c>
      <c r="H90" s="17" t="n"/>
    </row>
    <row r="91">
      <c r="A91" s="16" t="n"/>
      <c r="B91" s="16" t="n"/>
      <c r="C91" s="17" t="n"/>
      <c r="D91" s="16" t="n"/>
      <c r="E91" s="16" t="n"/>
      <c r="F91" s="16" t="n"/>
      <c r="G91" s="18">
        <f>IF(AND(D91&lt;&gt;"已完成",D91&lt;&gt;"",E91&lt;&gt;"",E91&lt;TODAY()),"⚠️延期","")</f>
        <v/>
      </c>
      <c r="H91" s="17" t="n"/>
    </row>
    <row r="92">
      <c r="A92" s="16" t="n"/>
      <c r="B92" s="16" t="n"/>
      <c r="C92" s="17" t="n"/>
      <c r="D92" s="16" t="n"/>
      <c r="E92" s="16" t="n"/>
      <c r="F92" s="16" t="n"/>
      <c r="G92" s="18">
        <f>IF(AND(D92&lt;&gt;"已完成",D92&lt;&gt;"",E92&lt;&gt;"",E92&lt;TODAY()),"⚠️延期","")</f>
        <v/>
      </c>
      <c r="H92" s="17" t="n"/>
    </row>
    <row r="93">
      <c r="A93" s="16" t="n"/>
      <c r="B93" s="16" t="n"/>
      <c r="C93" s="17" t="n"/>
      <c r="D93" s="16" t="n"/>
      <c r="E93" s="16" t="n"/>
      <c r="F93" s="16" t="n"/>
      <c r="G93" s="18">
        <f>IF(AND(D93&lt;&gt;"已完成",D93&lt;&gt;"",E93&lt;&gt;"",E93&lt;TODAY()),"⚠️延期","")</f>
        <v/>
      </c>
      <c r="H93" s="17" t="n"/>
    </row>
    <row r="94">
      <c r="A94" s="16" t="n"/>
      <c r="B94" s="16" t="n"/>
      <c r="C94" s="17" t="n"/>
      <c r="D94" s="16" t="n"/>
      <c r="E94" s="16" t="n"/>
      <c r="F94" s="16" t="n"/>
      <c r="G94" s="18">
        <f>IF(AND(D94&lt;&gt;"已完成",D94&lt;&gt;"",E94&lt;&gt;"",E94&lt;TODAY()),"⚠️延期","")</f>
        <v/>
      </c>
      <c r="H94" s="17" t="n"/>
    </row>
    <row r="95">
      <c r="A95" s="16" t="n"/>
      <c r="B95" s="16" t="n"/>
      <c r="C95" s="17" t="n"/>
      <c r="D95" s="16" t="n"/>
      <c r="E95" s="16" t="n"/>
      <c r="F95" s="16" t="n"/>
      <c r="G95" s="18">
        <f>IF(AND(D95&lt;&gt;"已完成",D95&lt;&gt;"",E95&lt;&gt;"",E95&lt;TODAY()),"⚠️延期","")</f>
        <v/>
      </c>
      <c r="H95" s="17" t="n"/>
    </row>
    <row r="96">
      <c r="A96" s="16" t="n"/>
      <c r="B96" s="16" t="n"/>
      <c r="C96" s="17" t="n"/>
      <c r="D96" s="16" t="n"/>
      <c r="E96" s="16" t="n"/>
      <c r="F96" s="16" t="n"/>
      <c r="G96" s="18">
        <f>IF(AND(D96&lt;&gt;"已完成",D96&lt;&gt;"",E96&lt;&gt;"",E96&lt;TODAY()),"⚠️延期","")</f>
        <v/>
      </c>
      <c r="H96" s="17" t="n"/>
    </row>
    <row r="97">
      <c r="A97" s="16" t="n"/>
      <c r="B97" s="16" t="n"/>
      <c r="C97" s="17" t="n"/>
      <c r="D97" s="16" t="n"/>
      <c r="E97" s="16" t="n"/>
      <c r="F97" s="16" t="n"/>
      <c r="G97" s="18">
        <f>IF(AND(D97&lt;&gt;"已完成",D97&lt;&gt;"",E97&lt;&gt;"",E97&lt;TODAY()),"⚠️延期","")</f>
        <v/>
      </c>
      <c r="H97" s="17" t="n"/>
    </row>
    <row r="98">
      <c r="A98" s="16" t="n"/>
      <c r="B98" s="16" t="n"/>
      <c r="C98" s="17" t="n"/>
      <c r="D98" s="16" t="n"/>
      <c r="E98" s="16" t="n"/>
      <c r="F98" s="16" t="n"/>
      <c r="G98" s="18">
        <f>IF(AND(D98&lt;&gt;"已完成",D98&lt;&gt;"",E98&lt;&gt;"",E98&lt;TODAY()),"⚠️延期","")</f>
        <v/>
      </c>
      <c r="H98" s="17" t="n"/>
    </row>
    <row r="99">
      <c r="A99" s="16" t="n"/>
      <c r="B99" s="16" t="n"/>
      <c r="C99" s="17" t="n"/>
      <c r="D99" s="16" t="n"/>
      <c r="E99" s="16" t="n"/>
      <c r="F99" s="16" t="n"/>
      <c r="G99" s="18">
        <f>IF(AND(D99&lt;&gt;"已完成",D99&lt;&gt;"",E99&lt;&gt;"",E99&lt;TODAY()),"⚠️延期","")</f>
        <v/>
      </c>
      <c r="H99" s="17" t="n"/>
    </row>
    <row r="100">
      <c r="A100" s="16" t="n"/>
      <c r="B100" s="16" t="n"/>
      <c r="C100" s="17" t="n"/>
      <c r="D100" s="16" t="n"/>
      <c r="E100" s="16" t="n"/>
      <c r="F100" s="16" t="n"/>
      <c r="G100" s="18">
        <f>IF(AND(D100&lt;&gt;"已完成",D100&lt;&gt;"",E100&lt;&gt;"",E100&lt;TODAY()),"⚠️延期","")</f>
        <v/>
      </c>
      <c r="H100" s="17" t="n"/>
    </row>
    <row r="101">
      <c r="A101" s="16" t="n"/>
      <c r="B101" s="16" t="n"/>
      <c r="C101" s="17" t="n"/>
      <c r="D101" s="16" t="n"/>
      <c r="E101" s="16" t="n"/>
      <c r="F101" s="16" t="n"/>
      <c r="G101" s="18">
        <f>IF(AND(D101&lt;&gt;"已完成",D101&lt;&gt;"",E101&lt;&gt;"",E101&lt;TODAY()),"⚠️延期","")</f>
        <v/>
      </c>
      <c r="H101" s="17" t="n"/>
    </row>
    <row r="102">
      <c r="A102" s="16" t="n"/>
      <c r="B102" s="16" t="n"/>
      <c r="C102" s="17" t="n"/>
      <c r="D102" s="16" t="n"/>
      <c r="E102" s="16" t="n"/>
      <c r="F102" s="16" t="n"/>
      <c r="G102" s="18">
        <f>IF(AND(D102&lt;&gt;"已完成",D102&lt;&gt;"",E102&lt;&gt;"",E102&lt;TODAY()),"⚠️延期","")</f>
        <v/>
      </c>
      <c r="H102" s="17" t="n"/>
    </row>
    <row r="103">
      <c r="A103" s="16" t="n"/>
      <c r="B103" s="16" t="n"/>
      <c r="C103" s="17" t="n"/>
      <c r="D103" s="16" t="n"/>
      <c r="E103" s="16" t="n"/>
      <c r="F103" s="16" t="n"/>
      <c r="G103" s="18">
        <f>IF(AND(D103&lt;&gt;"已完成",D103&lt;&gt;"",E103&lt;&gt;"",E103&lt;TODAY()),"⚠️延期","")</f>
        <v/>
      </c>
      <c r="H103" s="17" t="n"/>
    </row>
    <row r="104">
      <c r="A104" s="16" t="n"/>
      <c r="B104" s="16" t="n"/>
      <c r="C104" s="17" t="n"/>
      <c r="D104" s="16" t="n"/>
      <c r="E104" s="16" t="n"/>
      <c r="F104" s="16" t="n"/>
      <c r="G104" s="18">
        <f>IF(AND(D104&lt;&gt;"已完成",D104&lt;&gt;"",E104&lt;&gt;"",E104&lt;TODAY()),"⚠️延期","")</f>
        <v/>
      </c>
      <c r="H104" s="17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D5:D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H104">
    <cfRule type="expression" priority="7" dxfId="5">
      <formula>$G5="⚠️延期"</formula>
    </cfRule>
  </conditionalFormatting>
  <dataValidations count="2">
    <dataValidation sqref="B5:B104" showDropDown="0" showInputMessage="0" showErrorMessage="0" allowBlank="1" type="list">
      <formula1>=选项!$A$2:$A$8</formula1>
    </dataValidation>
    <dataValidation sqref="D5:D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2" customWidth="1" min="3" max="3"/>
    <col width="10" customWidth="1" min="4" max="4"/>
    <col width="12" customWidth="1" min="5" max="5"/>
    <col width="12" customWidth="1" min="6" max="6"/>
    <col width="10" customWidth="1" min="7" max="7"/>
    <col width="20" customWidth="1" min="8" max="8"/>
  </cols>
  <sheetData>
    <row r="1" ht="24" customHeight="1">
      <c r="A1" s="13" t="inlineStr">
        <is>
          <t>天猫-小廖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COUNTA(C5:C104)</f>
        <v/>
      </c>
      <c r="B3" s="14">
        <f>COUNTIF(D5:D104,"已完成")</f>
        <v/>
      </c>
      <c r="C3" s="14">
        <f>COUNTIF(D5:D104,"进行中")</f>
        <v/>
      </c>
      <c r="D3" s="14">
        <f>COUNTIF(G5:G104,"⚠️延期")+COUNTIF(D5:D104,"已延期")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项目</t>
        </is>
      </c>
      <c r="C4" s="15" t="inlineStr">
        <is>
          <t>工作内容</t>
        </is>
      </c>
      <c r="D4" s="15" t="inlineStr">
        <is>
          <t>状态</t>
        </is>
      </c>
      <c r="E4" s="15" t="inlineStr">
        <is>
          <t>计划完成日</t>
        </is>
      </c>
      <c r="F4" s="15" t="inlineStr">
        <is>
          <t>实际完成日</t>
        </is>
      </c>
      <c r="G4" s="15" t="inlineStr">
        <is>
          <t>是否延期</t>
        </is>
      </c>
      <c r="H4" s="15" t="inlineStr">
        <is>
          <t>备注</t>
        </is>
      </c>
    </row>
    <row r="5">
      <c r="A5" s="16" t="n"/>
      <c r="B5" s="16" t="n"/>
      <c r="C5" s="17" t="n"/>
      <c r="D5" s="16" t="n"/>
      <c r="E5" s="16" t="n"/>
      <c r="F5" s="16" t="n"/>
      <c r="G5" s="18">
        <f>IF(AND(D5&lt;&gt;"已完成",D5&lt;&gt;"",E5&lt;&gt;"",E5&lt;TODAY()),"⚠️延期","")</f>
        <v/>
      </c>
      <c r="H5" s="17" t="n"/>
    </row>
    <row r="6">
      <c r="A6" s="16" t="n"/>
      <c r="B6" s="16" t="n"/>
      <c r="C6" s="17" t="n"/>
      <c r="D6" s="16" t="n"/>
      <c r="E6" s="16" t="n"/>
      <c r="F6" s="16" t="n"/>
      <c r="G6" s="18">
        <f>IF(AND(D6&lt;&gt;"已完成",D6&lt;&gt;"",E6&lt;&gt;"",E6&lt;TODAY()),"⚠️延期","")</f>
        <v/>
      </c>
      <c r="H6" s="17" t="n"/>
    </row>
    <row r="7">
      <c r="A7" s="16" t="n"/>
      <c r="B7" s="16" t="n"/>
      <c r="C7" s="17" t="n"/>
      <c r="D7" s="16" t="n"/>
      <c r="E7" s="16" t="n"/>
      <c r="F7" s="16" t="n"/>
      <c r="G7" s="18">
        <f>IF(AND(D7&lt;&gt;"已完成",D7&lt;&gt;"",E7&lt;&gt;"",E7&lt;TODAY()),"⚠️延期","")</f>
        <v/>
      </c>
      <c r="H7" s="17" t="n"/>
    </row>
    <row r="8">
      <c r="A8" s="16" t="n"/>
      <c r="B8" s="16" t="n"/>
      <c r="C8" s="17" t="n"/>
      <c r="D8" s="16" t="n"/>
      <c r="E8" s="16" t="n"/>
      <c r="F8" s="16" t="n"/>
      <c r="G8" s="18">
        <f>IF(AND(D8&lt;&gt;"已完成",D8&lt;&gt;"",E8&lt;&gt;"",E8&lt;TODAY()),"⚠️延期","")</f>
        <v/>
      </c>
      <c r="H8" s="17" t="n"/>
    </row>
    <row r="9">
      <c r="A9" s="16" t="n"/>
      <c r="B9" s="16" t="n"/>
      <c r="C9" s="17" t="n"/>
      <c r="D9" s="16" t="n"/>
      <c r="E9" s="16" t="n"/>
      <c r="F9" s="16" t="n"/>
      <c r="G9" s="18">
        <f>IF(AND(D9&lt;&gt;"已完成",D9&lt;&gt;"",E9&lt;&gt;"",E9&lt;TODAY()),"⚠️延期","")</f>
        <v/>
      </c>
      <c r="H9" s="17" t="n"/>
    </row>
    <row r="10">
      <c r="A10" s="16" t="n"/>
      <c r="B10" s="16" t="n"/>
      <c r="C10" s="17" t="n"/>
      <c r="D10" s="16" t="n"/>
      <c r="E10" s="16" t="n"/>
      <c r="F10" s="16" t="n"/>
      <c r="G10" s="18">
        <f>IF(AND(D10&lt;&gt;"已完成",D10&lt;&gt;"",E10&lt;&gt;"",E10&lt;TODAY()),"⚠️延期","")</f>
        <v/>
      </c>
      <c r="H10" s="17" t="n"/>
    </row>
    <row r="11">
      <c r="A11" s="16" t="n"/>
      <c r="B11" s="16" t="n"/>
      <c r="C11" s="17" t="n"/>
      <c r="D11" s="16" t="n"/>
      <c r="E11" s="16" t="n"/>
      <c r="F11" s="16" t="n"/>
      <c r="G11" s="18">
        <f>IF(AND(D11&lt;&gt;"已完成",D11&lt;&gt;"",E11&lt;&gt;"",E11&lt;TODAY()),"⚠️延期","")</f>
        <v/>
      </c>
      <c r="H11" s="17" t="n"/>
    </row>
    <row r="12">
      <c r="A12" s="16" t="n"/>
      <c r="B12" s="16" t="n"/>
      <c r="C12" s="17" t="n"/>
      <c r="D12" s="16" t="n"/>
      <c r="E12" s="16" t="n"/>
      <c r="F12" s="16" t="n"/>
      <c r="G12" s="18">
        <f>IF(AND(D12&lt;&gt;"已完成",D12&lt;&gt;"",E12&lt;&gt;"",E12&lt;TODAY()),"⚠️延期","")</f>
        <v/>
      </c>
      <c r="H12" s="17" t="n"/>
    </row>
    <row r="13">
      <c r="A13" s="16" t="n"/>
      <c r="B13" s="16" t="n"/>
      <c r="C13" s="17" t="n"/>
      <c r="D13" s="16" t="n"/>
      <c r="E13" s="16" t="n"/>
      <c r="F13" s="16" t="n"/>
      <c r="G13" s="18">
        <f>IF(AND(D13&lt;&gt;"已完成",D13&lt;&gt;"",E13&lt;&gt;"",E13&lt;TODAY()),"⚠️延期","")</f>
        <v/>
      </c>
      <c r="H13" s="17" t="n"/>
    </row>
    <row r="14">
      <c r="A14" s="16" t="n"/>
      <c r="B14" s="16" t="n"/>
      <c r="C14" s="17" t="n"/>
      <c r="D14" s="16" t="n"/>
      <c r="E14" s="16" t="n"/>
      <c r="F14" s="16" t="n"/>
      <c r="G14" s="18">
        <f>IF(AND(D14&lt;&gt;"已完成",D14&lt;&gt;"",E14&lt;&gt;"",E14&lt;TODAY()),"⚠️延期","")</f>
        <v/>
      </c>
      <c r="H14" s="17" t="n"/>
    </row>
    <row r="15">
      <c r="A15" s="16" t="n"/>
      <c r="B15" s="16" t="n"/>
      <c r="C15" s="17" t="n"/>
      <c r="D15" s="16" t="n"/>
      <c r="E15" s="16" t="n"/>
      <c r="F15" s="16" t="n"/>
      <c r="G15" s="18">
        <f>IF(AND(D15&lt;&gt;"已完成",D15&lt;&gt;"",E15&lt;&gt;"",E15&lt;TODAY()),"⚠️延期","")</f>
        <v/>
      </c>
      <c r="H15" s="17" t="n"/>
    </row>
    <row r="16">
      <c r="A16" s="16" t="n"/>
      <c r="B16" s="16" t="n"/>
      <c r="C16" s="17" t="n"/>
      <c r="D16" s="16" t="n"/>
      <c r="E16" s="16" t="n"/>
      <c r="F16" s="16" t="n"/>
      <c r="G16" s="18">
        <f>IF(AND(D16&lt;&gt;"已完成",D16&lt;&gt;"",E16&lt;&gt;"",E16&lt;TODAY()),"⚠️延期","")</f>
        <v/>
      </c>
      <c r="H16" s="17" t="n"/>
    </row>
    <row r="17">
      <c r="A17" s="16" t="n"/>
      <c r="B17" s="16" t="n"/>
      <c r="C17" s="17" t="n"/>
      <c r="D17" s="16" t="n"/>
      <c r="E17" s="16" t="n"/>
      <c r="F17" s="16" t="n"/>
      <c r="G17" s="18">
        <f>IF(AND(D17&lt;&gt;"已完成",D17&lt;&gt;"",E17&lt;&gt;"",E17&lt;TODAY()),"⚠️延期","")</f>
        <v/>
      </c>
      <c r="H17" s="17" t="n"/>
    </row>
    <row r="18">
      <c r="A18" s="16" t="n"/>
      <c r="B18" s="16" t="n"/>
      <c r="C18" s="17" t="n"/>
      <c r="D18" s="16" t="n"/>
      <c r="E18" s="16" t="n"/>
      <c r="F18" s="16" t="n"/>
      <c r="G18" s="18">
        <f>IF(AND(D18&lt;&gt;"已完成",D18&lt;&gt;"",E18&lt;&gt;"",E18&lt;TODAY()),"⚠️延期","")</f>
        <v/>
      </c>
      <c r="H18" s="17" t="n"/>
    </row>
    <row r="19">
      <c r="A19" s="16" t="n"/>
      <c r="B19" s="16" t="n"/>
      <c r="C19" s="17" t="n"/>
      <c r="D19" s="16" t="n"/>
      <c r="E19" s="16" t="n"/>
      <c r="F19" s="16" t="n"/>
      <c r="G19" s="18">
        <f>IF(AND(D19&lt;&gt;"已完成",D19&lt;&gt;"",E19&lt;&gt;"",E19&lt;TODAY()),"⚠️延期","")</f>
        <v/>
      </c>
      <c r="H19" s="17" t="n"/>
    </row>
    <row r="20">
      <c r="A20" s="16" t="n"/>
      <c r="B20" s="16" t="n"/>
      <c r="C20" s="17" t="n"/>
      <c r="D20" s="16" t="n"/>
      <c r="E20" s="16" t="n"/>
      <c r="F20" s="16" t="n"/>
      <c r="G20" s="18">
        <f>IF(AND(D20&lt;&gt;"已完成",D20&lt;&gt;"",E20&lt;&gt;"",E20&lt;TODAY()),"⚠️延期","")</f>
        <v/>
      </c>
      <c r="H20" s="17" t="n"/>
    </row>
    <row r="21">
      <c r="A21" s="16" t="n"/>
      <c r="B21" s="16" t="n"/>
      <c r="C21" s="17" t="n"/>
      <c r="D21" s="16" t="n"/>
      <c r="E21" s="16" t="n"/>
      <c r="F21" s="16" t="n"/>
      <c r="G21" s="18">
        <f>IF(AND(D21&lt;&gt;"已完成",D21&lt;&gt;"",E21&lt;&gt;"",E21&lt;TODAY()),"⚠️延期","")</f>
        <v/>
      </c>
      <c r="H21" s="17" t="n"/>
    </row>
    <row r="22">
      <c r="A22" s="16" t="n"/>
      <c r="B22" s="16" t="n"/>
      <c r="C22" s="17" t="n"/>
      <c r="D22" s="16" t="n"/>
      <c r="E22" s="16" t="n"/>
      <c r="F22" s="16" t="n"/>
      <c r="G22" s="18">
        <f>IF(AND(D22&lt;&gt;"已完成",D22&lt;&gt;"",E22&lt;&gt;"",E22&lt;TODAY()),"⚠️延期","")</f>
        <v/>
      </c>
      <c r="H22" s="17" t="n"/>
    </row>
    <row r="23">
      <c r="A23" s="16" t="n"/>
      <c r="B23" s="16" t="n"/>
      <c r="C23" s="17" t="n"/>
      <c r="D23" s="16" t="n"/>
      <c r="E23" s="16" t="n"/>
      <c r="F23" s="16" t="n"/>
      <c r="G23" s="18">
        <f>IF(AND(D23&lt;&gt;"已完成",D23&lt;&gt;"",E23&lt;&gt;"",E23&lt;TODAY()),"⚠️延期","")</f>
        <v/>
      </c>
      <c r="H23" s="17" t="n"/>
    </row>
    <row r="24">
      <c r="A24" s="16" t="n"/>
      <c r="B24" s="16" t="n"/>
      <c r="C24" s="17" t="n"/>
      <c r="D24" s="16" t="n"/>
      <c r="E24" s="16" t="n"/>
      <c r="F24" s="16" t="n"/>
      <c r="G24" s="18">
        <f>IF(AND(D24&lt;&gt;"已完成",D24&lt;&gt;"",E24&lt;&gt;"",E24&lt;TODAY()),"⚠️延期","")</f>
        <v/>
      </c>
      <c r="H24" s="17" t="n"/>
    </row>
    <row r="25">
      <c r="A25" s="16" t="n"/>
      <c r="B25" s="16" t="n"/>
      <c r="C25" s="17" t="n"/>
      <c r="D25" s="16" t="n"/>
      <c r="E25" s="16" t="n"/>
      <c r="F25" s="16" t="n"/>
      <c r="G25" s="18">
        <f>IF(AND(D25&lt;&gt;"已完成",D25&lt;&gt;"",E25&lt;&gt;"",E25&lt;TODAY()),"⚠️延期","")</f>
        <v/>
      </c>
      <c r="H25" s="17" t="n"/>
    </row>
    <row r="26">
      <c r="A26" s="16" t="n"/>
      <c r="B26" s="16" t="n"/>
      <c r="C26" s="17" t="n"/>
      <c r="D26" s="16" t="n"/>
      <c r="E26" s="16" t="n"/>
      <c r="F26" s="16" t="n"/>
      <c r="G26" s="18">
        <f>IF(AND(D26&lt;&gt;"已完成",D26&lt;&gt;"",E26&lt;&gt;"",E26&lt;TODAY()),"⚠️延期","")</f>
        <v/>
      </c>
      <c r="H26" s="17" t="n"/>
    </row>
    <row r="27">
      <c r="A27" s="16" t="n"/>
      <c r="B27" s="16" t="n"/>
      <c r="C27" s="17" t="n"/>
      <c r="D27" s="16" t="n"/>
      <c r="E27" s="16" t="n"/>
      <c r="F27" s="16" t="n"/>
      <c r="G27" s="18">
        <f>IF(AND(D27&lt;&gt;"已完成",D27&lt;&gt;"",E27&lt;&gt;"",E27&lt;TODAY()),"⚠️延期","")</f>
        <v/>
      </c>
      <c r="H27" s="17" t="n"/>
    </row>
    <row r="28">
      <c r="A28" s="16" t="n"/>
      <c r="B28" s="16" t="n"/>
      <c r="C28" s="17" t="n"/>
      <c r="D28" s="16" t="n"/>
      <c r="E28" s="16" t="n"/>
      <c r="F28" s="16" t="n"/>
      <c r="G28" s="18">
        <f>IF(AND(D28&lt;&gt;"已完成",D28&lt;&gt;"",E28&lt;&gt;"",E28&lt;TODAY()),"⚠️延期","")</f>
        <v/>
      </c>
      <c r="H28" s="17" t="n"/>
    </row>
    <row r="29">
      <c r="A29" s="16" t="n"/>
      <c r="B29" s="16" t="n"/>
      <c r="C29" s="17" t="n"/>
      <c r="D29" s="16" t="n"/>
      <c r="E29" s="16" t="n"/>
      <c r="F29" s="16" t="n"/>
      <c r="G29" s="18">
        <f>IF(AND(D29&lt;&gt;"已完成",D29&lt;&gt;"",E29&lt;&gt;"",E29&lt;TODAY()),"⚠️延期","")</f>
        <v/>
      </c>
      <c r="H29" s="17" t="n"/>
    </row>
    <row r="30">
      <c r="A30" s="16" t="n"/>
      <c r="B30" s="16" t="n"/>
      <c r="C30" s="17" t="n"/>
      <c r="D30" s="16" t="n"/>
      <c r="E30" s="16" t="n"/>
      <c r="F30" s="16" t="n"/>
      <c r="G30" s="18">
        <f>IF(AND(D30&lt;&gt;"已完成",D30&lt;&gt;"",E30&lt;&gt;"",E30&lt;TODAY()),"⚠️延期","")</f>
        <v/>
      </c>
      <c r="H30" s="17" t="n"/>
    </row>
    <row r="31">
      <c r="A31" s="16" t="n"/>
      <c r="B31" s="16" t="n"/>
      <c r="C31" s="17" t="n"/>
      <c r="D31" s="16" t="n"/>
      <c r="E31" s="16" t="n"/>
      <c r="F31" s="16" t="n"/>
      <c r="G31" s="18">
        <f>IF(AND(D31&lt;&gt;"已完成",D31&lt;&gt;"",E31&lt;&gt;"",E31&lt;TODAY()),"⚠️延期","")</f>
        <v/>
      </c>
      <c r="H31" s="17" t="n"/>
    </row>
    <row r="32">
      <c r="A32" s="16" t="n"/>
      <c r="B32" s="16" t="n"/>
      <c r="C32" s="17" t="n"/>
      <c r="D32" s="16" t="n"/>
      <c r="E32" s="16" t="n"/>
      <c r="F32" s="16" t="n"/>
      <c r="G32" s="18">
        <f>IF(AND(D32&lt;&gt;"已完成",D32&lt;&gt;"",E32&lt;&gt;"",E32&lt;TODAY()),"⚠️延期","")</f>
        <v/>
      </c>
      <c r="H32" s="17" t="n"/>
    </row>
    <row r="33">
      <c r="A33" s="16" t="n"/>
      <c r="B33" s="16" t="n"/>
      <c r="C33" s="17" t="n"/>
      <c r="D33" s="16" t="n"/>
      <c r="E33" s="16" t="n"/>
      <c r="F33" s="16" t="n"/>
      <c r="G33" s="18">
        <f>IF(AND(D33&lt;&gt;"已完成",D33&lt;&gt;"",E33&lt;&gt;"",E33&lt;TODAY()),"⚠️延期","")</f>
        <v/>
      </c>
      <c r="H33" s="17" t="n"/>
    </row>
    <row r="34">
      <c r="A34" s="16" t="n"/>
      <c r="B34" s="16" t="n"/>
      <c r="C34" s="17" t="n"/>
      <c r="D34" s="16" t="n"/>
      <c r="E34" s="16" t="n"/>
      <c r="F34" s="16" t="n"/>
      <c r="G34" s="18">
        <f>IF(AND(D34&lt;&gt;"已完成",D34&lt;&gt;"",E34&lt;&gt;"",E34&lt;TODAY()),"⚠️延期","")</f>
        <v/>
      </c>
      <c r="H34" s="17" t="n"/>
    </row>
    <row r="35">
      <c r="A35" s="16" t="n"/>
      <c r="B35" s="16" t="n"/>
      <c r="C35" s="17" t="n"/>
      <c r="D35" s="16" t="n"/>
      <c r="E35" s="16" t="n"/>
      <c r="F35" s="16" t="n"/>
      <c r="G35" s="18">
        <f>IF(AND(D35&lt;&gt;"已完成",D35&lt;&gt;"",E35&lt;&gt;"",E35&lt;TODAY()),"⚠️延期","")</f>
        <v/>
      </c>
      <c r="H35" s="17" t="n"/>
    </row>
    <row r="36">
      <c r="A36" s="16" t="n"/>
      <c r="B36" s="16" t="n"/>
      <c r="C36" s="17" t="n"/>
      <c r="D36" s="16" t="n"/>
      <c r="E36" s="16" t="n"/>
      <c r="F36" s="16" t="n"/>
      <c r="G36" s="18">
        <f>IF(AND(D36&lt;&gt;"已完成",D36&lt;&gt;"",E36&lt;&gt;"",E36&lt;TODAY()),"⚠️延期","")</f>
        <v/>
      </c>
      <c r="H36" s="17" t="n"/>
    </row>
    <row r="37">
      <c r="A37" s="16" t="n"/>
      <c r="B37" s="16" t="n"/>
      <c r="C37" s="17" t="n"/>
      <c r="D37" s="16" t="n"/>
      <c r="E37" s="16" t="n"/>
      <c r="F37" s="16" t="n"/>
      <c r="G37" s="18">
        <f>IF(AND(D37&lt;&gt;"已完成",D37&lt;&gt;"",E37&lt;&gt;"",E37&lt;TODAY()),"⚠️延期","")</f>
        <v/>
      </c>
      <c r="H37" s="17" t="n"/>
    </row>
    <row r="38">
      <c r="A38" s="16" t="n"/>
      <c r="B38" s="16" t="n"/>
      <c r="C38" s="17" t="n"/>
      <c r="D38" s="16" t="n"/>
      <c r="E38" s="16" t="n"/>
      <c r="F38" s="16" t="n"/>
      <c r="G38" s="18">
        <f>IF(AND(D38&lt;&gt;"已完成",D38&lt;&gt;"",E38&lt;&gt;"",E38&lt;TODAY()),"⚠️延期","")</f>
        <v/>
      </c>
      <c r="H38" s="17" t="n"/>
    </row>
    <row r="39">
      <c r="A39" s="16" t="n"/>
      <c r="B39" s="16" t="n"/>
      <c r="C39" s="17" t="n"/>
      <c r="D39" s="16" t="n"/>
      <c r="E39" s="16" t="n"/>
      <c r="F39" s="16" t="n"/>
      <c r="G39" s="18">
        <f>IF(AND(D39&lt;&gt;"已完成",D39&lt;&gt;"",E39&lt;&gt;"",E39&lt;TODAY()),"⚠️延期","")</f>
        <v/>
      </c>
      <c r="H39" s="17" t="n"/>
    </row>
    <row r="40">
      <c r="A40" s="16" t="n"/>
      <c r="B40" s="16" t="n"/>
      <c r="C40" s="17" t="n"/>
      <c r="D40" s="16" t="n"/>
      <c r="E40" s="16" t="n"/>
      <c r="F40" s="16" t="n"/>
      <c r="G40" s="18">
        <f>IF(AND(D40&lt;&gt;"已完成",D40&lt;&gt;"",E40&lt;&gt;"",E40&lt;TODAY()),"⚠️延期","")</f>
        <v/>
      </c>
      <c r="H40" s="17" t="n"/>
    </row>
    <row r="41">
      <c r="A41" s="16" t="n"/>
      <c r="B41" s="16" t="n"/>
      <c r="C41" s="17" t="n"/>
      <c r="D41" s="16" t="n"/>
      <c r="E41" s="16" t="n"/>
      <c r="F41" s="16" t="n"/>
      <c r="G41" s="18">
        <f>IF(AND(D41&lt;&gt;"已完成",D41&lt;&gt;"",E41&lt;&gt;"",E41&lt;TODAY()),"⚠️延期","")</f>
        <v/>
      </c>
      <c r="H41" s="17" t="n"/>
    </row>
    <row r="42">
      <c r="A42" s="16" t="n"/>
      <c r="B42" s="16" t="n"/>
      <c r="C42" s="17" t="n"/>
      <c r="D42" s="16" t="n"/>
      <c r="E42" s="16" t="n"/>
      <c r="F42" s="16" t="n"/>
      <c r="G42" s="18">
        <f>IF(AND(D42&lt;&gt;"已完成",D42&lt;&gt;"",E42&lt;&gt;"",E42&lt;TODAY()),"⚠️延期","")</f>
        <v/>
      </c>
      <c r="H42" s="17" t="n"/>
    </row>
    <row r="43">
      <c r="A43" s="16" t="n"/>
      <c r="B43" s="16" t="n"/>
      <c r="C43" s="17" t="n"/>
      <c r="D43" s="16" t="n"/>
      <c r="E43" s="16" t="n"/>
      <c r="F43" s="16" t="n"/>
      <c r="G43" s="18">
        <f>IF(AND(D43&lt;&gt;"已完成",D43&lt;&gt;"",E43&lt;&gt;"",E43&lt;TODAY()),"⚠️延期","")</f>
        <v/>
      </c>
      <c r="H43" s="17" t="n"/>
    </row>
    <row r="44">
      <c r="A44" s="16" t="n"/>
      <c r="B44" s="16" t="n"/>
      <c r="C44" s="17" t="n"/>
      <c r="D44" s="16" t="n"/>
      <c r="E44" s="16" t="n"/>
      <c r="F44" s="16" t="n"/>
      <c r="G44" s="18">
        <f>IF(AND(D44&lt;&gt;"已完成",D44&lt;&gt;"",E44&lt;&gt;"",E44&lt;TODAY()),"⚠️延期","")</f>
        <v/>
      </c>
      <c r="H44" s="17" t="n"/>
    </row>
    <row r="45">
      <c r="A45" s="16" t="n"/>
      <c r="B45" s="16" t="n"/>
      <c r="C45" s="17" t="n"/>
      <c r="D45" s="16" t="n"/>
      <c r="E45" s="16" t="n"/>
      <c r="F45" s="16" t="n"/>
      <c r="G45" s="18">
        <f>IF(AND(D45&lt;&gt;"已完成",D45&lt;&gt;"",E45&lt;&gt;"",E45&lt;TODAY()),"⚠️延期","")</f>
        <v/>
      </c>
      <c r="H45" s="17" t="n"/>
    </row>
    <row r="46">
      <c r="A46" s="16" t="n"/>
      <c r="B46" s="16" t="n"/>
      <c r="C46" s="17" t="n"/>
      <c r="D46" s="16" t="n"/>
      <c r="E46" s="16" t="n"/>
      <c r="F46" s="16" t="n"/>
      <c r="G46" s="18">
        <f>IF(AND(D46&lt;&gt;"已完成",D46&lt;&gt;"",E46&lt;&gt;"",E46&lt;TODAY()),"⚠️延期","")</f>
        <v/>
      </c>
      <c r="H46" s="17" t="n"/>
    </row>
    <row r="47">
      <c r="A47" s="16" t="n"/>
      <c r="B47" s="16" t="n"/>
      <c r="C47" s="17" t="n"/>
      <c r="D47" s="16" t="n"/>
      <c r="E47" s="16" t="n"/>
      <c r="F47" s="16" t="n"/>
      <c r="G47" s="18">
        <f>IF(AND(D47&lt;&gt;"已完成",D47&lt;&gt;"",E47&lt;&gt;"",E47&lt;TODAY()),"⚠️延期","")</f>
        <v/>
      </c>
      <c r="H47" s="17" t="n"/>
    </row>
    <row r="48">
      <c r="A48" s="16" t="n"/>
      <c r="B48" s="16" t="n"/>
      <c r="C48" s="17" t="n"/>
      <c r="D48" s="16" t="n"/>
      <c r="E48" s="16" t="n"/>
      <c r="F48" s="16" t="n"/>
      <c r="G48" s="18">
        <f>IF(AND(D48&lt;&gt;"已完成",D48&lt;&gt;"",E48&lt;&gt;"",E48&lt;TODAY()),"⚠️延期","")</f>
        <v/>
      </c>
      <c r="H48" s="17" t="n"/>
    </row>
    <row r="49">
      <c r="A49" s="16" t="n"/>
      <c r="B49" s="16" t="n"/>
      <c r="C49" s="17" t="n"/>
      <c r="D49" s="16" t="n"/>
      <c r="E49" s="16" t="n"/>
      <c r="F49" s="16" t="n"/>
      <c r="G49" s="18">
        <f>IF(AND(D49&lt;&gt;"已完成",D49&lt;&gt;"",E49&lt;&gt;"",E49&lt;TODAY()),"⚠️延期","")</f>
        <v/>
      </c>
      <c r="H49" s="17" t="n"/>
    </row>
    <row r="50">
      <c r="A50" s="16" t="n"/>
      <c r="B50" s="16" t="n"/>
      <c r="C50" s="17" t="n"/>
      <c r="D50" s="16" t="n"/>
      <c r="E50" s="16" t="n"/>
      <c r="F50" s="16" t="n"/>
      <c r="G50" s="18">
        <f>IF(AND(D50&lt;&gt;"已完成",D50&lt;&gt;"",E50&lt;&gt;"",E50&lt;TODAY()),"⚠️延期","")</f>
        <v/>
      </c>
      <c r="H50" s="17" t="n"/>
    </row>
    <row r="51">
      <c r="A51" s="16" t="n"/>
      <c r="B51" s="16" t="n"/>
      <c r="C51" s="17" t="n"/>
      <c r="D51" s="16" t="n"/>
      <c r="E51" s="16" t="n"/>
      <c r="F51" s="16" t="n"/>
      <c r="G51" s="18">
        <f>IF(AND(D51&lt;&gt;"已完成",D51&lt;&gt;"",E51&lt;&gt;"",E51&lt;TODAY()),"⚠️延期","")</f>
        <v/>
      </c>
      <c r="H51" s="17" t="n"/>
    </row>
    <row r="52">
      <c r="A52" s="16" t="n"/>
      <c r="B52" s="16" t="n"/>
      <c r="C52" s="17" t="n"/>
      <c r="D52" s="16" t="n"/>
      <c r="E52" s="16" t="n"/>
      <c r="F52" s="16" t="n"/>
      <c r="G52" s="18">
        <f>IF(AND(D52&lt;&gt;"已完成",D52&lt;&gt;"",E52&lt;&gt;"",E52&lt;TODAY()),"⚠️延期","")</f>
        <v/>
      </c>
      <c r="H52" s="17" t="n"/>
    </row>
    <row r="53">
      <c r="A53" s="16" t="n"/>
      <c r="B53" s="16" t="n"/>
      <c r="C53" s="17" t="n"/>
      <c r="D53" s="16" t="n"/>
      <c r="E53" s="16" t="n"/>
      <c r="F53" s="16" t="n"/>
      <c r="G53" s="18">
        <f>IF(AND(D53&lt;&gt;"已完成",D53&lt;&gt;"",E53&lt;&gt;"",E53&lt;TODAY()),"⚠️延期","")</f>
        <v/>
      </c>
      <c r="H53" s="17" t="n"/>
    </row>
    <row r="54">
      <c r="A54" s="16" t="n"/>
      <c r="B54" s="16" t="n"/>
      <c r="C54" s="17" t="n"/>
      <c r="D54" s="16" t="n"/>
      <c r="E54" s="16" t="n"/>
      <c r="F54" s="16" t="n"/>
      <c r="G54" s="18">
        <f>IF(AND(D54&lt;&gt;"已完成",D54&lt;&gt;"",E54&lt;&gt;"",E54&lt;TODAY()),"⚠️延期","")</f>
        <v/>
      </c>
      <c r="H54" s="17" t="n"/>
    </row>
    <row r="55">
      <c r="A55" s="16" t="n"/>
      <c r="B55" s="16" t="n"/>
      <c r="C55" s="17" t="n"/>
      <c r="D55" s="16" t="n"/>
      <c r="E55" s="16" t="n"/>
      <c r="F55" s="16" t="n"/>
      <c r="G55" s="18">
        <f>IF(AND(D55&lt;&gt;"已完成",D55&lt;&gt;"",E55&lt;&gt;"",E55&lt;TODAY()),"⚠️延期","")</f>
        <v/>
      </c>
      <c r="H55" s="17" t="n"/>
    </row>
    <row r="56">
      <c r="A56" s="16" t="n"/>
      <c r="B56" s="16" t="n"/>
      <c r="C56" s="17" t="n"/>
      <c r="D56" s="16" t="n"/>
      <c r="E56" s="16" t="n"/>
      <c r="F56" s="16" t="n"/>
      <c r="G56" s="18">
        <f>IF(AND(D56&lt;&gt;"已完成",D56&lt;&gt;"",E56&lt;&gt;"",E56&lt;TODAY()),"⚠️延期","")</f>
        <v/>
      </c>
      <c r="H56" s="17" t="n"/>
    </row>
    <row r="57">
      <c r="A57" s="16" t="n"/>
      <c r="B57" s="16" t="n"/>
      <c r="C57" s="17" t="n"/>
      <c r="D57" s="16" t="n"/>
      <c r="E57" s="16" t="n"/>
      <c r="F57" s="16" t="n"/>
      <c r="G57" s="18">
        <f>IF(AND(D57&lt;&gt;"已完成",D57&lt;&gt;"",E57&lt;&gt;"",E57&lt;TODAY()),"⚠️延期","")</f>
        <v/>
      </c>
      <c r="H57" s="17" t="n"/>
    </row>
    <row r="58">
      <c r="A58" s="16" t="n"/>
      <c r="B58" s="16" t="n"/>
      <c r="C58" s="17" t="n"/>
      <c r="D58" s="16" t="n"/>
      <c r="E58" s="16" t="n"/>
      <c r="F58" s="16" t="n"/>
      <c r="G58" s="18">
        <f>IF(AND(D58&lt;&gt;"已完成",D58&lt;&gt;"",E58&lt;&gt;"",E58&lt;TODAY()),"⚠️延期","")</f>
        <v/>
      </c>
      <c r="H58" s="17" t="n"/>
    </row>
    <row r="59">
      <c r="A59" s="16" t="n"/>
      <c r="B59" s="16" t="n"/>
      <c r="C59" s="17" t="n"/>
      <c r="D59" s="16" t="n"/>
      <c r="E59" s="16" t="n"/>
      <c r="F59" s="16" t="n"/>
      <c r="G59" s="18">
        <f>IF(AND(D59&lt;&gt;"已完成",D59&lt;&gt;"",E59&lt;&gt;"",E59&lt;TODAY()),"⚠️延期","")</f>
        <v/>
      </c>
      <c r="H59" s="17" t="n"/>
    </row>
    <row r="60">
      <c r="A60" s="16" t="n"/>
      <c r="B60" s="16" t="n"/>
      <c r="C60" s="17" t="n"/>
      <c r="D60" s="16" t="n"/>
      <c r="E60" s="16" t="n"/>
      <c r="F60" s="16" t="n"/>
      <c r="G60" s="18">
        <f>IF(AND(D60&lt;&gt;"已完成",D60&lt;&gt;"",E60&lt;&gt;"",E60&lt;TODAY()),"⚠️延期","")</f>
        <v/>
      </c>
      <c r="H60" s="17" t="n"/>
    </row>
    <row r="61">
      <c r="A61" s="16" t="n"/>
      <c r="B61" s="16" t="n"/>
      <c r="C61" s="17" t="n"/>
      <c r="D61" s="16" t="n"/>
      <c r="E61" s="16" t="n"/>
      <c r="F61" s="16" t="n"/>
      <c r="G61" s="18">
        <f>IF(AND(D61&lt;&gt;"已完成",D61&lt;&gt;"",E61&lt;&gt;"",E61&lt;TODAY()),"⚠️延期","")</f>
        <v/>
      </c>
      <c r="H61" s="17" t="n"/>
    </row>
    <row r="62">
      <c r="A62" s="16" t="n"/>
      <c r="B62" s="16" t="n"/>
      <c r="C62" s="17" t="n"/>
      <c r="D62" s="16" t="n"/>
      <c r="E62" s="16" t="n"/>
      <c r="F62" s="16" t="n"/>
      <c r="G62" s="18">
        <f>IF(AND(D62&lt;&gt;"已完成",D62&lt;&gt;"",E62&lt;&gt;"",E62&lt;TODAY()),"⚠️延期","")</f>
        <v/>
      </c>
      <c r="H62" s="17" t="n"/>
    </row>
    <row r="63">
      <c r="A63" s="16" t="n"/>
      <c r="B63" s="16" t="n"/>
      <c r="C63" s="17" t="n"/>
      <c r="D63" s="16" t="n"/>
      <c r="E63" s="16" t="n"/>
      <c r="F63" s="16" t="n"/>
      <c r="G63" s="18">
        <f>IF(AND(D63&lt;&gt;"已完成",D63&lt;&gt;"",E63&lt;&gt;"",E63&lt;TODAY()),"⚠️延期","")</f>
        <v/>
      </c>
      <c r="H63" s="17" t="n"/>
    </row>
    <row r="64">
      <c r="A64" s="16" t="n"/>
      <c r="B64" s="16" t="n"/>
      <c r="C64" s="17" t="n"/>
      <c r="D64" s="16" t="n"/>
      <c r="E64" s="16" t="n"/>
      <c r="F64" s="16" t="n"/>
      <c r="G64" s="18">
        <f>IF(AND(D64&lt;&gt;"已完成",D64&lt;&gt;"",E64&lt;&gt;"",E64&lt;TODAY()),"⚠️延期","")</f>
        <v/>
      </c>
      <c r="H64" s="17" t="n"/>
    </row>
    <row r="65">
      <c r="A65" s="16" t="n"/>
      <c r="B65" s="16" t="n"/>
      <c r="C65" s="17" t="n"/>
      <c r="D65" s="16" t="n"/>
      <c r="E65" s="16" t="n"/>
      <c r="F65" s="16" t="n"/>
      <c r="G65" s="18">
        <f>IF(AND(D65&lt;&gt;"已完成",D65&lt;&gt;"",E65&lt;&gt;"",E65&lt;TODAY()),"⚠️延期","")</f>
        <v/>
      </c>
      <c r="H65" s="17" t="n"/>
    </row>
    <row r="66">
      <c r="A66" s="16" t="n"/>
      <c r="B66" s="16" t="n"/>
      <c r="C66" s="17" t="n"/>
      <c r="D66" s="16" t="n"/>
      <c r="E66" s="16" t="n"/>
      <c r="F66" s="16" t="n"/>
      <c r="G66" s="18">
        <f>IF(AND(D66&lt;&gt;"已完成",D66&lt;&gt;"",E66&lt;&gt;"",E66&lt;TODAY()),"⚠️延期","")</f>
        <v/>
      </c>
      <c r="H66" s="17" t="n"/>
    </row>
    <row r="67">
      <c r="A67" s="16" t="n"/>
      <c r="B67" s="16" t="n"/>
      <c r="C67" s="17" t="n"/>
      <c r="D67" s="16" t="n"/>
      <c r="E67" s="16" t="n"/>
      <c r="F67" s="16" t="n"/>
      <c r="G67" s="18">
        <f>IF(AND(D67&lt;&gt;"已完成",D67&lt;&gt;"",E67&lt;&gt;"",E67&lt;TODAY()),"⚠️延期","")</f>
        <v/>
      </c>
      <c r="H67" s="17" t="n"/>
    </row>
    <row r="68">
      <c r="A68" s="16" t="n"/>
      <c r="B68" s="16" t="n"/>
      <c r="C68" s="17" t="n"/>
      <c r="D68" s="16" t="n"/>
      <c r="E68" s="16" t="n"/>
      <c r="F68" s="16" t="n"/>
      <c r="G68" s="18">
        <f>IF(AND(D68&lt;&gt;"已完成",D68&lt;&gt;"",E68&lt;&gt;"",E68&lt;TODAY()),"⚠️延期","")</f>
        <v/>
      </c>
      <c r="H68" s="17" t="n"/>
    </row>
    <row r="69">
      <c r="A69" s="16" t="n"/>
      <c r="B69" s="16" t="n"/>
      <c r="C69" s="17" t="n"/>
      <c r="D69" s="16" t="n"/>
      <c r="E69" s="16" t="n"/>
      <c r="F69" s="16" t="n"/>
      <c r="G69" s="18">
        <f>IF(AND(D69&lt;&gt;"已完成",D69&lt;&gt;"",E69&lt;&gt;"",E69&lt;TODAY()),"⚠️延期","")</f>
        <v/>
      </c>
      <c r="H69" s="17" t="n"/>
    </row>
    <row r="70">
      <c r="A70" s="16" t="n"/>
      <c r="B70" s="16" t="n"/>
      <c r="C70" s="17" t="n"/>
      <c r="D70" s="16" t="n"/>
      <c r="E70" s="16" t="n"/>
      <c r="F70" s="16" t="n"/>
      <c r="G70" s="18">
        <f>IF(AND(D70&lt;&gt;"已完成",D70&lt;&gt;"",E70&lt;&gt;"",E70&lt;TODAY()),"⚠️延期","")</f>
        <v/>
      </c>
      <c r="H70" s="17" t="n"/>
    </row>
    <row r="71">
      <c r="A71" s="16" t="n"/>
      <c r="B71" s="16" t="n"/>
      <c r="C71" s="17" t="n"/>
      <c r="D71" s="16" t="n"/>
      <c r="E71" s="16" t="n"/>
      <c r="F71" s="16" t="n"/>
      <c r="G71" s="18">
        <f>IF(AND(D71&lt;&gt;"已完成",D71&lt;&gt;"",E71&lt;&gt;"",E71&lt;TODAY()),"⚠️延期","")</f>
        <v/>
      </c>
      <c r="H71" s="17" t="n"/>
    </row>
    <row r="72">
      <c r="A72" s="16" t="n"/>
      <c r="B72" s="16" t="n"/>
      <c r="C72" s="17" t="n"/>
      <c r="D72" s="16" t="n"/>
      <c r="E72" s="16" t="n"/>
      <c r="F72" s="16" t="n"/>
      <c r="G72" s="18">
        <f>IF(AND(D72&lt;&gt;"已完成",D72&lt;&gt;"",E72&lt;&gt;"",E72&lt;TODAY()),"⚠️延期","")</f>
        <v/>
      </c>
      <c r="H72" s="17" t="n"/>
    </row>
    <row r="73">
      <c r="A73" s="16" t="n"/>
      <c r="B73" s="16" t="n"/>
      <c r="C73" s="17" t="n"/>
      <c r="D73" s="16" t="n"/>
      <c r="E73" s="16" t="n"/>
      <c r="F73" s="16" t="n"/>
      <c r="G73" s="18">
        <f>IF(AND(D73&lt;&gt;"已完成",D73&lt;&gt;"",E73&lt;&gt;"",E73&lt;TODAY()),"⚠️延期","")</f>
        <v/>
      </c>
      <c r="H73" s="17" t="n"/>
    </row>
    <row r="74">
      <c r="A74" s="16" t="n"/>
      <c r="B74" s="16" t="n"/>
      <c r="C74" s="17" t="n"/>
      <c r="D74" s="16" t="n"/>
      <c r="E74" s="16" t="n"/>
      <c r="F74" s="16" t="n"/>
      <c r="G74" s="18">
        <f>IF(AND(D74&lt;&gt;"已完成",D74&lt;&gt;"",E74&lt;&gt;"",E74&lt;TODAY()),"⚠️延期","")</f>
        <v/>
      </c>
      <c r="H74" s="17" t="n"/>
    </row>
    <row r="75">
      <c r="A75" s="16" t="n"/>
      <c r="B75" s="16" t="n"/>
      <c r="C75" s="17" t="n"/>
      <c r="D75" s="16" t="n"/>
      <c r="E75" s="16" t="n"/>
      <c r="F75" s="16" t="n"/>
      <c r="G75" s="18">
        <f>IF(AND(D75&lt;&gt;"已完成",D75&lt;&gt;"",E75&lt;&gt;"",E75&lt;TODAY()),"⚠️延期","")</f>
        <v/>
      </c>
      <c r="H75" s="17" t="n"/>
    </row>
    <row r="76">
      <c r="A76" s="16" t="n"/>
      <c r="B76" s="16" t="n"/>
      <c r="C76" s="17" t="n"/>
      <c r="D76" s="16" t="n"/>
      <c r="E76" s="16" t="n"/>
      <c r="F76" s="16" t="n"/>
      <c r="G76" s="18">
        <f>IF(AND(D76&lt;&gt;"已完成",D76&lt;&gt;"",E76&lt;&gt;"",E76&lt;TODAY()),"⚠️延期","")</f>
        <v/>
      </c>
      <c r="H76" s="17" t="n"/>
    </row>
    <row r="77">
      <c r="A77" s="16" t="n"/>
      <c r="B77" s="16" t="n"/>
      <c r="C77" s="17" t="n"/>
      <c r="D77" s="16" t="n"/>
      <c r="E77" s="16" t="n"/>
      <c r="F77" s="16" t="n"/>
      <c r="G77" s="18">
        <f>IF(AND(D77&lt;&gt;"已完成",D77&lt;&gt;"",E77&lt;&gt;"",E77&lt;TODAY()),"⚠️延期","")</f>
        <v/>
      </c>
      <c r="H77" s="17" t="n"/>
    </row>
    <row r="78">
      <c r="A78" s="16" t="n"/>
      <c r="B78" s="16" t="n"/>
      <c r="C78" s="17" t="n"/>
      <c r="D78" s="16" t="n"/>
      <c r="E78" s="16" t="n"/>
      <c r="F78" s="16" t="n"/>
      <c r="G78" s="18">
        <f>IF(AND(D78&lt;&gt;"已完成",D78&lt;&gt;"",E78&lt;&gt;"",E78&lt;TODAY()),"⚠️延期","")</f>
        <v/>
      </c>
      <c r="H78" s="17" t="n"/>
    </row>
    <row r="79">
      <c r="A79" s="16" t="n"/>
      <c r="B79" s="16" t="n"/>
      <c r="C79" s="17" t="n"/>
      <c r="D79" s="16" t="n"/>
      <c r="E79" s="16" t="n"/>
      <c r="F79" s="16" t="n"/>
      <c r="G79" s="18">
        <f>IF(AND(D79&lt;&gt;"已完成",D79&lt;&gt;"",E79&lt;&gt;"",E79&lt;TODAY()),"⚠️延期","")</f>
        <v/>
      </c>
      <c r="H79" s="17" t="n"/>
    </row>
    <row r="80">
      <c r="A80" s="16" t="n"/>
      <c r="B80" s="16" t="n"/>
      <c r="C80" s="17" t="n"/>
      <c r="D80" s="16" t="n"/>
      <c r="E80" s="16" t="n"/>
      <c r="F80" s="16" t="n"/>
      <c r="G80" s="18">
        <f>IF(AND(D80&lt;&gt;"已完成",D80&lt;&gt;"",E80&lt;&gt;"",E80&lt;TODAY()),"⚠️延期","")</f>
        <v/>
      </c>
      <c r="H80" s="17" t="n"/>
    </row>
    <row r="81">
      <c r="A81" s="16" t="n"/>
      <c r="B81" s="16" t="n"/>
      <c r="C81" s="17" t="n"/>
      <c r="D81" s="16" t="n"/>
      <c r="E81" s="16" t="n"/>
      <c r="F81" s="16" t="n"/>
      <c r="G81" s="18">
        <f>IF(AND(D81&lt;&gt;"已完成",D81&lt;&gt;"",E81&lt;&gt;"",E81&lt;TODAY()),"⚠️延期","")</f>
        <v/>
      </c>
      <c r="H81" s="17" t="n"/>
    </row>
    <row r="82">
      <c r="A82" s="16" t="n"/>
      <c r="B82" s="16" t="n"/>
      <c r="C82" s="17" t="n"/>
      <c r="D82" s="16" t="n"/>
      <c r="E82" s="16" t="n"/>
      <c r="F82" s="16" t="n"/>
      <c r="G82" s="18">
        <f>IF(AND(D82&lt;&gt;"已完成",D82&lt;&gt;"",E82&lt;&gt;"",E82&lt;TODAY()),"⚠️延期","")</f>
        <v/>
      </c>
      <c r="H82" s="17" t="n"/>
    </row>
    <row r="83">
      <c r="A83" s="16" t="n"/>
      <c r="B83" s="16" t="n"/>
      <c r="C83" s="17" t="n"/>
      <c r="D83" s="16" t="n"/>
      <c r="E83" s="16" t="n"/>
      <c r="F83" s="16" t="n"/>
      <c r="G83" s="18">
        <f>IF(AND(D83&lt;&gt;"已完成",D83&lt;&gt;"",E83&lt;&gt;"",E83&lt;TODAY()),"⚠️延期","")</f>
        <v/>
      </c>
      <c r="H83" s="17" t="n"/>
    </row>
    <row r="84">
      <c r="A84" s="16" t="n"/>
      <c r="B84" s="16" t="n"/>
      <c r="C84" s="17" t="n"/>
      <c r="D84" s="16" t="n"/>
      <c r="E84" s="16" t="n"/>
      <c r="F84" s="16" t="n"/>
      <c r="G84" s="18">
        <f>IF(AND(D84&lt;&gt;"已完成",D84&lt;&gt;"",E84&lt;&gt;"",E84&lt;TODAY()),"⚠️延期","")</f>
        <v/>
      </c>
      <c r="H84" s="17" t="n"/>
    </row>
    <row r="85">
      <c r="A85" s="16" t="n"/>
      <c r="B85" s="16" t="n"/>
      <c r="C85" s="17" t="n"/>
      <c r="D85" s="16" t="n"/>
      <c r="E85" s="16" t="n"/>
      <c r="F85" s="16" t="n"/>
      <c r="G85" s="18">
        <f>IF(AND(D85&lt;&gt;"已完成",D85&lt;&gt;"",E85&lt;&gt;"",E85&lt;TODAY()),"⚠️延期","")</f>
        <v/>
      </c>
      <c r="H85" s="17" t="n"/>
    </row>
    <row r="86">
      <c r="A86" s="16" t="n"/>
      <c r="B86" s="16" t="n"/>
      <c r="C86" s="17" t="n"/>
      <c r="D86" s="16" t="n"/>
      <c r="E86" s="16" t="n"/>
      <c r="F86" s="16" t="n"/>
      <c r="G86" s="18">
        <f>IF(AND(D86&lt;&gt;"已完成",D86&lt;&gt;"",E86&lt;&gt;"",E86&lt;TODAY()),"⚠️延期","")</f>
        <v/>
      </c>
      <c r="H86" s="17" t="n"/>
    </row>
    <row r="87">
      <c r="A87" s="16" t="n"/>
      <c r="B87" s="16" t="n"/>
      <c r="C87" s="17" t="n"/>
      <c r="D87" s="16" t="n"/>
      <c r="E87" s="16" t="n"/>
      <c r="F87" s="16" t="n"/>
      <c r="G87" s="18">
        <f>IF(AND(D87&lt;&gt;"已完成",D87&lt;&gt;"",E87&lt;&gt;"",E87&lt;TODAY()),"⚠️延期","")</f>
        <v/>
      </c>
      <c r="H87" s="17" t="n"/>
    </row>
    <row r="88">
      <c r="A88" s="16" t="n"/>
      <c r="B88" s="16" t="n"/>
      <c r="C88" s="17" t="n"/>
      <c r="D88" s="16" t="n"/>
      <c r="E88" s="16" t="n"/>
      <c r="F88" s="16" t="n"/>
      <c r="G88" s="18">
        <f>IF(AND(D88&lt;&gt;"已完成",D88&lt;&gt;"",E88&lt;&gt;"",E88&lt;TODAY()),"⚠️延期","")</f>
        <v/>
      </c>
      <c r="H88" s="17" t="n"/>
    </row>
    <row r="89">
      <c r="A89" s="16" t="n"/>
      <c r="B89" s="16" t="n"/>
      <c r="C89" s="17" t="n"/>
      <c r="D89" s="16" t="n"/>
      <c r="E89" s="16" t="n"/>
      <c r="F89" s="16" t="n"/>
      <c r="G89" s="18">
        <f>IF(AND(D89&lt;&gt;"已完成",D89&lt;&gt;"",E89&lt;&gt;"",E89&lt;TODAY()),"⚠️延期","")</f>
        <v/>
      </c>
      <c r="H89" s="17" t="n"/>
    </row>
    <row r="90">
      <c r="A90" s="16" t="n"/>
      <c r="B90" s="16" t="n"/>
      <c r="C90" s="17" t="n"/>
      <c r="D90" s="16" t="n"/>
      <c r="E90" s="16" t="n"/>
      <c r="F90" s="16" t="n"/>
      <c r="G90" s="18">
        <f>IF(AND(D90&lt;&gt;"已完成",D90&lt;&gt;"",E90&lt;&gt;"",E90&lt;TODAY()),"⚠️延期","")</f>
        <v/>
      </c>
      <c r="H90" s="17" t="n"/>
    </row>
    <row r="91">
      <c r="A91" s="16" t="n"/>
      <c r="B91" s="16" t="n"/>
      <c r="C91" s="17" t="n"/>
      <c r="D91" s="16" t="n"/>
      <c r="E91" s="16" t="n"/>
      <c r="F91" s="16" t="n"/>
      <c r="G91" s="18">
        <f>IF(AND(D91&lt;&gt;"已完成",D91&lt;&gt;"",E91&lt;&gt;"",E91&lt;TODAY()),"⚠️延期","")</f>
        <v/>
      </c>
      <c r="H91" s="17" t="n"/>
    </row>
    <row r="92">
      <c r="A92" s="16" t="n"/>
      <c r="B92" s="16" t="n"/>
      <c r="C92" s="17" t="n"/>
      <c r="D92" s="16" t="n"/>
      <c r="E92" s="16" t="n"/>
      <c r="F92" s="16" t="n"/>
      <c r="G92" s="18">
        <f>IF(AND(D92&lt;&gt;"已完成",D92&lt;&gt;"",E92&lt;&gt;"",E92&lt;TODAY()),"⚠️延期","")</f>
        <v/>
      </c>
      <c r="H92" s="17" t="n"/>
    </row>
    <row r="93">
      <c r="A93" s="16" t="n"/>
      <c r="B93" s="16" t="n"/>
      <c r="C93" s="17" t="n"/>
      <c r="D93" s="16" t="n"/>
      <c r="E93" s="16" t="n"/>
      <c r="F93" s="16" t="n"/>
      <c r="G93" s="18">
        <f>IF(AND(D93&lt;&gt;"已完成",D93&lt;&gt;"",E93&lt;&gt;"",E93&lt;TODAY()),"⚠️延期","")</f>
        <v/>
      </c>
      <c r="H93" s="17" t="n"/>
    </row>
    <row r="94">
      <c r="A94" s="16" t="n"/>
      <c r="B94" s="16" t="n"/>
      <c r="C94" s="17" t="n"/>
      <c r="D94" s="16" t="n"/>
      <c r="E94" s="16" t="n"/>
      <c r="F94" s="16" t="n"/>
      <c r="G94" s="18">
        <f>IF(AND(D94&lt;&gt;"已完成",D94&lt;&gt;"",E94&lt;&gt;"",E94&lt;TODAY()),"⚠️延期","")</f>
        <v/>
      </c>
      <c r="H94" s="17" t="n"/>
    </row>
    <row r="95">
      <c r="A95" s="16" t="n"/>
      <c r="B95" s="16" t="n"/>
      <c r="C95" s="17" t="n"/>
      <c r="D95" s="16" t="n"/>
      <c r="E95" s="16" t="n"/>
      <c r="F95" s="16" t="n"/>
      <c r="G95" s="18">
        <f>IF(AND(D95&lt;&gt;"已完成",D95&lt;&gt;"",E95&lt;&gt;"",E95&lt;TODAY()),"⚠️延期","")</f>
        <v/>
      </c>
      <c r="H95" s="17" t="n"/>
    </row>
    <row r="96">
      <c r="A96" s="16" t="n"/>
      <c r="B96" s="16" t="n"/>
      <c r="C96" s="17" t="n"/>
      <c r="D96" s="16" t="n"/>
      <c r="E96" s="16" t="n"/>
      <c r="F96" s="16" t="n"/>
      <c r="G96" s="18">
        <f>IF(AND(D96&lt;&gt;"已完成",D96&lt;&gt;"",E96&lt;&gt;"",E96&lt;TODAY()),"⚠️延期","")</f>
        <v/>
      </c>
      <c r="H96" s="17" t="n"/>
    </row>
    <row r="97">
      <c r="A97" s="16" t="n"/>
      <c r="B97" s="16" t="n"/>
      <c r="C97" s="17" t="n"/>
      <c r="D97" s="16" t="n"/>
      <c r="E97" s="16" t="n"/>
      <c r="F97" s="16" t="n"/>
      <c r="G97" s="18">
        <f>IF(AND(D97&lt;&gt;"已完成",D97&lt;&gt;"",E97&lt;&gt;"",E97&lt;TODAY()),"⚠️延期","")</f>
        <v/>
      </c>
      <c r="H97" s="17" t="n"/>
    </row>
    <row r="98">
      <c r="A98" s="16" t="n"/>
      <c r="B98" s="16" t="n"/>
      <c r="C98" s="17" t="n"/>
      <c r="D98" s="16" t="n"/>
      <c r="E98" s="16" t="n"/>
      <c r="F98" s="16" t="n"/>
      <c r="G98" s="18">
        <f>IF(AND(D98&lt;&gt;"已完成",D98&lt;&gt;"",E98&lt;&gt;"",E98&lt;TODAY()),"⚠️延期","")</f>
        <v/>
      </c>
      <c r="H98" s="17" t="n"/>
    </row>
    <row r="99">
      <c r="A99" s="16" t="n"/>
      <c r="B99" s="16" t="n"/>
      <c r="C99" s="17" t="n"/>
      <c r="D99" s="16" t="n"/>
      <c r="E99" s="16" t="n"/>
      <c r="F99" s="16" t="n"/>
      <c r="G99" s="18">
        <f>IF(AND(D99&lt;&gt;"已完成",D99&lt;&gt;"",E99&lt;&gt;"",E99&lt;TODAY()),"⚠️延期","")</f>
        <v/>
      </c>
      <c r="H99" s="17" t="n"/>
    </row>
    <row r="100">
      <c r="A100" s="16" t="n"/>
      <c r="B100" s="16" t="n"/>
      <c r="C100" s="17" t="n"/>
      <c r="D100" s="16" t="n"/>
      <c r="E100" s="16" t="n"/>
      <c r="F100" s="16" t="n"/>
      <c r="G100" s="18">
        <f>IF(AND(D100&lt;&gt;"已完成",D100&lt;&gt;"",E100&lt;&gt;"",E100&lt;TODAY()),"⚠️延期","")</f>
        <v/>
      </c>
      <c r="H100" s="17" t="n"/>
    </row>
    <row r="101">
      <c r="A101" s="16" t="n"/>
      <c r="B101" s="16" t="n"/>
      <c r="C101" s="17" t="n"/>
      <c r="D101" s="16" t="n"/>
      <c r="E101" s="16" t="n"/>
      <c r="F101" s="16" t="n"/>
      <c r="G101" s="18">
        <f>IF(AND(D101&lt;&gt;"已完成",D101&lt;&gt;"",E101&lt;&gt;"",E101&lt;TODAY()),"⚠️延期","")</f>
        <v/>
      </c>
      <c r="H101" s="17" t="n"/>
    </row>
    <row r="102">
      <c r="A102" s="16" t="n"/>
      <c r="B102" s="16" t="n"/>
      <c r="C102" s="17" t="n"/>
      <c r="D102" s="16" t="n"/>
      <c r="E102" s="16" t="n"/>
      <c r="F102" s="16" t="n"/>
      <c r="G102" s="18">
        <f>IF(AND(D102&lt;&gt;"已完成",D102&lt;&gt;"",E102&lt;&gt;"",E102&lt;TODAY()),"⚠️延期","")</f>
        <v/>
      </c>
      <c r="H102" s="17" t="n"/>
    </row>
    <row r="103">
      <c r="A103" s="16" t="n"/>
      <c r="B103" s="16" t="n"/>
      <c r="C103" s="17" t="n"/>
      <c r="D103" s="16" t="n"/>
      <c r="E103" s="16" t="n"/>
      <c r="F103" s="16" t="n"/>
      <c r="G103" s="18">
        <f>IF(AND(D103&lt;&gt;"已完成",D103&lt;&gt;"",E103&lt;&gt;"",E103&lt;TODAY()),"⚠️延期","")</f>
        <v/>
      </c>
      <c r="H103" s="17" t="n"/>
    </row>
    <row r="104">
      <c r="A104" s="16" t="n"/>
      <c r="B104" s="16" t="n"/>
      <c r="C104" s="17" t="n"/>
      <c r="D104" s="16" t="n"/>
      <c r="E104" s="16" t="n"/>
      <c r="F104" s="16" t="n"/>
      <c r="G104" s="18">
        <f>IF(AND(D104&lt;&gt;"已完成",D104&lt;&gt;"",E104&lt;&gt;"",E104&lt;TODAY()),"⚠️延期","")</f>
        <v/>
      </c>
      <c r="H104" s="17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D5:D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H104">
    <cfRule type="expression" priority="7" dxfId="5">
      <formula>$G5="⚠️延期"</formula>
    </cfRule>
  </conditionalFormatting>
  <dataValidations count="2">
    <dataValidation sqref="B5:B104" showDropDown="0" showInputMessage="0" showErrorMessage="0" allowBlank="1" type="list">
      <formula1>=选项!$A$2:$A$8</formula1>
    </dataValidation>
    <dataValidation sqref="D5:D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2" customWidth="1" min="3" max="3"/>
    <col width="10" customWidth="1" min="4" max="4"/>
    <col width="12" customWidth="1" min="5" max="5"/>
    <col width="12" customWidth="1" min="6" max="6"/>
    <col width="10" customWidth="1" min="7" max="7"/>
    <col width="20" customWidth="1" min="8" max="8"/>
  </cols>
  <sheetData>
    <row r="1" ht="24" customHeight="1">
      <c r="A1" s="13" t="inlineStr">
        <is>
          <t>小红书-毛毛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COUNTA(C5:C104)</f>
        <v/>
      </c>
      <c r="B3" s="14">
        <f>COUNTIF(D5:D104,"已完成")</f>
        <v/>
      </c>
      <c r="C3" s="14">
        <f>COUNTIF(D5:D104,"进行中")</f>
        <v/>
      </c>
      <c r="D3" s="14">
        <f>COUNTIF(G5:G104,"⚠️延期")+COUNTIF(D5:D104,"已延期")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项目</t>
        </is>
      </c>
      <c r="C4" s="15" t="inlineStr">
        <is>
          <t>工作内容</t>
        </is>
      </c>
      <c r="D4" s="15" t="inlineStr">
        <is>
          <t>状态</t>
        </is>
      </c>
      <c r="E4" s="15" t="inlineStr">
        <is>
          <t>计划完成日</t>
        </is>
      </c>
      <c r="F4" s="15" t="inlineStr">
        <is>
          <t>实际完成日</t>
        </is>
      </c>
      <c r="G4" s="15" t="inlineStr">
        <is>
          <t>是否延期</t>
        </is>
      </c>
      <c r="H4" s="15" t="inlineStr">
        <is>
          <t>备注</t>
        </is>
      </c>
    </row>
    <row r="5">
      <c r="A5" s="16" t="n"/>
      <c r="B5" s="16" t="n"/>
      <c r="C5" s="17" t="n"/>
      <c r="D5" s="16" t="n"/>
      <c r="E5" s="16" t="n"/>
      <c r="F5" s="16" t="n"/>
      <c r="G5" s="18">
        <f>IF(AND(D5&lt;&gt;"已完成",D5&lt;&gt;"",E5&lt;&gt;"",E5&lt;TODAY()),"⚠️延期","")</f>
        <v/>
      </c>
      <c r="H5" s="17" t="n"/>
    </row>
    <row r="6">
      <c r="A6" s="16" t="n"/>
      <c r="B6" s="16" t="n"/>
      <c r="C6" s="17" t="n"/>
      <c r="D6" s="16" t="n"/>
      <c r="E6" s="16" t="n"/>
      <c r="F6" s="16" t="n"/>
      <c r="G6" s="18">
        <f>IF(AND(D6&lt;&gt;"已完成",D6&lt;&gt;"",E6&lt;&gt;"",E6&lt;TODAY()),"⚠️延期","")</f>
        <v/>
      </c>
      <c r="H6" s="17" t="n"/>
    </row>
    <row r="7">
      <c r="A7" s="16" t="n"/>
      <c r="B7" s="16" t="n"/>
      <c r="C7" s="17" t="n"/>
      <c r="D7" s="16" t="n"/>
      <c r="E7" s="16" t="n"/>
      <c r="F7" s="16" t="n"/>
      <c r="G7" s="18">
        <f>IF(AND(D7&lt;&gt;"已完成",D7&lt;&gt;"",E7&lt;&gt;"",E7&lt;TODAY()),"⚠️延期","")</f>
        <v/>
      </c>
      <c r="H7" s="17" t="n"/>
    </row>
    <row r="8">
      <c r="A8" s="16" t="n"/>
      <c r="B8" s="16" t="n"/>
      <c r="C8" s="17" t="n"/>
      <c r="D8" s="16" t="n"/>
      <c r="E8" s="16" t="n"/>
      <c r="F8" s="16" t="n"/>
      <c r="G8" s="18">
        <f>IF(AND(D8&lt;&gt;"已完成",D8&lt;&gt;"",E8&lt;&gt;"",E8&lt;TODAY()),"⚠️延期","")</f>
        <v/>
      </c>
      <c r="H8" s="17" t="n"/>
    </row>
    <row r="9">
      <c r="A9" s="16" t="n"/>
      <c r="B9" s="16" t="n"/>
      <c r="C9" s="17" t="n"/>
      <c r="D9" s="16" t="n"/>
      <c r="E9" s="16" t="n"/>
      <c r="F9" s="16" t="n"/>
      <c r="G9" s="18">
        <f>IF(AND(D9&lt;&gt;"已完成",D9&lt;&gt;"",E9&lt;&gt;"",E9&lt;TODAY()),"⚠️延期","")</f>
        <v/>
      </c>
      <c r="H9" s="17" t="n"/>
    </row>
    <row r="10">
      <c r="A10" s="16" t="n"/>
      <c r="B10" s="16" t="n"/>
      <c r="C10" s="17" t="n"/>
      <c r="D10" s="16" t="n"/>
      <c r="E10" s="16" t="n"/>
      <c r="F10" s="16" t="n"/>
      <c r="G10" s="18">
        <f>IF(AND(D10&lt;&gt;"已完成",D10&lt;&gt;"",E10&lt;&gt;"",E10&lt;TODAY()),"⚠️延期","")</f>
        <v/>
      </c>
      <c r="H10" s="17" t="n"/>
    </row>
    <row r="11">
      <c r="A11" s="16" t="n"/>
      <c r="B11" s="16" t="n"/>
      <c r="C11" s="17" t="n"/>
      <c r="D11" s="16" t="n"/>
      <c r="E11" s="16" t="n"/>
      <c r="F11" s="16" t="n"/>
      <c r="G11" s="18">
        <f>IF(AND(D11&lt;&gt;"已完成",D11&lt;&gt;"",E11&lt;&gt;"",E11&lt;TODAY()),"⚠️延期","")</f>
        <v/>
      </c>
      <c r="H11" s="17" t="n"/>
    </row>
    <row r="12">
      <c r="A12" s="16" t="n"/>
      <c r="B12" s="16" t="n"/>
      <c r="C12" s="17" t="n"/>
      <c r="D12" s="16" t="n"/>
      <c r="E12" s="16" t="n"/>
      <c r="F12" s="16" t="n"/>
      <c r="G12" s="18">
        <f>IF(AND(D12&lt;&gt;"已完成",D12&lt;&gt;"",E12&lt;&gt;"",E12&lt;TODAY()),"⚠️延期","")</f>
        <v/>
      </c>
      <c r="H12" s="17" t="n"/>
    </row>
    <row r="13">
      <c r="A13" s="16" t="n"/>
      <c r="B13" s="16" t="n"/>
      <c r="C13" s="17" t="n"/>
      <c r="D13" s="16" t="n"/>
      <c r="E13" s="16" t="n"/>
      <c r="F13" s="16" t="n"/>
      <c r="G13" s="18">
        <f>IF(AND(D13&lt;&gt;"已完成",D13&lt;&gt;"",E13&lt;&gt;"",E13&lt;TODAY()),"⚠️延期","")</f>
        <v/>
      </c>
      <c r="H13" s="17" t="n"/>
    </row>
    <row r="14">
      <c r="A14" s="16" t="n"/>
      <c r="B14" s="16" t="n"/>
      <c r="C14" s="17" t="n"/>
      <c r="D14" s="16" t="n"/>
      <c r="E14" s="16" t="n"/>
      <c r="F14" s="16" t="n"/>
      <c r="G14" s="18">
        <f>IF(AND(D14&lt;&gt;"已完成",D14&lt;&gt;"",E14&lt;&gt;"",E14&lt;TODAY()),"⚠️延期","")</f>
        <v/>
      </c>
      <c r="H14" s="17" t="n"/>
    </row>
    <row r="15">
      <c r="A15" s="16" t="n"/>
      <c r="B15" s="16" t="n"/>
      <c r="C15" s="17" t="n"/>
      <c r="D15" s="16" t="n"/>
      <c r="E15" s="16" t="n"/>
      <c r="F15" s="16" t="n"/>
      <c r="G15" s="18">
        <f>IF(AND(D15&lt;&gt;"已完成",D15&lt;&gt;"",E15&lt;&gt;"",E15&lt;TODAY()),"⚠️延期","")</f>
        <v/>
      </c>
      <c r="H15" s="17" t="n"/>
    </row>
    <row r="16">
      <c r="A16" s="16" t="n"/>
      <c r="B16" s="16" t="n"/>
      <c r="C16" s="17" t="n"/>
      <c r="D16" s="16" t="n"/>
      <c r="E16" s="16" t="n"/>
      <c r="F16" s="16" t="n"/>
      <c r="G16" s="18">
        <f>IF(AND(D16&lt;&gt;"已完成",D16&lt;&gt;"",E16&lt;&gt;"",E16&lt;TODAY()),"⚠️延期","")</f>
        <v/>
      </c>
      <c r="H16" s="17" t="n"/>
    </row>
    <row r="17">
      <c r="A17" s="16" t="n"/>
      <c r="B17" s="16" t="n"/>
      <c r="C17" s="17" t="n"/>
      <c r="D17" s="16" t="n"/>
      <c r="E17" s="16" t="n"/>
      <c r="F17" s="16" t="n"/>
      <c r="G17" s="18">
        <f>IF(AND(D17&lt;&gt;"已完成",D17&lt;&gt;"",E17&lt;&gt;"",E17&lt;TODAY()),"⚠️延期","")</f>
        <v/>
      </c>
      <c r="H17" s="17" t="n"/>
    </row>
    <row r="18">
      <c r="A18" s="16" t="n"/>
      <c r="B18" s="16" t="n"/>
      <c r="C18" s="17" t="n"/>
      <c r="D18" s="16" t="n"/>
      <c r="E18" s="16" t="n"/>
      <c r="F18" s="16" t="n"/>
      <c r="G18" s="18">
        <f>IF(AND(D18&lt;&gt;"已完成",D18&lt;&gt;"",E18&lt;&gt;"",E18&lt;TODAY()),"⚠️延期","")</f>
        <v/>
      </c>
      <c r="H18" s="17" t="n"/>
    </row>
    <row r="19">
      <c r="A19" s="16" t="n"/>
      <c r="B19" s="16" t="n"/>
      <c r="C19" s="17" t="n"/>
      <c r="D19" s="16" t="n"/>
      <c r="E19" s="16" t="n"/>
      <c r="F19" s="16" t="n"/>
      <c r="G19" s="18">
        <f>IF(AND(D19&lt;&gt;"已完成",D19&lt;&gt;"",E19&lt;&gt;"",E19&lt;TODAY()),"⚠️延期","")</f>
        <v/>
      </c>
      <c r="H19" s="17" t="n"/>
    </row>
    <row r="20">
      <c r="A20" s="16" t="n"/>
      <c r="B20" s="16" t="n"/>
      <c r="C20" s="17" t="n"/>
      <c r="D20" s="16" t="n"/>
      <c r="E20" s="16" t="n"/>
      <c r="F20" s="16" t="n"/>
      <c r="G20" s="18">
        <f>IF(AND(D20&lt;&gt;"已完成",D20&lt;&gt;"",E20&lt;&gt;"",E20&lt;TODAY()),"⚠️延期","")</f>
        <v/>
      </c>
      <c r="H20" s="17" t="n"/>
    </row>
    <row r="21">
      <c r="A21" s="16" t="n"/>
      <c r="B21" s="16" t="n"/>
      <c r="C21" s="17" t="n"/>
      <c r="D21" s="16" t="n"/>
      <c r="E21" s="16" t="n"/>
      <c r="F21" s="16" t="n"/>
      <c r="G21" s="18">
        <f>IF(AND(D21&lt;&gt;"已完成",D21&lt;&gt;"",E21&lt;&gt;"",E21&lt;TODAY()),"⚠️延期","")</f>
        <v/>
      </c>
      <c r="H21" s="17" t="n"/>
    </row>
    <row r="22">
      <c r="A22" s="16" t="n"/>
      <c r="B22" s="16" t="n"/>
      <c r="C22" s="17" t="n"/>
      <c r="D22" s="16" t="n"/>
      <c r="E22" s="16" t="n"/>
      <c r="F22" s="16" t="n"/>
      <c r="G22" s="18">
        <f>IF(AND(D22&lt;&gt;"已完成",D22&lt;&gt;"",E22&lt;&gt;"",E22&lt;TODAY()),"⚠️延期","")</f>
        <v/>
      </c>
      <c r="H22" s="17" t="n"/>
    </row>
    <row r="23">
      <c r="A23" s="16" t="n"/>
      <c r="B23" s="16" t="n"/>
      <c r="C23" s="17" t="n"/>
      <c r="D23" s="16" t="n"/>
      <c r="E23" s="16" t="n"/>
      <c r="F23" s="16" t="n"/>
      <c r="G23" s="18">
        <f>IF(AND(D23&lt;&gt;"已完成",D23&lt;&gt;"",E23&lt;&gt;"",E23&lt;TODAY()),"⚠️延期","")</f>
        <v/>
      </c>
      <c r="H23" s="17" t="n"/>
    </row>
    <row r="24">
      <c r="A24" s="16" t="n"/>
      <c r="B24" s="16" t="n"/>
      <c r="C24" s="17" t="n"/>
      <c r="D24" s="16" t="n"/>
      <c r="E24" s="16" t="n"/>
      <c r="F24" s="16" t="n"/>
      <c r="G24" s="18">
        <f>IF(AND(D24&lt;&gt;"已完成",D24&lt;&gt;"",E24&lt;&gt;"",E24&lt;TODAY()),"⚠️延期","")</f>
        <v/>
      </c>
      <c r="H24" s="17" t="n"/>
    </row>
    <row r="25">
      <c r="A25" s="16" t="n"/>
      <c r="B25" s="16" t="n"/>
      <c r="C25" s="17" t="n"/>
      <c r="D25" s="16" t="n"/>
      <c r="E25" s="16" t="n"/>
      <c r="F25" s="16" t="n"/>
      <c r="G25" s="18">
        <f>IF(AND(D25&lt;&gt;"已完成",D25&lt;&gt;"",E25&lt;&gt;"",E25&lt;TODAY()),"⚠️延期","")</f>
        <v/>
      </c>
      <c r="H25" s="17" t="n"/>
    </row>
    <row r="26">
      <c r="A26" s="16" t="n"/>
      <c r="B26" s="16" t="n"/>
      <c r="C26" s="17" t="n"/>
      <c r="D26" s="16" t="n"/>
      <c r="E26" s="16" t="n"/>
      <c r="F26" s="16" t="n"/>
      <c r="G26" s="18">
        <f>IF(AND(D26&lt;&gt;"已完成",D26&lt;&gt;"",E26&lt;&gt;"",E26&lt;TODAY()),"⚠️延期","")</f>
        <v/>
      </c>
      <c r="H26" s="17" t="n"/>
    </row>
    <row r="27">
      <c r="A27" s="16" t="n"/>
      <c r="B27" s="16" t="n"/>
      <c r="C27" s="17" t="n"/>
      <c r="D27" s="16" t="n"/>
      <c r="E27" s="16" t="n"/>
      <c r="F27" s="16" t="n"/>
      <c r="G27" s="18">
        <f>IF(AND(D27&lt;&gt;"已完成",D27&lt;&gt;"",E27&lt;&gt;"",E27&lt;TODAY()),"⚠️延期","")</f>
        <v/>
      </c>
      <c r="H27" s="17" t="n"/>
    </row>
    <row r="28">
      <c r="A28" s="16" t="n"/>
      <c r="B28" s="16" t="n"/>
      <c r="C28" s="17" t="n"/>
      <c r="D28" s="16" t="n"/>
      <c r="E28" s="16" t="n"/>
      <c r="F28" s="16" t="n"/>
      <c r="G28" s="18">
        <f>IF(AND(D28&lt;&gt;"已完成",D28&lt;&gt;"",E28&lt;&gt;"",E28&lt;TODAY()),"⚠️延期","")</f>
        <v/>
      </c>
      <c r="H28" s="17" t="n"/>
    </row>
    <row r="29">
      <c r="A29" s="16" t="n"/>
      <c r="B29" s="16" t="n"/>
      <c r="C29" s="17" t="n"/>
      <c r="D29" s="16" t="n"/>
      <c r="E29" s="16" t="n"/>
      <c r="F29" s="16" t="n"/>
      <c r="G29" s="18">
        <f>IF(AND(D29&lt;&gt;"已完成",D29&lt;&gt;"",E29&lt;&gt;"",E29&lt;TODAY()),"⚠️延期","")</f>
        <v/>
      </c>
      <c r="H29" s="17" t="n"/>
    </row>
    <row r="30">
      <c r="A30" s="16" t="n"/>
      <c r="B30" s="16" t="n"/>
      <c r="C30" s="17" t="n"/>
      <c r="D30" s="16" t="n"/>
      <c r="E30" s="16" t="n"/>
      <c r="F30" s="16" t="n"/>
      <c r="G30" s="18">
        <f>IF(AND(D30&lt;&gt;"已完成",D30&lt;&gt;"",E30&lt;&gt;"",E30&lt;TODAY()),"⚠️延期","")</f>
        <v/>
      </c>
      <c r="H30" s="17" t="n"/>
    </row>
    <row r="31">
      <c r="A31" s="16" t="n"/>
      <c r="B31" s="16" t="n"/>
      <c r="C31" s="17" t="n"/>
      <c r="D31" s="16" t="n"/>
      <c r="E31" s="16" t="n"/>
      <c r="F31" s="16" t="n"/>
      <c r="G31" s="18">
        <f>IF(AND(D31&lt;&gt;"已完成",D31&lt;&gt;"",E31&lt;&gt;"",E31&lt;TODAY()),"⚠️延期","")</f>
        <v/>
      </c>
      <c r="H31" s="17" t="n"/>
    </row>
    <row r="32">
      <c r="A32" s="16" t="n"/>
      <c r="B32" s="16" t="n"/>
      <c r="C32" s="17" t="n"/>
      <c r="D32" s="16" t="n"/>
      <c r="E32" s="16" t="n"/>
      <c r="F32" s="16" t="n"/>
      <c r="G32" s="18">
        <f>IF(AND(D32&lt;&gt;"已完成",D32&lt;&gt;"",E32&lt;&gt;"",E32&lt;TODAY()),"⚠️延期","")</f>
        <v/>
      </c>
      <c r="H32" s="17" t="n"/>
    </row>
    <row r="33">
      <c r="A33" s="16" t="n"/>
      <c r="B33" s="16" t="n"/>
      <c r="C33" s="17" t="n"/>
      <c r="D33" s="16" t="n"/>
      <c r="E33" s="16" t="n"/>
      <c r="F33" s="16" t="n"/>
      <c r="G33" s="18">
        <f>IF(AND(D33&lt;&gt;"已完成",D33&lt;&gt;"",E33&lt;&gt;"",E33&lt;TODAY()),"⚠️延期","")</f>
        <v/>
      </c>
      <c r="H33" s="17" t="n"/>
    </row>
    <row r="34">
      <c r="A34" s="16" t="n"/>
      <c r="B34" s="16" t="n"/>
      <c r="C34" s="17" t="n"/>
      <c r="D34" s="16" t="n"/>
      <c r="E34" s="16" t="n"/>
      <c r="F34" s="16" t="n"/>
      <c r="G34" s="18">
        <f>IF(AND(D34&lt;&gt;"已完成",D34&lt;&gt;"",E34&lt;&gt;"",E34&lt;TODAY()),"⚠️延期","")</f>
        <v/>
      </c>
      <c r="H34" s="17" t="n"/>
    </row>
    <row r="35">
      <c r="A35" s="16" t="n"/>
      <c r="B35" s="16" t="n"/>
      <c r="C35" s="17" t="n"/>
      <c r="D35" s="16" t="n"/>
      <c r="E35" s="16" t="n"/>
      <c r="F35" s="16" t="n"/>
      <c r="G35" s="18">
        <f>IF(AND(D35&lt;&gt;"已完成",D35&lt;&gt;"",E35&lt;&gt;"",E35&lt;TODAY()),"⚠️延期","")</f>
        <v/>
      </c>
      <c r="H35" s="17" t="n"/>
    </row>
    <row r="36">
      <c r="A36" s="16" t="n"/>
      <c r="B36" s="16" t="n"/>
      <c r="C36" s="17" t="n"/>
      <c r="D36" s="16" t="n"/>
      <c r="E36" s="16" t="n"/>
      <c r="F36" s="16" t="n"/>
      <c r="G36" s="18">
        <f>IF(AND(D36&lt;&gt;"已完成",D36&lt;&gt;"",E36&lt;&gt;"",E36&lt;TODAY()),"⚠️延期","")</f>
        <v/>
      </c>
      <c r="H36" s="17" t="n"/>
    </row>
    <row r="37">
      <c r="A37" s="16" t="n"/>
      <c r="B37" s="16" t="n"/>
      <c r="C37" s="17" t="n"/>
      <c r="D37" s="16" t="n"/>
      <c r="E37" s="16" t="n"/>
      <c r="F37" s="16" t="n"/>
      <c r="G37" s="18">
        <f>IF(AND(D37&lt;&gt;"已完成",D37&lt;&gt;"",E37&lt;&gt;"",E37&lt;TODAY()),"⚠️延期","")</f>
        <v/>
      </c>
      <c r="H37" s="17" t="n"/>
    </row>
    <row r="38">
      <c r="A38" s="16" t="n"/>
      <c r="B38" s="16" t="n"/>
      <c r="C38" s="17" t="n"/>
      <c r="D38" s="16" t="n"/>
      <c r="E38" s="16" t="n"/>
      <c r="F38" s="16" t="n"/>
      <c r="G38" s="18">
        <f>IF(AND(D38&lt;&gt;"已完成",D38&lt;&gt;"",E38&lt;&gt;"",E38&lt;TODAY()),"⚠️延期","")</f>
        <v/>
      </c>
      <c r="H38" s="17" t="n"/>
    </row>
    <row r="39">
      <c r="A39" s="16" t="n"/>
      <c r="B39" s="16" t="n"/>
      <c r="C39" s="17" t="n"/>
      <c r="D39" s="16" t="n"/>
      <c r="E39" s="16" t="n"/>
      <c r="F39" s="16" t="n"/>
      <c r="G39" s="18">
        <f>IF(AND(D39&lt;&gt;"已完成",D39&lt;&gt;"",E39&lt;&gt;"",E39&lt;TODAY()),"⚠️延期","")</f>
        <v/>
      </c>
      <c r="H39" s="17" t="n"/>
    </row>
    <row r="40">
      <c r="A40" s="16" t="n"/>
      <c r="B40" s="16" t="n"/>
      <c r="C40" s="17" t="n"/>
      <c r="D40" s="16" t="n"/>
      <c r="E40" s="16" t="n"/>
      <c r="F40" s="16" t="n"/>
      <c r="G40" s="18">
        <f>IF(AND(D40&lt;&gt;"已完成",D40&lt;&gt;"",E40&lt;&gt;"",E40&lt;TODAY()),"⚠️延期","")</f>
        <v/>
      </c>
      <c r="H40" s="17" t="n"/>
    </row>
    <row r="41">
      <c r="A41" s="16" t="n"/>
      <c r="B41" s="16" t="n"/>
      <c r="C41" s="17" t="n"/>
      <c r="D41" s="16" t="n"/>
      <c r="E41" s="16" t="n"/>
      <c r="F41" s="16" t="n"/>
      <c r="G41" s="18">
        <f>IF(AND(D41&lt;&gt;"已完成",D41&lt;&gt;"",E41&lt;&gt;"",E41&lt;TODAY()),"⚠️延期","")</f>
        <v/>
      </c>
      <c r="H41" s="17" t="n"/>
    </row>
    <row r="42">
      <c r="A42" s="16" t="n"/>
      <c r="B42" s="16" t="n"/>
      <c r="C42" s="17" t="n"/>
      <c r="D42" s="16" t="n"/>
      <c r="E42" s="16" t="n"/>
      <c r="F42" s="16" t="n"/>
      <c r="G42" s="18">
        <f>IF(AND(D42&lt;&gt;"已完成",D42&lt;&gt;"",E42&lt;&gt;"",E42&lt;TODAY()),"⚠️延期","")</f>
        <v/>
      </c>
      <c r="H42" s="17" t="n"/>
    </row>
    <row r="43">
      <c r="A43" s="16" t="n"/>
      <c r="B43" s="16" t="n"/>
      <c r="C43" s="17" t="n"/>
      <c r="D43" s="16" t="n"/>
      <c r="E43" s="16" t="n"/>
      <c r="F43" s="16" t="n"/>
      <c r="G43" s="18">
        <f>IF(AND(D43&lt;&gt;"已完成",D43&lt;&gt;"",E43&lt;&gt;"",E43&lt;TODAY()),"⚠️延期","")</f>
        <v/>
      </c>
      <c r="H43" s="17" t="n"/>
    </row>
    <row r="44">
      <c r="A44" s="16" t="n"/>
      <c r="B44" s="16" t="n"/>
      <c r="C44" s="17" t="n"/>
      <c r="D44" s="16" t="n"/>
      <c r="E44" s="16" t="n"/>
      <c r="F44" s="16" t="n"/>
      <c r="G44" s="18">
        <f>IF(AND(D44&lt;&gt;"已完成",D44&lt;&gt;"",E44&lt;&gt;"",E44&lt;TODAY()),"⚠️延期","")</f>
        <v/>
      </c>
      <c r="H44" s="17" t="n"/>
    </row>
    <row r="45">
      <c r="A45" s="16" t="n"/>
      <c r="B45" s="16" t="n"/>
      <c r="C45" s="17" t="n"/>
      <c r="D45" s="16" t="n"/>
      <c r="E45" s="16" t="n"/>
      <c r="F45" s="16" t="n"/>
      <c r="G45" s="18">
        <f>IF(AND(D45&lt;&gt;"已完成",D45&lt;&gt;"",E45&lt;&gt;"",E45&lt;TODAY()),"⚠️延期","")</f>
        <v/>
      </c>
      <c r="H45" s="17" t="n"/>
    </row>
    <row r="46">
      <c r="A46" s="16" t="n"/>
      <c r="B46" s="16" t="n"/>
      <c r="C46" s="17" t="n"/>
      <c r="D46" s="16" t="n"/>
      <c r="E46" s="16" t="n"/>
      <c r="F46" s="16" t="n"/>
      <c r="G46" s="18">
        <f>IF(AND(D46&lt;&gt;"已完成",D46&lt;&gt;"",E46&lt;&gt;"",E46&lt;TODAY()),"⚠️延期","")</f>
        <v/>
      </c>
      <c r="H46" s="17" t="n"/>
    </row>
    <row r="47">
      <c r="A47" s="16" t="n"/>
      <c r="B47" s="16" t="n"/>
      <c r="C47" s="17" t="n"/>
      <c r="D47" s="16" t="n"/>
      <c r="E47" s="16" t="n"/>
      <c r="F47" s="16" t="n"/>
      <c r="G47" s="18">
        <f>IF(AND(D47&lt;&gt;"已完成",D47&lt;&gt;"",E47&lt;&gt;"",E47&lt;TODAY()),"⚠️延期","")</f>
        <v/>
      </c>
      <c r="H47" s="17" t="n"/>
    </row>
    <row r="48">
      <c r="A48" s="16" t="n"/>
      <c r="B48" s="16" t="n"/>
      <c r="C48" s="17" t="n"/>
      <c r="D48" s="16" t="n"/>
      <c r="E48" s="16" t="n"/>
      <c r="F48" s="16" t="n"/>
      <c r="G48" s="18">
        <f>IF(AND(D48&lt;&gt;"已完成",D48&lt;&gt;"",E48&lt;&gt;"",E48&lt;TODAY()),"⚠️延期","")</f>
        <v/>
      </c>
      <c r="H48" s="17" t="n"/>
    </row>
    <row r="49">
      <c r="A49" s="16" t="n"/>
      <c r="B49" s="16" t="n"/>
      <c r="C49" s="17" t="n"/>
      <c r="D49" s="16" t="n"/>
      <c r="E49" s="16" t="n"/>
      <c r="F49" s="16" t="n"/>
      <c r="G49" s="18">
        <f>IF(AND(D49&lt;&gt;"已完成",D49&lt;&gt;"",E49&lt;&gt;"",E49&lt;TODAY()),"⚠️延期","")</f>
        <v/>
      </c>
      <c r="H49" s="17" t="n"/>
    </row>
    <row r="50">
      <c r="A50" s="16" t="n"/>
      <c r="B50" s="16" t="n"/>
      <c r="C50" s="17" t="n"/>
      <c r="D50" s="16" t="n"/>
      <c r="E50" s="16" t="n"/>
      <c r="F50" s="16" t="n"/>
      <c r="G50" s="18">
        <f>IF(AND(D50&lt;&gt;"已完成",D50&lt;&gt;"",E50&lt;&gt;"",E50&lt;TODAY()),"⚠️延期","")</f>
        <v/>
      </c>
      <c r="H50" s="17" t="n"/>
    </row>
    <row r="51">
      <c r="A51" s="16" t="n"/>
      <c r="B51" s="16" t="n"/>
      <c r="C51" s="17" t="n"/>
      <c r="D51" s="16" t="n"/>
      <c r="E51" s="16" t="n"/>
      <c r="F51" s="16" t="n"/>
      <c r="G51" s="18">
        <f>IF(AND(D51&lt;&gt;"已完成",D51&lt;&gt;"",E51&lt;&gt;"",E51&lt;TODAY()),"⚠️延期","")</f>
        <v/>
      </c>
      <c r="H51" s="17" t="n"/>
    </row>
    <row r="52">
      <c r="A52" s="16" t="n"/>
      <c r="B52" s="16" t="n"/>
      <c r="C52" s="17" t="n"/>
      <c r="D52" s="16" t="n"/>
      <c r="E52" s="16" t="n"/>
      <c r="F52" s="16" t="n"/>
      <c r="G52" s="18">
        <f>IF(AND(D52&lt;&gt;"已完成",D52&lt;&gt;"",E52&lt;&gt;"",E52&lt;TODAY()),"⚠️延期","")</f>
        <v/>
      </c>
      <c r="H52" s="17" t="n"/>
    </row>
    <row r="53">
      <c r="A53" s="16" t="n"/>
      <c r="B53" s="16" t="n"/>
      <c r="C53" s="17" t="n"/>
      <c r="D53" s="16" t="n"/>
      <c r="E53" s="16" t="n"/>
      <c r="F53" s="16" t="n"/>
      <c r="G53" s="18">
        <f>IF(AND(D53&lt;&gt;"已完成",D53&lt;&gt;"",E53&lt;&gt;"",E53&lt;TODAY()),"⚠️延期","")</f>
        <v/>
      </c>
      <c r="H53" s="17" t="n"/>
    </row>
    <row r="54">
      <c r="A54" s="16" t="n"/>
      <c r="B54" s="16" t="n"/>
      <c r="C54" s="17" t="n"/>
      <c r="D54" s="16" t="n"/>
      <c r="E54" s="16" t="n"/>
      <c r="F54" s="16" t="n"/>
      <c r="G54" s="18">
        <f>IF(AND(D54&lt;&gt;"已完成",D54&lt;&gt;"",E54&lt;&gt;"",E54&lt;TODAY()),"⚠️延期","")</f>
        <v/>
      </c>
      <c r="H54" s="17" t="n"/>
    </row>
    <row r="55">
      <c r="A55" s="16" t="n"/>
      <c r="B55" s="16" t="n"/>
      <c r="C55" s="17" t="n"/>
      <c r="D55" s="16" t="n"/>
      <c r="E55" s="16" t="n"/>
      <c r="F55" s="16" t="n"/>
      <c r="G55" s="18">
        <f>IF(AND(D55&lt;&gt;"已完成",D55&lt;&gt;"",E55&lt;&gt;"",E55&lt;TODAY()),"⚠️延期","")</f>
        <v/>
      </c>
      <c r="H55" s="17" t="n"/>
    </row>
    <row r="56">
      <c r="A56" s="16" t="n"/>
      <c r="B56" s="16" t="n"/>
      <c r="C56" s="17" t="n"/>
      <c r="D56" s="16" t="n"/>
      <c r="E56" s="16" t="n"/>
      <c r="F56" s="16" t="n"/>
      <c r="G56" s="18">
        <f>IF(AND(D56&lt;&gt;"已完成",D56&lt;&gt;"",E56&lt;&gt;"",E56&lt;TODAY()),"⚠️延期","")</f>
        <v/>
      </c>
      <c r="H56" s="17" t="n"/>
    </row>
    <row r="57">
      <c r="A57" s="16" t="n"/>
      <c r="B57" s="16" t="n"/>
      <c r="C57" s="17" t="n"/>
      <c r="D57" s="16" t="n"/>
      <c r="E57" s="16" t="n"/>
      <c r="F57" s="16" t="n"/>
      <c r="G57" s="18">
        <f>IF(AND(D57&lt;&gt;"已完成",D57&lt;&gt;"",E57&lt;&gt;"",E57&lt;TODAY()),"⚠️延期","")</f>
        <v/>
      </c>
      <c r="H57" s="17" t="n"/>
    </row>
    <row r="58">
      <c r="A58" s="16" t="n"/>
      <c r="B58" s="16" t="n"/>
      <c r="C58" s="17" t="n"/>
      <c r="D58" s="16" t="n"/>
      <c r="E58" s="16" t="n"/>
      <c r="F58" s="16" t="n"/>
      <c r="G58" s="18">
        <f>IF(AND(D58&lt;&gt;"已完成",D58&lt;&gt;"",E58&lt;&gt;"",E58&lt;TODAY()),"⚠️延期","")</f>
        <v/>
      </c>
      <c r="H58" s="17" t="n"/>
    </row>
    <row r="59">
      <c r="A59" s="16" t="n"/>
      <c r="B59" s="16" t="n"/>
      <c r="C59" s="17" t="n"/>
      <c r="D59" s="16" t="n"/>
      <c r="E59" s="16" t="n"/>
      <c r="F59" s="16" t="n"/>
      <c r="G59" s="18">
        <f>IF(AND(D59&lt;&gt;"已完成",D59&lt;&gt;"",E59&lt;&gt;"",E59&lt;TODAY()),"⚠️延期","")</f>
        <v/>
      </c>
      <c r="H59" s="17" t="n"/>
    </row>
    <row r="60">
      <c r="A60" s="16" t="n"/>
      <c r="B60" s="16" t="n"/>
      <c r="C60" s="17" t="n"/>
      <c r="D60" s="16" t="n"/>
      <c r="E60" s="16" t="n"/>
      <c r="F60" s="16" t="n"/>
      <c r="G60" s="18">
        <f>IF(AND(D60&lt;&gt;"已完成",D60&lt;&gt;"",E60&lt;&gt;"",E60&lt;TODAY()),"⚠️延期","")</f>
        <v/>
      </c>
      <c r="H60" s="17" t="n"/>
    </row>
    <row r="61">
      <c r="A61" s="16" t="n"/>
      <c r="B61" s="16" t="n"/>
      <c r="C61" s="17" t="n"/>
      <c r="D61" s="16" t="n"/>
      <c r="E61" s="16" t="n"/>
      <c r="F61" s="16" t="n"/>
      <c r="G61" s="18">
        <f>IF(AND(D61&lt;&gt;"已完成",D61&lt;&gt;"",E61&lt;&gt;"",E61&lt;TODAY()),"⚠️延期","")</f>
        <v/>
      </c>
      <c r="H61" s="17" t="n"/>
    </row>
    <row r="62">
      <c r="A62" s="16" t="n"/>
      <c r="B62" s="16" t="n"/>
      <c r="C62" s="17" t="n"/>
      <c r="D62" s="16" t="n"/>
      <c r="E62" s="16" t="n"/>
      <c r="F62" s="16" t="n"/>
      <c r="G62" s="18">
        <f>IF(AND(D62&lt;&gt;"已完成",D62&lt;&gt;"",E62&lt;&gt;"",E62&lt;TODAY()),"⚠️延期","")</f>
        <v/>
      </c>
      <c r="H62" s="17" t="n"/>
    </row>
    <row r="63">
      <c r="A63" s="16" t="n"/>
      <c r="B63" s="16" t="n"/>
      <c r="C63" s="17" t="n"/>
      <c r="D63" s="16" t="n"/>
      <c r="E63" s="16" t="n"/>
      <c r="F63" s="16" t="n"/>
      <c r="G63" s="18">
        <f>IF(AND(D63&lt;&gt;"已完成",D63&lt;&gt;"",E63&lt;&gt;"",E63&lt;TODAY()),"⚠️延期","")</f>
        <v/>
      </c>
      <c r="H63" s="17" t="n"/>
    </row>
    <row r="64">
      <c r="A64" s="16" t="n"/>
      <c r="B64" s="16" t="n"/>
      <c r="C64" s="17" t="n"/>
      <c r="D64" s="16" t="n"/>
      <c r="E64" s="16" t="n"/>
      <c r="F64" s="16" t="n"/>
      <c r="G64" s="18">
        <f>IF(AND(D64&lt;&gt;"已完成",D64&lt;&gt;"",E64&lt;&gt;"",E64&lt;TODAY()),"⚠️延期","")</f>
        <v/>
      </c>
      <c r="H64" s="17" t="n"/>
    </row>
    <row r="65">
      <c r="A65" s="16" t="n"/>
      <c r="B65" s="16" t="n"/>
      <c r="C65" s="17" t="n"/>
      <c r="D65" s="16" t="n"/>
      <c r="E65" s="16" t="n"/>
      <c r="F65" s="16" t="n"/>
      <c r="G65" s="18">
        <f>IF(AND(D65&lt;&gt;"已完成",D65&lt;&gt;"",E65&lt;&gt;"",E65&lt;TODAY()),"⚠️延期","")</f>
        <v/>
      </c>
      <c r="H65" s="17" t="n"/>
    </row>
    <row r="66">
      <c r="A66" s="16" t="n"/>
      <c r="B66" s="16" t="n"/>
      <c r="C66" s="17" t="n"/>
      <c r="D66" s="16" t="n"/>
      <c r="E66" s="16" t="n"/>
      <c r="F66" s="16" t="n"/>
      <c r="G66" s="18">
        <f>IF(AND(D66&lt;&gt;"已完成",D66&lt;&gt;"",E66&lt;&gt;"",E66&lt;TODAY()),"⚠️延期","")</f>
        <v/>
      </c>
      <c r="H66" s="17" t="n"/>
    </row>
    <row r="67">
      <c r="A67" s="16" t="n"/>
      <c r="B67" s="16" t="n"/>
      <c r="C67" s="17" t="n"/>
      <c r="D67" s="16" t="n"/>
      <c r="E67" s="16" t="n"/>
      <c r="F67" s="16" t="n"/>
      <c r="G67" s="18">
        <f>IF(AND(D67&lt;&gt;"已完成",D67&lt;&gt;"",E67&lt;&gt;"",E67&lt;TODAY()),"⚠️延期","")</f>
        <v/>
      </c>
      <c r="H67" s="17" t="n"/>
    </row>
    <row r="68">
      <c r="A68" s="16" t="n"/>
      <c r="B68" s="16" t="n"/>
      <c r="C68" s="17" t="n"/>
      <c r="D68" s="16" t="n"/>
      <c r="E68" s="16" t="n"/>
      <c r="F68" s="16" t="n"/>
      <c r="G68" s="18">
        <f>IF(AND(D68&lt;&gt;"已完成",D68&lt;&gt;"",E68&lt;&gt;"",E68&lt;TODAY()),"⚠️延期","")</f>
        <v/>
      </c>
      <c r="H68" s="17" t="n"/>
    </row>
    <row r="69">
      <c r="A69" s="16" t="n"/>
      <c r="B69" s="16" t="n"/>
      <c r="C69" s="17" t="n"/>
      <c r="D69" s="16" t="n"/>
      <c r="E69" s="16" t="n"/>
      <c r="F69" s="16" t="n"/>
      <c r="G69" s="18">
        <f>IF(AND(D69&lt;&gt;"已完成",D69&lt;&gt;"",E69&lt;&gt;"",E69&lt;TODAY()),"⚠️延期","")</f>
        <v/>
      </c>
      <c r="H69" s="17" t="n"/>
    </row>
    <row r="70">
      <c r="A70" s="16" t="n"/>
      <c r="B70" s="16" t="n"/>
      <c r="C70" s="17" t="n"/>
      <c r="D70" s="16" t="n"/>
      <c r="E70" s="16" t="n"/>
      <c r="F70" s="16" t="n"/>
      <c r="G70" s="18">
        <f>IF(AND(D70&lt;&gt;"已完成",D70&lt;&gt;"",E70&lt;&gt;"",E70&lt;TODAY()),"⚠️延期","")</f>
        <v/>
      </c>
      <c r="H70" s="17" t="n"/>
    </row>
    <row r="71">
      <c r="A71" s="16" t="n"/>
      <c r="B71" s="16" t="n"/>
      <c r="C71" s="17" t="n"/>
      <c r="D71" s="16" t="n"/>
      <c r="E71" s="16" t="n"/>
      <c r="F71" s="16" t="n"/>
      <c r="G71" s="18">
        <f>IF(AND(D71&lt;&gt;"已完成",D71&lt;&gt;"",E71&lt;&gt;"",E71&lt;TODAY()),"⚠️延期","")</f>
        <v/>
      </c>
      <c r="H71" s="17" t="n"/>
    </row>
    <row r="72">
      <c r="A72" s="16" t="n"/>
      <c r="B72" s="16" t="n"/>
      <c r="C72" s="17" t="n"/>
      <c r="D72" s="16" t="n"/>
      <c r="E72" s="16" t="n"/>
      <c r="F72" s="16" t="n"/>
      <c r="G72" s="18">
        <f>IF(AND(D72&lt;&gt;"已完成",D72&lt;&gt;"",E72&lt;&gt;"",E72&lt;TODAY()),"⚠️延期","")</f>
        <v/>
      </c>
      <c r="H72" s="17" t="n"/>
    </row>
    <row r="73">
      <c r="A73" s="16" t="n"/>
      <c r="B73" s="16" t="n"/>
      <c r="C73" s="17" t="n"/>
      <c r="D73" s="16" t="n"/>
      <c r="E73" s="16" t="n"/>
      <c r="F73" s="16" t="n"/>
      <c r="G73" s="18">
        <f>IF(AND(D73&lt;&gt;"已完成",D73&lt;&gt;"",E73&lt;&gt;"",E73&lt;TODAY()),"⚠️延期","")</f>
        <v/>
      </c>
      <c r="H73" s="17" t="n"/>
    </row>
    <row r="74">
      <c r="A74" s="16" t="n"/>
      <c r="B74" s="16" t="n"/>
      <c r="C74" s="17" t="n"/>
      <c r="D74" s="16" t="n"/>
      <c r="E74" s="16" t="n"/>
      <c r="F74" s="16" t="n"/>
      <c r="G74" s="18">
        <f>IF(AND(D74&lt;&gt;"已完成",D74&lt;&gt;"",E74&lt;&gt;"",E74&lt;TODAY()),"⚠️延期","")</f>
        <v/>
      </c>
      <c r="H74" s="17" t="n"/>
    </row>
    <row r="75">
      <c r="A75" s="16" t="n"/>
      <c r="B75" s="16" t="n"/>
      <c r="C75" s="17" t="n"/>
      <c r="D75" s="16" t="n"/>
      <c r="E75" s="16" t="n"/>
      <c r="F75" s="16" t="n"/>
      <c r="G75" s="18">
        <f>IF(AND(D75&lt;&gt;"已完成",D75&lt;&gt;"",E75&lt;&gt;"",E75&lt;TODAY()),"⚠️延期","")</f>
        <v/>
      </c>
      <c r="H75" s="17" t="n"/>
    </row>
    <row r="76">
      <c r="A76" s="16" t="n"/>
      <c r="B76" s="16" t="n"/>
      <c r="C76" s="17" t="n"/>
      <c r="D76" s="16" t="n"/>
      <c r="E76" s="16" t="n"/>
      <c r="F76" s="16" t="n"/>
      <c r="G76" s="18">
        <f>IF(AND(D76&lt;&gt;"已完成",D76&lt;&gt;"",E76&lt;&gt;"",E76&lt;TODAY()),"⚠️延期","")</f>
        <v/>
      </c>
      <c r="H76" s="17" t="n"/>
    </row>
    <row r="77">
      <c r="A77" s="16" t="n"/>
      <c r="B77" s="16" t="n"/>
      <c r="C77" s="17" t="n"/>
      <c r="D77" s="16" t="n"/>
      <c r="E77" s="16" t="n"/>
      <c r="F77" s="16" t="n"/>
      <c r="G77" s="18">
        <f>IF(AND(D77&lt;&gt;"已完成",D77&lt;&gt;"",E77&lt;&gt;"",E77&lt;TODAY()),"⚠️延期","")</f>
        <v/>
      </c>
      <c r="H77" s="17" t="n"/>
    </row>
    <row r="78">
      <c r="A78" s="16" t="n"/>
      <c r="B78" s="16" t="n"/>
      <c r="C78" s="17" t="n"/>
      <c r="D78" s="16" t="n"/>
      <c r="E78" s="16" t="n"/>
      <c r="F78" s="16" t="n"/>
      <c r="G78" s="18">
        <f>IF(AND(D78&lt;&gt;"已完成",D78&lt;&gt;"",E78&lt;&gt;"",E78&lt;TODAY()),"⚠️延期","")</f>
        <v/>
      </c>
      <c r="H78" s="17" t="n"/>
    </row>
    <row r="79">
      <c r="A79" s="16" t="n"/>
      <c r="B79" s="16" t="n"/>
      <c r="C79" s="17" t="n"/>
      <c r="D79" s="16" t="n"/>
      <c r="E79" s="16" t="n"/>
      <c r="F79" s="16" t="n"/>
      <c r="G79" s="18">
        <f>IF(AND(D79&lt;&gt;"已完成",D79&lt;&gt;"",E79&lt;&gt;"",E79&lt;TODAY()),"⚠️延期","")</f>
        <v/>
      </c>
      <c r="H79" s="17" t="n"/>
    </row>
    <row r="80">
      <c r="A80" s="16" t="n"/>
      <c r="B80" s="16" t="n"/>
      <c r="C80" s="17" t="n"/>
      <c r="D80" s="16" t="n"/>
      <c r="E80" s="16" t="n"/>
      <c r="F80" s="16" t="n"/>
      <c r="G80" s="18">
        <f>IF(AND(D80&lt;&gt;"已完成",D80&lt;&gt;"",E80&lt;&gt;"",E80&lt;TODAY()),"⚠️延期","")</f>
        <v/>
      </c>
      <c r="H80" s="17" t="n"/>
    </row>
    <row r="81">
      <c r="A81" s="16" t="n"/>
      <c r="B81" s="16" t="n"/>
      <c r="C81" s="17" t="n"/>
      <c r="D81" s="16" t="n"/>
      <c r="E81" s="16" t="n"/>
      <c r="F81" s="16" t="n"/>
      <c r="G81" s="18">
        <f>IF(AND(D81&lt;&gt;"已完成",D81&lt;&gt;"",E81&lt;&gt;"",E81&lt;TODAY()),"⚠️延期","")</f>
        <v/>
      </c>
      <c r="H81" s="17" t="n"/>
    </row>
    <row r="82">
      <c r="A82" s="16" t="n"/>
      <c r="B82" s="16" t="n"/>
      <c r="C82" s="17" t="n"/>
      <c r="D82" s="16" t="n"/>
      <c r="E82" s="16" t="n"/>
      <c r="F82" s="16" t="n"/>
      <c r="G82" s="18">
        <f>IF(AND(D82&lt;&gt;"已完成",D82&lt;&gt;"",E82&lt;&gt;"",E82&lt;TODAY()),"⚠️延期","")</f>
        <v/>
      </c>
      <c r="H82" s="17" t="n"/>
    </row>
    <row r="83">
      <c r="A83" s="16" t="n"/>
      <c r="B83" s="16" t="n"/>
      <c r="C83" s="17" t="n"/>
      <c r="D83" s="16" t="n"/>
      <c r="E83" s="16" t="n"/>
      <c r="F83" s="16" t="n"/>
      <c r="G83" s="18">
        <f>IF(AND(D83&lt;&gt;"已完成",D83&lt;&gt;"",E83&lt;&gt;"",E83&lt;TODAY()),"⚠️延期","")</f>
        <v/>
      </c>
      <c r="H83" s="17" t="n"/>
    </row>
    <row r="84">
      <c r="A84" s="16" t="n"/>
      <c r="B84" s="16" t="n"/>
      <c r="C84" s="17" t="n"/>
      <c r="D84" s="16" t="n"/>
      <c r="E84" s="16" t="n"/>
      <c r="F84" s="16" t="n"/>
      <c r="G84" s="18">
        <f>IF(AND(D84&lt;&gt;"已完成",D84&lt;&gt;"",E84&lt;&gt;"",E84&lt;TODAY()),"⚠️延期","")</f>
        <v/>
      </c>
      <c r="H84" s="17" t="n"/>
    </row>
    <row r="85">
      <c r="A85" s="16" t="n"/>
      <c r="B85" s="16" t="n"/>
      <c r="C85" s="17" t="n"/>
      <c r="D85" s="16" t="n"/>
      <c r="E85" s="16" t="n"/>
      <c r="F85" s="16" t="n"/>
      <c r="G85" s="18">
        <f>IF(AND(D85&lt;&gt;"已完成",D85&lt;&gt;"",E85&lt;&gt;"",E85&lt;TODAY()),"⚠️延期","")</f>
        <v/>
      </c>
      <c r="H85" s="17" t="n"/>
    </row>
    <row r="86">
      <c r="A86" s="16" t="n"/>
      <c r="B86" s="16" t="n"/>
      <c r="C86" s="17" t="n"/>
      <c r="D86" s="16" t="n"/>
      <c r="E86" s="16" t="n"/>
      <c r="F86" s="16" t="n"/>
      <c r="G86" s="18">
        <f>IF(AND(D86&lt;&gt;"已完成",D86&lt;&gt;"",E86&lt;&gt;"",E86&lt;TODAY()),"⚠️延期","")</f>
        <v/>
      </c>
      <c r="H86" s="17" t="n"/>
    </row>
    <row r="87">
      <c r="A87" s="16" t="n"/>
      <c r="B87" s="16" t="n"/>
      <c r="C87" s="17" t="n"/>
      <c r="D87" s="16" t="n"/>
      <c r="E87" s="16" t="n"/>
      <c r="F87" s="16" t="n"/>
      <c r="G87" s="18">
        <f>IF(AND(D87&lt;&gt;"已完成",D87&lt;&gt;"",E87&lt;&gt;"",E87&lt;TODAY()),"⚠️延期","")</f>
        <v/>
      </c>
      <c r="H87" s="17" t="n"/>
    </row>
    <row r="88">
      <c r="A88" s="16" t="n"/>
      <c r="B88" s="16" t="n"/>
      <c r="C88" s="17" t="n"/>
      <c r="D88" s="16" t="n"/>
      <c r="E88" s="16" t="n"/>
      <c r="F88" s="16" t="n"/>
      <c r="G88" s="18">
        <f>IF(AND(D88&lt;&gt;"已完成",D88&lt;&gt;"",E88&lt;&gt;"",E88&lt;TODAY()),"⚠️延期","")</f>
        <v/>
      </c>
      <c r="H88" s="17" t="n"/>
    </row>
    <row r="89">
      <c r="A89" s="16" t="n"/>
      <c r="B89" s="16" t="n"/>
      <c r="C89" s="17" t="n"/>
      <c r="D89" s="16" t="n"/>
      <c r="E89" s="16" t="n"/>
      <c r="F89" s="16" t="n"/>
      <c r="G89" s="18">
        <f>IF(AND(D89&lt;&gt;"已完成",D89&lt;&gt;"",E89&lt;&gt;"",E89&lt;TODAY()),"⚠️延期","")</f>
        <v/>
      </c>
      <c r="H89" s="17" t="n"/>
    </row>
    <row r="90">
      <c r="A90" s="16" t="n"/>
      <c r="B90" s="16" t="n"/>
      <c r="C90" s="17" t="n"/>
      <c r="D90" s="16" t="n"/>
      <c r="E90" s="16" t="n"/>
      <c r="F90" s="16" t="n"/>
      <c r="G90" s="18">
        <f>IF(AND(D90&lt;&gt;"已完成",D90&lt;&gt;"",E90&lt;&gt;"",E90&lt;TODAY()),"⚠️延期","")</f>
        <v/>
      </c>
      <c r="H90" s="17" t="n"/>
    </row>
    <row r="91">
      <c r="A91" s="16" t="n"/>
      <c r="B91" s="16" t="n"/>
      <c r="C91" s="17" t="n"/>
      <c r="D91" s="16" t="n"/>
      <c r="E91" s="16" t="n"/>
      <c r="F91" s="16" t="n"/>
      <c r="G91" s="18">
        <f>IF(AND(D91&lt;&gt;"已完成",D91&lt;&gt;"",E91&lt;&gt;"",E91&lt;TODAY()),"⚠️延期","")</f>
        <v/>
      </c>
      <c r="H91" s="17" t="n"/>
    </row>
    <row r="92">
      <c r="A92" s="16" t="n"/>
      <c r="B92" s="16" t="n"/>
      <c r="C92" s="17" t="n"/>
      <c r="D92" s="16" t="n"/>
      <c r="E92" s="16" t="n"/>
      <c r="F92" s="16" t="n"/>
      <c r="G92" s="18">
        <f>IF(AND(D92&lt;&gt;"已完成",D92&lt;&gt;"",E92&lt;&gt;"",E92&lt;TODAY()),"⚠️延期","")</f>
        <v/>
      </c>
      <c r="H92" s="17" t="n"/>
    </row>
    <row r="93">
      <c r="A93" s="16" t="n"/>
      <c r="B93" s="16" t="n"/>
      <c r="C93" s="17" t="n"/>
      <c r="D93" s="16" t="n"/>
      <c r="E93" s="16" t="n"/>
      <c r="F93" s="16" t="n"/>
      <c r="G93" s="18">
        <f>IF(AND(D93&lt;&gt;"已完成",D93&lt;&gt;"",E93&lt;&gt;"",E93&lt;TODAY()),"⚠️延期","")</f>
        <v/>
      </c>
      <c r="H93" s="17" t="n"/>
    </row>
    <row r="94">
      <c r="A94" s="16" t="n"/>
      <c r="B94" s="16" t="n"/>
      <c r="C94" s="17" t="n"/>
      <c r="D94" s="16" t="n"/>
      <c r="E94" s="16" t="n"/>
      <c r="F94" s="16" t="n"/>
      <c r="G94" s="18">
        <f>IF(AND(D94&lt;&gt;"已完成",D94&lt;&gt;"",E94&lt;&gt;"",E94&lt;TODAY()),"⚠️延期","")</f>
        <v/>
      </c>
      <c r="H94" s="17" t="n"/>
    </row>
    <row r="95">
      <c r="A95" s="16" t="n"/>
      <c r="B95" s="16" t="n"/>
      <c r="C95" s="17" t="n"/>
      <c r="D95" s="16" t="n"/>
      <c r="E95" s="16" t="n"/>
      <c r="F95" s="16" t="n"/>
      <c r="G95" s="18">
        <f>IF(AND(D95&lt;&gt;"已完成",D95&lt;&gt;"",E95&lt;&gt;"",E95&lt;TODAY()),"⚠️延期","")</f>
        <v/>
      </c>
      <c r="H95" s="17" t="n"/>
    </row>
    <row r="96">
      <c r="A96" s="16" t="n"/>
      <c r="B96" s="16" t="n"/>
      <c r="C96" s="17" t="n"/>
      <c r="D96" s="16" t="n"/>
      <c r="E96" s="16" t="n"/>
      <c r="F96" s="16" t="n"/>
      <c r="G96" s="18">
        <f>IF(AND(D96&lt;&gt;"已完成",D96&lt;&gt;"",E96&lt;&gt;"",E96&lt;TODAY()),"⚠️延期","")</f>
        <v/>
      </c>
      <c r="H96" s="17" t="n"/>
    </row>
    <row r="97">
      <c r="A97" s="16" t="n"/>
      <c r="B97" s="16" t="n"/>
      <c r="C97" s="17" t="n"/>
      <c r="D97" s="16" t="n"/>
      <c r="E97" s="16" t="n"/>
      <c r="F97" s="16" t="n"/>
      <c r="G97" s="18">
        <f>IF(AND(D97&lt;&gt;"已完成",D97&lt;&gt;"",E97&lt;&gt;"",E97&lt;TODAY()),"⚠️延期","")</f>
        <v/>
      </c>
      <c r="H97" s="17" t="n"/>
    </row>
    <row r="98">
      <c r="A98" s="16" t="n"/>
      <c r="B98" s="16" t="n"/>
      <c r="C98" s="17" t="n"/>
      <c r="D98" s="16" t="n"/>
      <c r="E98" s="16" t="n"/>
      <c r="F98" s="16" t="n"/>
      <c r="G98" s="18">
        <f>IF(AND(D98&lt;&gt;"已完成",D98&lt;&gt;"",E98&lt;&gt;"",E98&lt;TODAY()),"⚠️延期","")</f>
        <v/>
      </c>
      <c r="H98" s="17" t="n"/>
    </row>
    <row r="99">
      <c r="A99" s="16" t="n"/>
      <c r="B99" s="16" t="n"/>
      <c r="C99" s="17" t="n"/>
      <c r="D99" s="16" t="n"/>
      <c r="E99" s="16" t="n"/>
      <c r="F99" s="16" t="n"/>
      <c r="G99" s="18">
        <f>IF(AND(D99&lt;&gt;"已完成",D99&lt;&gt;"",E99&lt;&gt;"",E99&lt;TODAY()),"⚠️延期","")</f>
        <v/>
      </c>
      <c r="H99" s="17" t="n"/>
    </row>
    <row r="100">
      <c r="A100" s="16" t="n"/>
      <c r="B100" s="16" t="n"/>
      <c r="C100" s="17" t="n"/>
      <c r="D100" s="16" t="n"/>
      <c r="E100" s="16" t="n"/>
      <c r="F100" s="16" t="n"/>
      <c r="G100" s="18">
        <f>IF(AND(D100&lt;&gt;"已完成",D100&lt;&gt;"",E100&lt;&gt;"",E100&lt;TODAY()),"⚠️延期","")</f>
        <v/>
      </c>
      <c r="H100" s="17" t="n"/>
    </row>
    <row r="101">
      <c r="A101" s="16" t="n"/>
      <c r="B101" s="16" t="n"/>
      <c r="C101" s="17" t="n"/>
      <c r="D101" s="16" t="n"/>
      <c r="E101" s="16" t="n"/>
      <c r="F101" s="16" t="n"/>
      <c r="G101" s="18">
        <f>IF(AND(D101&lt;&gt;"已完成",D101&lt;&gt;"",E101&lt;&gt;"",E101&lt;TODAY()),"⚠️延期","")</f>
        <v/>
      </c>
      <c r="H101" s="17" t="n"/>
    </row>
    <row r="102">
      <c r="A102" s="16" t="n"/>
      <c r="B102" s="16" t="n"/>
      <c r="C102" s="17" t="n"/>
      <c r="D102" s="16" t="n"/>
      <c r="E102" s="16" t="n"/>
      <c r="F102" s="16" t="n"/>
      <c r="G102" s="18">
        <f>IF(AND(D102&lt;&gt;"已完成",D102&lt;&gt;"",E102&lt;&gt;"",E102&lt;TODAY()),"⚠️延期","")</f>
        <v/>
      </c>
      <c r="H102" s="17" t="n"/>
    </row>
    <row r="103">
      <c r="A103" s="16" t="n"/>
      <c r="B103" s="16" t="n"/>
      <c r="C103" s="17" t="n"/>
      <c r="D103" s="16" t="n"/>
      <c r="E103" s="16" t="n"/>
      <c r="F103" s="16" t="n"/>
      <c r="G103" s="18">
        <f>IF(AND(D103&lt;&gt;"已完成",D103&lt;&gt;"",E103&lt;&gt;"",E103&lt;TODAY()),"⚠️延期","")</f>
        <v/>
      </c>
      <c r="H103" s="17" t="n"/>
    </row>
    <row r="104">
      <c r="A104" s="16" t="n"/>
      <c r="B104" s="16" t="n"/>
      <c r="C104" s="17" t="n"/>
      <c r="D104" s="16" t="n"/>
      <c r="E104" s="16" t="n"/>
      <c r="F104" s="16" t="n"/>
      <c r="G104" s="18">
        <f>IF(AND(D104&lt;&gt;"已完成",D104&lt;&gt;"",E104&lt;&gt;"",E104&lt;TODAY()),"⚠️延期","")</f>
        <v/>
      </c>
      <c r="H104" s="17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D5:D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H104">
    <cfRule type="expression" priority="7" dxfId="5">
      <formula>$G5="⚠️延期"</formula>
    </cfRule>
  </conditionalFormatting>
  <dataValidations count="2">
    <dataValidation sqref="B5:B104" showDropDown="0" showInputMessage="0" showErrorMessage="0" allowBlank="1" type="list">
      <formula1>=选项!$A$2:$A$8</formula1>
    </dataValidation>
    <dataValidation sqref="D5:D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2" customWidth="1" min="3" max="3"/>
    <col width="10" customWidth="1" min="4" max="4"/>
    <col width="12" customWidth="1" min="5" max="5"/>
    <col width="12" customWidth="1" min="6" max="6"/>
    <col width="10" customWidth="1" min="7" max="7"/>
    <col width="20" customWidth="1" min="8" max="8"/>
  </cols>
  <sheetData>
    <row r="1" ht="24" customHeight="1">
      <c r="A1" s="13" t="inlineStr">
        <is>
          <t>小红书-柚子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COUNTA(C5:C104)</f>
        <v/>
      </c>
      <c r="B3" s="14">
        <f>COUNTIF(D5:D104,"已完成")</f>
        <v/>
      </c>
      <c r="C3" s="14">
        <f>COUNTIF(D5:D104,"进行中")</f>
        <v/>
      </c>
      <c r="D3" s="14">
        <f>COUNTIF(G5:G104,"⚠️延期")+COUNTIF(D5:D104,"已延期")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项目</t>
        </is>
      </c>
      <c r="C4" s="15" t="inlineStr">
        <is>
          <t>工作内容</t>
        </is>
      </c>
      <c r="D4" s="15" t="inlineStr">
        <is>
          <t>状态</t>
        </is>
      </c>
      <c r="E4" s="15" t="inlineStr">
        <is>
          <t>计划完成日</t>
        </is>
      </c>
      <c r="F4" s="15" t="inlineStr">
        <is>
          <t>实际完成日</t>
        </is>
      </c>
      <c r="G4" s="15" t="inlineStr">
        <is>
          <t>是否延期</t>
        </is>
      </c>
      <c r="H4" s="15" t="inlineStr">
        <is>
          <t>备注</t>
        </is>
      </c>
    </row>
    <row r="5">
      <c r="A5" s="16" t="n"/>
      <c r="B5" s="16" t="n"/>
      <c r="C5" s="17" t="n"/>
      <c r="D5" s="16" t="n"/>
      <c r="E5" s="16" t="n"/>
      <c r="F5" s="16" t="n"/>
      <c r="G5" s="18">
        <f>IF(AND(D5&lt;&gt;"已完成",D5&lt;&gt;"",E5&lt;&gt;"",E5&lt;TODAY()),"⚠️延期","")</f>
        <v/>
      </c>
      <c r="H5" s="17" t="n"/>
    </row>
    <row r="6">
      <c r="A6" s="16" t="n"/>
      <c r="B6" s="16" t="n"/>
      <c r="C6" s="17" t="n"/>
      <c r="D6" s="16" t="n"/>
      <c r="E6" s="16" t="n"/>
      <c r="F6" s="16" t="n"/>
      <c r="G6" s="18">
        <f>IF(AND(D6&lt;&gt;"已完成",D6&lt;&gt;"",E6&lt;&gt;"",E6&lt;TODAY()),"⚠️延期","")</f>
        <v/>
      </c>
      <c r="H6" s="17" t="n"/>
    </row>
    <row r="7">
      <c r="A7" s="16" t="n"/>
      <c r="B7" s="16" t="n"/>
      <c r="C7" s="17" t="n"/>
      <c r="D7" s="16" t="n"/>
      <c r="E7" s="16" t="n"/>
      <c r="F7" s="16" t="n"/>
      <c r="G7" s="18">
        <f>IF(AND(D7&lt;&gt;"已完成",D7&lt;&gt;"",E7&lt;&gt;"",E7&lt;TODAY()),"⚠️延期","")</f>
        <v/>
      </c>
      <c r="H7" s="17" t="n"/>
    </row>
    <row r="8">
      <c r="A8" s="16" t="n"/>
      <c r="B8" s="16" t="n"/>
      <c r="C8" s="17" t="n"/>
      <c r="D8" s="16" t="n"/>
      <c r="E8" s="16" t="n"/>
      <c r="F8" s="16" t="n"/>
      <c r="G8" s="18">
        <f>IF(AND(D8&lt;&gt;"已完成",D8&lt;&gt;"",E8&lt;&gt;"",E8&lt;TODAY()),"⚠️延期","")</f>
        <v/>
      </c>
      <c r="H8" s="17" t="n"/>
    </row>
    <row r="9">
      <c r="A9" s="16" t="n"/>
      <c r="B9" s="16" t="n"/>
      <c r="C9" s="17" t="n"/>
      <c r="D9" s="16" t="n"/>
      <c r="E9" s="16" t="n"/>
      <c r="F9" s="16" t="n"/>
      <c r="G9" s="18">
        <f>IF(AND(D9&lt;&gt;"已完成",D9&lt;&gt;"",E9&lt;&gt;"",E9&lt;TODAY()),"⚠️延期","")</f>
        <v/>
      </c>
      <c r="H9" s="17" t="n"/>
    </row>
    <row r="10">
      <c r="A10" s="16" t="n"/>
      <c r="B10" s="16" t="n"/>
      <c r="C10" s="17" t="n"/>
      <c r="D10" s="16" t="n"/>
      <c r="E10" s="16" t="n"/>
      <c r="F10" s="16" t="n"/>
      <c r="G10" s="18">
        <f>IF(AND(D10&lt;&gt;"已完成",D10&lt;&gt;"",E10&lt;&gt;"",E10&lt;TODAY()),"⚠️延期","")</f>
        <v/>
      </c>
      <c r="H10" s="17" t="n"/>
    </row>
    <row r="11">
      <c r="A11" s="16" t="n"/>
      <c r="B11" s="16" t="n"/>
      <c r="C11" s="17" t="n"/>
      <c r="D11" s="16" t="n"/>
      <c r="E11" s="16" t="n"/>
      <c r="F11" s="16" t="n"/>
      <c r="G11" s="18">
        <f>IF(AND(D11&lt;&gt;"已完成",D11&lt;&gt;"",E11&lt;&gt;"",E11&lt;TODAY()),"⚠️延期","")</f>
        <v/>
      </c>
      <c r="H11" s="17" t="n"/>
    </row>
    <row r="12">
      <c r="A12" s="16" t="n"/>
      <c r="B12" s="16" t="n"/>
      <c r="C12" s="17" t="n"/>
      <c r="D12" s="16" t="n"/>
      <c r="E12" s="16" t="n"/>
      <c r="F12" s="16" t="n"/>
      <c r="G12" s="18">
        <f>IF(AND(D12&lt;&gt;"已完成",D12&lt;&gt;"",E12&lt;&gt;"",E12&lt;TODAY()),"⚠️延期","")</f>
        <v/>
      </c>
      <c r="H12" s="17" t="n"/>
    </row>
    <row r="13">
      <c r="A13" s="16" t="n"/>
      <c r="B13" s="16" t="n"/>
      <c r="C13" s="17" t="n"/>
      <c r="D13" s="16" t="n"/>
      <c r="E13" s="16" t="n"/>
      <c r="F13" s="16" t="n"/>
      <c r="G13" s="18">
        <f>IF(AND(D13&lt;&gt;"已完成",D13&lt;&gt;"",E13&lt;&gt;"",E13&lt;TODAY()),"⚠️延期","")</f>
        <v/>
      </c>
      <c r="H13" s="17" t="n"/>
    </row>
    <row r="14">
      <c r="A14" s="16" t="n"/>
      <c r="B14" s="16" t="n"/>
      <c r="C14" s="17" t="n"/>
      <c r="D14" s="16" t="n"/>
      <c r="E14" s="16" t="n"/>
      <c r="F14" s="16" t="n"/>
      <c r="G14" s="18">
        <f>IF(AND(D14&lt;&gt;"已完成",D14&lt;&gt;"",E14&lt;&gt;"",E14&lt;TODAY()),"⚠️延期","")</f>
        <v/>
      </c>
      <c r="H14" s="17" t="n"/>
    </row>
    <row r="15">
      <c r="A15" s="16" t="n"/>
      <c r="B15" s="16" t="n"/>
      <c r="C15" s="17" t="n"/>
      <c r="D15" s="16" t="n"/>
      <c r="E15" s="16" t="n"/>
      <c r="F15" s="16" t="n"/>
      <c r="G15" s="18">
        <f>IF(AND(D15&lt;&gt;"已完成",D15&lt;&gt;"",E15&lt;&gt;"",E15&lt;TODAY()),"⚠️延期","")</f>
        <v/>
      </c>
      <c r="H15" s="17" t="n"/>
    </row>
    <row r="16">
      <c r="A16" s="16" t="n"/>
      <c r="B16" s="16" t="n"/>
      <c r="C16" s="17" t="n"/>
      <c r="D16" s="16" t="n"/>
      <c r="E16" s="16" t="n"/>
      <c r="F16" s="16" t="n"/>
      <c r="G16" s="18">
        <f>IF(AND(D16&lt;&gt;"已完成",D16&lt;&gt;"",E16&lt;&gt;"",E16&lt;TODAY()),"⚠️延期","")</f>
        <v/>
      </c>
      <c r="H16" s="17" t="n"/>
    </row>
    <row r="17">
      <c r="A17" s="16" t="n"/>
      <c r="B17" s="16" t="n"/>
      <c r="C17" s="17" t="n"/>
      <c r="D17" s="16" t="n"/>
      <c r="E17" s="16" t="n"/>
      <c r="F17" s="16" t="n"/>
      <c r="G17" s="18">
        <f>IF(AND(D17&lt;&gt;"已完成",D17&lt;&gt;"",E17&lt;&gt;"",E17&lt;TODAY()),"⚠️延期","")</f>
        <v/>
      </c>
      <c r="H17" s="17" t="n"/>
    </row>
    <row r="18">
      <c r="A18" s="16" t="n"/>
      <c r="B18" s="16" t="n"/>
      <c r="C18" s="17" t="n"/>
      <c r="D18" s="16" t="n"/>
      <c r="E18" s="16" t="n"/>
      <c r="F18" s="16" t="n"/>
      <c r="G18" s="18">
        <f>IF(AND(D18&lt;&gt;"已完成",D18&lt;&gt;"",E18&lt;&gt;"",E18&lt;TODAY()),"⚠️延期","")</f>
        <v/>
      </c>
      <c r="H18" s="17" t="n"/>
    </row>
    <row r="19">
      <c r="A19" s="16" t="n"/>
      <c r="B19" s="16" t="n"/>
      <c r="C19" s="17" t="n"/>
      <c r="D19" s="16" t="n"/>
      <c r="E19" s="16" t="n"/>
      <c r="F19" s="16" t="n"/>
      <c r="G19" s="18">
        <f>IF(AND(D19&lt;&gt;"已完成",D19&lt;&gt;"",E19&lt;&gt;"",E19&lt;TODAY()),"⚠️延期","")</f>
        <v/>
      </c>
      <c r="H19" s="17" t="n"/>
    </row>
    <row r="20">
      <c r="A20" s="16" t="n"/>
      <c r="B20" s="16" t="n"/>
      <c r="C20" s="17" t="n"/>
      <c r="D20" s="16" t="n"/>
      <c r="E20" s="16" t="n"/>
      <c r="F20" s="16" t="n"/>
      <c r="G20" s="18">
        <f>IF(AND(D20&lt;&gt;"已完成",D20&lt;&gt;"",E20&lt;&gt;"",E20&lt;TODAY()),"⚠️延期","")</f>
        <v/>
      </c>
      <c r="H20" s="17" t="n"/>
    </row>
    <row r="21">
      <c r="A21" s="16" t="n"/>
      <c r="B21" s="16" t="n"/>
      <c r="C21" s="17" t="n"/>
      <c r="D21" s="16" t="n"/>
      <c r="E21" s="16" t="n"/>
      <c r="F21" s="16" t="n"/>
      <c r="G21" s="18">
        <f>IF(AND(D21&lt;&gt;"已完成",D21&lt;&gt;"",E21&lt;&gt;"",E21&lt;TODAY()),"⚠️延期","")</f>
        <v/>
      </c>
      <c r="H21" s="17" t="n"/>
    </row>
    <row r="22">
      <c r="A22" s="16" t="n"/>
      <c r="B22" s="16" t="n"/>
      <c r="C22" s="17" t="n"/>
      <c r="D22" s="16" t="n"/>
      <c r="E22" s="16" t="n"/>
      <c r="F22" s="16" t="n"/>
      <c r="G22" s="18">
        <f>IF(AND(D22&lt;&gt;"已完成",D22&lt;&gt;"",E22&lt;&gt;"",E22&lt;TODAY()),"⚠️延期","")</f>
        <v/>
      </c>
      <c r="H22" s="17" t="n"/>
    </row>
    <row r="23">
      <c r="A23" s="16" t="n"/>
      <c r="B23" s="16" t="n"/>
      <c r="C23" s="17" t="n"/>
      <c r="D23" s="16" t="n"/>
      <c r="E23" s="16" t="n"/>
      <c r="F23" s="16" t="n"/>
      <c r="G23" s="18">
        <f>IF(AND(D23&lt;&gt;"已完成",D23&lt;&gt;"",E23&lt;&gt;"",E23&lt;TODAY()),"⚠️延期","")</f>
        <v/>
      </c>
      <c r="H23" s="17" t="n"/>
    </row>
    <row r="24">
      <c r="A24" s="16" t="n"/>
      <c r="B24" s="16" t="n"/>
      <c r="C24" s="17" t="n"/>
      <c r="D24" s="16" t="n"/>
      <c r="E24" s="16" t="n"/>
      <c r="F24" s="16" t="n"/>
      <c r="G24" s="18">
        <f>IF(AND(D24&lt;&gt;"已完成",D24&lt;&gt;"",E24&lt;&gt;"",E24&lt;TODAY()),"⚠️延期","")</f>
        <v/>
      </c>
      <c r="H24" s="17" t="n"/>
    </row>
    <row r="25">
      <c r="A25" s="16" t="n"/>
      <c r="B25" s="16" t="n"/>
      <c r="C25" s="17" t="n"/>
      <c r="D25" s="16" t="n"/>
      <c r="E25" s="16" t="n"/>
      <c r="F25" s="16" t="n"/>
      <c r="G25" s="18">
        <f>IF(AND(D25&lt;&gt;"已完成",D25&lt;&gt;"",E25&lt;&gt;"",E25&lt;TODAY()),"⚠️延期","")</f>
        <v/>
      </c>
      <c r="H25" s="17" t="n"/>
    </row>
    <row r="26">
      <c r="A26" s="16" t="n"/>
      <c r="B26" s="16" t="n"/>
      <c r="C26" s="17" t="n"/>
      <c r="D26" s="16" t="n"/>
      <c r="E26" s="16" t="n"/>
      <c r="F26" s="16" t="n"/>
      <c r="G26" s="18">
        <f>IF(AND(D26&lt;&gt;"已完成",D26&lt;&gt;"",E26&lt;&gt;"",E26&lt;TODAY()),"⚠️延期","")</f>
        <v/>
      </c>
      <c r="H26" s="17" t="n"/>
    </row>
    <row r="27">
      <c r="A27" s="16" t="n"/>
      <c r="B27" s="16" t="n"/>
      <c r="C27" s="17" t="n"/>
      <c r="D27" s="16" t="n"/>
      <c r="E27" s="16" t="n"/>
      <c r="F27" s="16" t="n"/>
      <c r="G27" s="18">
        <f>IF(AND(D27&lt;&gt;"已完成",D27&lt;&gt;"",E27&lt;&gt;"",E27&lt;TODAY()),"⚠️延期","")</f>
        <v/>
      </c>
      <c r="H27" s="17" t="n"/>
    </row>
    <row r="28">
      <c r="A28" s="16" t="n"/>
      <c r="B28" s="16" t="n"/>
      <c r="C28" s="17" t="n"/>
      <c r="D28" s="16" t="n"/>
      <c r="E28" s="16" t="n"/>
      <c r="F28" s="16" t="n"/>
      <c r="G28" s="18">
        <f>IF(AND(D28&lt;&gt;"已完成",D28&lt;&gt;"",E28&lt;&gt;"",E28&lt;TODAY()),"⚠️延期","")</f>
        <v/>
      </c>
      <c r="H28" s="17" t="n"/>
    </row>
    <row r="29">
      <c r="A29" s="16" t="n"/>
      <c r="B29" s="16" t="n"/>
      <c r="C29" s="17" t="n"/>
      <c r="D29" s="16" t="n"/>
      <c r="E29" s="16" t="n"/>
      <c r="F29" s="16" t="n"/>
      <c r="G29" s="18">
        <f>IF(AND(D29&lt;&gt;"已完成",D29&lt;&gt;"",E29&lt;&gt;"",E29&lt;TODAY()),"⚠️延期","")</f>
        <v/>
      </c>
      <c r="H29" s="17" t="n"/>
    </row>
    <row r="30">
      <c r="A30" s="16" t="n"/>
      <c r="B30" s="16" t="n"/>
      <c r="C30" s="17" t="n"/>
      <c r="D30" s="16" t="n"/>
      <c r="E30" s="16" t="n"/>
      <c r="F30" s="16" t="n"/>
      <c r="G30" s="18">
        <f>IF(AND(D30&lt;&gt;"已完成",D30&lt;&gt;"",E30&lt;&gt;"",E30&lt;TODAY()),"⚠️延期","")</f>
        <v/>
      </c>
      <c r="H30" s="17" t="n"/>
    </row>
    <row r="31">
      <c r="A31" s="16" t="n"/>
      <c r="B31" s="16" t="n"/>
      <c r="C31" s="17" t="n"/>
      <c r="D31" s="16" t="n"/>
      <c r="E31" s="16" t="n"/>
      <c r="F31" s="16" t="n"/>
      <c r="G31" s="18">
        <f>IF(AND(D31&lt;&gt;"已完成",D31&lt;&gt;"",E31&lt;&gt;"",E31&lt;TODAY()),"⚠️延期","")</f>
        <v/>
      </c>
      <c r="H31" s="17" t="n"/>
    </row>
    <row r="32">
      <c r="A32" s="16" t="n"/>
      <c r="B32" s="16" t="n"/>
      <c r="C32" s="17" t="n"/>
      <c r="D32" s="16" t="n"/>
      <c r="E32" s="16" t="n"/>
      <c r="F32" s="16" t="n"/>
      <c r="G32" s="18">
        <f>IF(AND(D32&lt;&gt;"已完成",D32&lt;&gt;"",E32&lt;&gt;"",E32&lt;TODAY()),"⚠️延期","")</f>
        <v/>
      </c>
      <c r="H32" s="17" t="n"/>
    </row>
    <row r="33">
      <c r="A33" s="16" t="n"/>
      <c r="B33" s="16" t="n"/>
      <c r="C33" s="17" t="n"/>
      <c r="D33" s="16" t="n"/>
      <c r="E33" s="16" t="n"/>
      <c r="F33" s="16" t="n"/>
      <c r="G33" s="18">
        <f>IF(AND(D33&lt;&gt;"已完成",D33&lt;&gt;"",E33&lt;&gt;"",E33&lt;TODAY()),"⚠️延期","")</f>
        <v/>
      </c>
      <c r="H33" s="17" t="n"/>
    </row>
    <row r="34">
      <c r="A34" s="16" t="n"/>
      <c r="B34" s="16" t="n"/>
      <c r="C34" s="17" t="n"/>
      <c r="D34" s="16" t="n"/>
      <c r="E34" s="16" t="n"/>
      <c r="F34" s="16" t="n"/>
      <c r="G34" s="18">
        <f>IF(AND(D34&lt;&gt;"已完成",D34&lt;&gt;"",E34&lt;&gt;"",E34&lt;TODAY()),"⚠️延期","")</f>
        <v/>
      </c>
      <c r="H34" s="17" t="n"/>
    </row>
    <row r="35">
      <c r="A35" s="16" t="n"/>
      <c r="B35" s="16" t="n"/>
      <c r="C35" s="17" t="n"/>
      <c r="D35" s="16" t="n"/>
      <c r="E35" s="16" t="n"/>
      <c r="F35" s="16" t="n"/>
      <c r="G35" s="18">
        <f>IF(AND(D35&lt;&gt;"已完成",D35&lt;&gt;"",E35&lt;&gt;"",E35&lt;TODAY()),"⚠️延期","")</f>
        <v/>
      </c>
      <c r="H35" s="17" t="n"/>
    </row>
    <row r="36">
      <c r="A36" s="16" t="n"/>
      <c r="B36" s="16" t="n"/>
      <c r="C36" s="17" t="n"/>
      <c r="D36" s="16" t="n"/>
      <c r="E36" s="16" t="n"/>
      <c r="F36" s="16" t="n"/>
      <c r="G36" s="18">
        <f>IF(AND(D36&lt;&gt;"已完成",D36&lt;&gt;"",E36&lt;&gt;"",E36&lt;TODAY()),"⚠️延期","")</f>
        <v/>
      </c>
      <c r="H36" s="17" t="n"/>
    </row>
    <row r="37">
      <c r="A37" s="16" t="n"/>
      <c r="B37" s="16" t="n"/>
      <c r="C37" s="17" t="n"/>
      <c r="D37" s="16" t="n"/>
      <c r="E37" s="16" t="n"/>
      <c r="F37" s="16" t="n"/>
      <c r="G37" s="18">
        <f>IF(AND(D37&lt;&gt;"已完成",D37&lt;&gt;"",E37&lt;&gt;"",E37&lt;TODAY()),"⚠️延期","")</f>
        <v/>
      </c>
      <c r="H37" s="17" t="n"/>
    </row>
    <row r="38">
      <c r="A38" s="16" t="n"/>
      <c r="B38" s="16" t="n"/>
      <c r="C38" s="17" t="n"/>
      <c r="D38" s="16" t="n"/>
      <c r="E38" s="16" t="n"/>
      <c r="F38" s="16" t="n"/>
      <c r="G38" s="18">
        <f>IF(AND(D38&lt;&gt;"已完成",D38&lt;&gt;"",E38&lt;&gt;"",E38&lt;TODAY()),"⚠️延期","")</f>
        <v/>
      </c>
      <c r="H38" s="17" t="n"/>
    </row>
    <row r="39">
      <c r="A39" s="16" t="n"/>
      <c r="B39" s="16" t="n"/>
      <c r="C39" s="17" t="n"/>
      <c r="D39" s="16" t="n"/>
      <c r="E39" s="16" t="n"/>
      <c r="F39" s="16" t="n"/>
      <c r="G39" s="18">
        <f>IF(AND(D39&lt;&gt;"已完成",D39&lt;&gt;"",E39&lt;&gt;"",E39&lt;TODAY()),"⚠️延期","")</f>
        <v/>
      </c>
      <c r="H39" s="17" t="n"/>
    </row>
    <row r="40">
      <c r="A40" s="16" t="n"/>
      <c r="B40" s="16" t="n"/>
      <c r="C40" s="17" t="n"/>
      <c r="D40" s="16" t="n"/>
      <c r="E40" s="16" t="n"/>
      <c r="F40" s="16" t="n"/>
      <c r="G40" s="18">
        <f>IF(AND(D40&lt;&gt;"已完成",D40&lt;&gt;"",E40&lt;&gt;"",E40&lt;TODAY()),"⚠️延期","")</f>
        <v/>
      </c>
      <c r="H40" s="17" t="n"/>
    </row>
    <row r="41">
      <c r="A41" s="16" t="n"/>
      <c r="B41" s="16" t="n"/>
      <c r="C41" s="17" t="n"/>
      <c r="D41" s="16" t="n"/>
      <c r="E41" s="16" t="n"/>
      <c r="F41" s="16" t="n"/>
      <c r="G41" s="18">
        <f>IF(AND(D41&lt;&gt;"已完成",D41&lt;&gt;"",E41&lt;&gt;"",E41&lt;TODAY()),"⚠️延期","")</f>
        <v/>
      </c>
      <c r="H41" s="17" t="n"/>
    </row>
    <row r="42">
      <c r="A42" s="16" t="n"/>
      <c r="B42" s="16" t="n"/>
      <c r="C42" s="17" t="n"/>
      <c r="D42" s="16" t="n"/>
      <c r="E42" s="16" t="n"/>
      <c r="F42" s="16" t="n"/>
      <c r="G42" s="18">
        <f>IF(AND(D42&lt;&gt;"已完成",D42&lt;&gt;"",E42&lt;&gt;"",E42&lt;TODAY()),"⚠️延期","")</f>
        <v/>
      </c>
      <c r="H42" s="17" t="n"/>
    </row>
    <row r="43">
      <c r="A43" s="16" t="n"/>
      <c r="B43" s="16" t="n"/>
      <c r="C43" s="17" t="n"/>
      <c r="D43" s="16" t="n"/>
      <c r="E43" s="16" t="n"/>
      <c r="F43" s="16" t="n"/>
      <c r="G43" s="18">
        <f>IF(AND(D43&lt;&gt;"已完成",D43&lt;&gt;"",E43&lt;&gt;"",E43&lt;TODAY()),"⚠️延期","")</f>
        <v/>
      </c>
      <c r="H43" s="17" t="n"/>
    </row>
    <row r="44">
      <c r="A44" s="16" t="n"/>
      <c r="B44" s="16" t="n"/>
      <c r="C44" s="17" t="n"/>
      <c r="D44" s="16" t="n"/>
      <c r="E44" s="16" t="n"/>
      <c r="F44" s="16" t="n"/>
      <c r="G44" s="18">
        <f>IF(AND(D44&lt;&gt;"已完成",D44&lt;&gt;"",E44&lt;&gt;"",E44&lt;TODAY()),"⚠️延期","")</f>
        <v/>
      </c>
      <c r="H44" s="17" t="n"/>
    </row>
    <row r="45">
      <c r="A45" s="16" t="n"/>
      <c r="B45" s="16" t="n"/>
      <c r="C45" s="17" t="n"/>
      <c r="D45" s="16" t="n"/>
      <c r="E45" s="16" t="n"/>
      <c r="F45" s="16" t="n"/>
      <c r="G45" s="18">
        <f>IF(AND(D45&lt;&gt;"已完成",D45&lt;&gt;"",E45&lt;&gt;"",E45&lt;TODAY()),"⚠️延期","")</f>
        <v/>
      </c>
      <c r="H45" s="17" t="n"/>
    </row>
    <row r="46">
      <c r="A46" s="16" t="n"/>
      <c r="B46" s="16" t="n"/>
      <c r="C46" s="17" t="n"/>
      <c r="D46" s="16" t="n"/>
      <c r="E46" s="16" t="n"/>
      <c r="F46" s="16" t="n"/>
      <c r="G46" s="18">
        <f>IF(AND(D46&lt;&gt;"已完成",D46&lt;&gt;"",E46&lt;&gt;"",E46&lt;TODAY()),"⚠️延期","")</f>
        <v/>
      </c>
      <c r="H46" s="17" t="n"/>
    </row>
    <row r="47">
      <c r="A47" s="16" t="n"/>
      <c r="B47" s="16" t="n"/>
      <c r="C47" s="17" t="n"/>
      <c r="D47" s="16" t="n"/>
      <c r="E47" s="16" t="n"/>
      <c r="F47" s="16" t="n"/>
      <c r="G47" s="18">
        <f>IF(AND(D47&lt;&gt;"已完成",D47&lt;&gt;"",E47&lt;&gt;"",E47&lt;TODAY()),"⚠️延期","")</f>
        <v/>
      </c>
      <c r="H47" s="17" t="n"/>
    </row>
    <row r="48">
      <c r="A48" s="16" t="n"/>
      <c r="B48" s="16" t="n"/>
      <c r="C48" s="17" t="n"/>
      <c r="D48" s="16" t="n"/>
      <c r="E48" s="16" t="n"/>
      <c r="F48" s="16" t="n"/>
      <c r="G48" s="18">
        <f>IF(AND(D48&lt;&gt;"已完成",D48&lt;&gt;"",E48&lt;&gt;"",E48&lt;TODAY()),"⚠️延期","")</f>
        <v/>
      </c>
      <c r="H48" s="17" t="n"/>
    </row>
    <row r="49">
      <c r="A49" s="16" t="n"/>
      <c r="B49" s="16" t="n"/>
      <c r="C49" s="17" t="n"/>
      <c r="D49" s="16" t="n"/>
      <c r="E49" s="16" t="n"/>
      <c r="F49" s="16" t="n"/>
      <c r="G49" s="18">
        <f>IF(AND(D49&lt;&gt;"已完成",D49&lt;&gt;"",E49&lt;&gt;"",E49&lt;TODAY()),"⚠️延期","")</f>
        <v/>
      </c>
      <c r="H49" s="17" t="n"/>
    </row>
    <row r="50">
      <c r="A50" s="16" t="n"/>
      <c r="B50" s="16" t="n"/>
      <c r="C50" s="17" t="n"/>
      <c r="D50" s="16" t="n"/>
      <c r="E50" s="16" t="n"/>
      <c r="F50" s="16" t="n"/>
      <c r="G50" s="18">
        <f>IF(AND(D50&lt;&gt;"已完成",D50&lt;&gt;"",E50&lt;&gt;"",E50&lt;TODAY()),"⚠️延期","")</f>
        <v/>
      </c>
      <c r="H50" s="17" t="n"/>
    </row>
    <row r="51">
      <c r="A51" s="16" t="n"/>
      <c r="B51" s="16" t="n"/>
      <c r="C51" s="17" t="n"/>
      <c r="D51" s="16" t="n"/>
      <c r="E51" s="16" t="n"/>
      <c r="F51" s="16" t="n"/>
      <c r="G51" s="18">
        <f>IF(AND(D51&lt;&gt;"已完成",D51&lt;&gt;"",E51&lt;&gt;"",E51&lt;TODAY()),"⚠️延期","")</f>
        <v/>
      </c>
      <c r="H51" s="17" t="n"/>
    </row>
    <row r="52">
      <c r="A52" s="16" t="n"/>
      <c r="B52" s="16" t="n"/>
      <c r="C52" s="17" t="n"/>
      <c r="D52" s="16" t="n"/>
      <c r="E52" s="16" t="n"/>
      <c r="F52" s="16" t="n"/>
      <c r="G52" s="18">
        <f>IF(AND(D52&lt;&gt;"已完成",D52&lt;&gt;"",E52&lt;&gt;"",E52&lt;TODAY()),"⚠️延期","")</f>
        <v/>
      </c>
      <c r="H52" s="17" t="n"/>
    </row>
    <row r="53">
      <c r="A53" s="16" t="n"/>
      <c r="B53" s="16" t="n"/>
      <c r="C53" s="17" t="n"/>
      <c r="D53" s="16" t="n"/>
      <c r="E53" s="16" t="n"/>
      <c r="F53" s="16" t="n"/>
      <c r="G53" s="18">
        <f>IF(AND(D53&lt;&gt;"已完成",D53&lt;&gt;"",E53&lt;&gt;"",E53&lt;TODAY()),"⚠️延期","")</f>
        <v/>
      </c>
      <c r="H53" s="17" t="n"/>
    </row>
    <row r="54">
      <c r="A54" s="16" t="n"/>
      <c r="B54" s="16" t="n"/>
      <c r="C54" s="17" t="n"/>
      <c r="D54" s="16" t="n"/>
      <c r="E54" s="16" t="n"/>
      <c r="F54" s="16" t="n"/>
      <c r="G54" s="18">
        <f>IF(AND(D54&lt;&gt;"已完成",D54&lt;&gt;"",E54&lt;&gt;"",E54&lt;TODAY()),"⚠️延期","")</f>
        <v/>
      </c>
      <c r="H54" s="17" t="n"/>
    </row>
    <row r="55">
      <c r="A55" s="16" t="n"/>
      <c r="B55" s="16" t="n"/>
      <c r="C55" s="17" t="n"/>
      <c r="D55" s="16" t="n"/>
      <c r="E55" s="16" t="n"/>
      <c r="F55" s="16" t="n"/>
      <c r="G55" s="18">
        <f>IF(AND(D55&lt;&gt;"已完成",D55&lt;&gt;"",E55&lt;&gt;"",E55&lt;TODAY()),"⚠️延期","")</f>
        <v/>
      </c>
      <c r="H55" s="17" t="n"/>
    </row>
    <row r="56">
      <c r="A56" s="16" t="n"/>
      <c r="B56" s="16" t="n"/>
      <c r="C56" s="17" t="n"/>
      <c r="D56" s="16" t="n"/>
      <c r="E56" s="16" t="n"/>
      <c r="F56" s="16" t="n"/>
      <c r="G56" s="18">
        <f>IF(AND(D56&lt;&gt;"已完成",D56&lt;&gt;"",E56&lt;&gt;"",E56&lt;TODAY()),"⚠️延期","")</f>
        <v/>
      </c>
      <c r="H56" s="17" t="n"/>
    </row>
    <row r="57">
      <c r="A57" s="16" t="n"/>
      <c r="B57" s="16" t="n"/>
      <c r="C57" s="17" t="n"/>
      <c r="D57" s="16" t="n"/>
      <c r="E57" s="16" t="n"/>
      <c r="F57" s="16" t="n"/>
      <c r="G57" s="18">
        <f>IF(AND(D57&lt;&gt;"已完成",D57&lt;&gt;"",E57&lt;&gt;"",E57&lt;TODAY()),"⚠️延期","")</f>
        <v/>
      </c>
      <c r="H57" s="17" t="n"/>
    </row>
    <row r="58">
      <c r="A58" s="16" t="n"/>
      <c r="B58" s="16" t="n"/>
      <c r="C58" s="17" t="n"/>
      <c r="D58" s="16" t="n"/>
      <c r="E58" s="16" t="n"/>
      <c r="F58" s="16" t="n"/>
      <c r="G58" s="18">
        <f>IF(AND(D58&lt;&gt;"已完成",D58&lt;&gt;"",E58&lt;&gt;"",E58&lt;TODAY()),"⚠️延期","")</f>
        <v/>
      </c>
      <c r="H58" s="17" t="n"/>
    </row>
    <row r="59">
      <c r="A59" s="16" t="n"/>
      <c r="B59" s="16" t="n"/>
      <c r="C59" s="17" t="n"/>
      <c r="D59" s="16" t="n"/>
      <c r="E59" s="16" t="n"/>
      <c r="F59" s="16" t="n"/>
      <c r="G59" s="18">
        <f>IF(AND(D59&lt;&gt;"已完成",D59&lt;&gt;"",E59&lt;&gt;"",E59&lt;TODAY()),"⚠️延期","")</f>
        <v/>
      </c>
      <c r="H59" s="17" t="n"/>
    </row>
    <row r="60">
      <c r="A60" s="16" t="n"/>
      <c r="B60" s="16" t="n"/>
      <c r="C60" s="17" t="n"/>
      <c r="D60" s="16" t="n"/>
      <c r="E60" s="16" t="n"/>
      <c r="F60" s="16" t="n"/>
      <c r="G60" s="18">
        <f>IF(AND(D60&lt;&gt;"已完成",D60&lt;&gt;"",E60&lt;&gt;"",E60&lt;TODAY()),"⚠️延期","")</f>
        <v/>
      </c>
      <c r="H60" s="17" t="n"/>
    </row>
    <row r="61">
      <c r="A61" s="16" t="n"/>
      <c r="B61" s="16" t="n"/>
      <c r="C61" s="17" t="n"/>
      <c r="D61" s="16" t="n"/>
      <c r="E61" s="16" t="n"/>
      <c r="F61" s="16" t="n"/>
      <c r="G61" s="18">
        <f>IF(AND(D61&lt;&gt;"已完成",D61&lt;&gt;"",E61&lt;&gt;"",E61&lt;TODAY()),"⚠️延期","")</f>
        <v/>
      </c>
      <c r="H61" s="17" t="n"/>
    </row>
    <row r="62">
      <c r="A62" s="16" t="n"/>
      <c r="B62" s="16" t="n"/>
      <c r="C62" s="17" t="n"/>
      <c r="D62" s="16" t="n"/>
      <c r="E62" s="16" t="n"/>
      <c r="F62" s="16" t="n"/>
      <c r="G62" s="18">
        <f>IF(AND(D62&lt;&gt;"已完成",D62&lt;&gt;"",E62&lt;&gt;"",E62&lt;TODAY()),"⚠️延期","")</f>
        <v/>
      </c>
      <c r="H62" s="17" t="n"/>
    </row>
    <row r="63">
      <c r="A63" s="16" t="n"/>
      <c r="B63" s="16" t="n"/>
      <c r="C63" s="17" t="n"/>
      <c r="D63" s="16" t="n"/>
      <c r="E63" s="16" t="n"/>
      <c r="F63" s="16" t="n"/>
      <c r="G63" s="18">
        <f>IF(AND(D63&lt;&gt;"已完成",D63&lt;&gt;"",E63&lt;&gt;"",E63&lt;TODAY()),"⚠️延期","")</f>
        <v/>
      </c>
      <c r="H63" s="17" t="n"/>
    </row>
    <row r="64">
      <c r="A64" s="16" t="n"/>
      <c r="B64" s="16" t="n"/>
      <c r="C64" s="17" t="n"/>
      <c r="D64" s="16" t="n"/>
      <c r="E64" s="16" t="n"/>
      <c r="F64" s="16" t="n"/>
      <c r="G64" s="18">
        <f>IF(AND(D64&lt;&gt;"已完成",D64&lt;&gt;"",E64&lt;&gt;"",E64&lt;TODAY()),"⚠️延期","")</f>
        <v/>
      </c>
      <c r="H64" s="17" t="n"/>
    </row>
    <row r="65">
      <c r="A65" s="16" t="n"/>
      <c r="B65" s="16" t="n"/>
      <c r="C65" s="17" t="n"/>
      <c r="D65" s="16" t="n"/>
      <c r="E65" s="16" t="n"/>
      <c r="F65" s="16" t="n"/>
      <c r="G65" s="18">
        <f>IF(AND(D65&lt;&gt;"已完成",D65&lt;&gt;"",E65&lt;&gt;"",E65&lt;TODAY()),"⚠️延期","")</f>
        <v/>
      </c>
      <c r="H65" s="17" t="n"/>
    </row>
    <row r="66">
      <c r="A66" s="16" t="n"/>
      <c r="B66" s="16" t="n"/>
      <c r="C66" s="17" t="n"/>
      <c r="D66" s="16" t="n"/>
      <c r="E66" s="16" t="n"/>
      <c r="F66" s="16" t="n"/>
      <c r="G66" s="18">
        <f>IF(AND(D66&lt;&gt;"已完成",D66&lt;&gt;"",E66&lt;&gt;"",E66&lt;TODAY()),"⚠️延期","")</f>
        <v/>
      </c>
      <c r="H66" s="17" t="n"/>
    </row>
    <row r="67">
      <c r="A67" s="16" t="n"/>
      <c r="B67" s="16" t="n"/>
      <c r="C67" s="17" t="n"/>
      <c r="D67" s="16" t="n"/>
      <c r="E67" s="16" t="n"/>
      <c r="F67" s="16" t="n"/>
      <c r="G67" s="18">
        <f>IF(AND(D67&lt;&gt;"已完成",D67&lt;&gt;"",E67&lt;&gt;"",E67&lt;TODAY()),"⚠️延期","")</f>
        <v/>
      </c>
      <c r="H67" s="17" t="n"/>
    </row>
    <row r="68">
      <c r="A68" s="16" t="n"/>
      <c r="B68" s="16" t="n"/>
      <c r="C68" s="17" t="n"/>
      <c r="D68" s="16" t="n"/>
      <c r="E68" s="16" t="n"/>
      <c r="F68" s="16" t="n"/>
      <c r="G68" s="18">
        <f>IF(AND(D68&lt;&gt;"已完成",D68&lt;&gt;"",E68&lt;&gt;"",E68&lt;TODAY()),"⚠️延期","")</f>
        <v/>
      </c>
      <c r="H68" s="17" t="n"/>
    </row>
    <row r="69">
      <c r="A69" s="16" t="n"/>
      <c r="B69" s="16" t="n"/>
      <c r="C69" s="17" t="n"/>
      <c r="D69" s="16" t="n"/>
      <c r="E69" s="16" t="n"/>
      <c r="F69" s="16" t="n"/>
      <c r="G69" s="18">
        <f>IF(AND(D69&lt;&gt;"已完成",D69&lt;&gt;"",E69&lt;&gt;"",E69&lt;TODAY()),"⚠️延期","")</f>
        <v/>
      </c>
      <c r="H69" s="17" t="n"/>
    </row>
    <row r="70">
      <c r="A70" s="16" t="n"/>
      <c r="B70" s="16" t="n"/>
      <c r="C70" s="17" t="n"/>
      <c r="D70" s="16" t="n"/>
      <c r="E70" s="16" t="n"/>
      <c r="F70" s="16" t="n"/>
      <c r="G70" s="18">
        <f>IF(AND(D70&lt;&gt;"已完成",D70&lt;&gt;"",E70&lt;&gt;"",E70&lt;TODAY()),"⚠️延期","")</f>
        <v/>
      </c>
      <c r="H70" s="17" t="n"/>
    </row>
    <row r="71">
      <c r="A71" s="16" t="n"/>
      <c r="B71" s="16" t="n"/>
      <c r="C71" s="17" t="n"/>
      <c r="D71" s="16" t="n"/>
      <c r="E71" s="16" t="n"/>
      <c r="F71" s="16" t="n"/>
      <c r="G71" s="18">
        <f>IF(AND(D71&lt;&gt;"已完成",D71&lt;&gt;"",E71&lt;&gt;"",E71&lt;TODAY()),"⚠️延期","")</f>
        <v/>
      </c>
      <c r="H71" s="17" t="n"/>
    </row>
    <row r="72">
      <c r="A72" s="16" t="n"/>
      <c r="B72" s="16" t="n"/>
      <c r="C72" s="17" t="n"/>
      <c r="D72" s="16" t="n"/>
      <c r="E72" s="16" t="n"/>
      <c r="F72" s="16" t="n"/>
      <c r="G72" s="18">
        <f>IF(AND(D72&lt;&gt;"已完成",D72&lt;&gt;"",E72&lt;&gt;"",E72&lt;TODAY()),"⚠️延期","")</f>
        <v/>
      </c>
      <c r="H72" s="17" t="n"/>
    </row>
    <row r="73">
      <c r="A73" s="16" t="n"/>
      <c r="B73" s="16" t="n"/>
      <c r="C73" s="17" t="n"/>
      <c r="D73" s="16" t="n"/>
      <c r="E73" s="16" t="n"/>
      <c r="F73" s="16" t="n"/>
      <c r="G73" s="18">
        <f>IF(AND(D73&lt;&gt;"已完成",D73&lt;&gt;"",E73&lt;&gt;"",E73&lt;TODAY()),"⚠️延期","")</f>
        <v/>
      </c>
      <c r="H73" s="17" t="n"/>
    </row>
    <row r="74">
      <c r="A74" s="16" t="n"/>
      <c r="B74" s="16" t="n"/>
      <c r="C74" s="17" t="n"/>
      <c r="D74" s="16" t="n"/>
      <c r="E74" s="16" t="n"/>
      <c r="F74" s="16" t="n"/>
      <c r="G74" s="18">
        <f>IF(AND(D74&lt;&gt;"已完成",D74&lt;&gt;"",E74&lt;&gt;"",E74&lt;TODAY()),"⚠️延期","")</f>
        <v/>
      </c>
      <c r="H74" s="17" t="n"/>
    </row>
    <row r="75">
      <c r="A75" s="16" t="n"/>
      <c r="B75" s="16" t="n"/>
      <c r="C75" s="17" t="n"/>
      <c r="D75" s="16" t="n"/>
      <c r="E75" s="16" t="n"/>
      <c r="F75" s="16" t="n"/>
      <c r="G75" s="18">
        <f>IF(AND(D75&lt;&gt;"已完成",D75&lt;&gt;"",E75&lt;&gt;"",E75&lt;TODAY()),"⚠️延期","")</f>
        <v/>
      </c>
      <c r="H75" s="17" t="n"/>
    </row>
    <row r="76">
      <c r="A76" s="16" t="n"/>
      <c r="B76" s="16" t="n"/>
      <c r="C76" s="17" t="n"/>
      <c r="D76" s="16" t="n"/>
      <c r="E76" s="16" t="n"/>
      <c r="F76" s="16" t="n"/>
      <c r="G76" s="18">
        <f>IF(AND(D76&lt;&gt;"已完成",D76&lt;&gt;"",E76&lt;&gt;"",E76&lt;TODAY()),"⚠️延期","")</f>
        <v/>
      </c>
      <c r="H76" s="17" t="n"/>
    </row>
    <row r="77">
      <c r="A77" s="16" t="n"/>
      <c r="B77" s="16" t="n"/>
      <c r="C77" s="17" t="n"/>
      <c r="D77" s="16" t="n"/>
      <c r="E77" s="16" t="n"/>
      <c r="F77" s="16" t="n"/>
      <c r="G77" s="18">
        <f>IF(AND(D77&lt;&gt;"已完成",D77&lt;&gt;"",E77&lt;&gt;"",E77&lt;TODAY()),"⚠️延期","")</f>
        <v/>
      </c>
      <c r="H77" s="17" t="n"/>
    </row>
    <row r="78">
      <c r="A78" s="16" t="n"/>
      <c r="B78" s="16" t="n"/>
      <c r="C78" s="17" t="n"/>
      <c r="D78" s="16" t="n"/>
      <c r="E78" s="16" t="n"/>
      <c r="F78" s="16" t="n"/>
      <c r="G78" s="18">
        <f>IF(AND(D78&lt;&gt;"已完成",D78&lt;&gt;"",E78&lt;&gt;"",E78&lt;TODAY()),"⚠️延期","")</f>
        <v/>
      </c>
      <c r="H78" s="17" t="n"/>
    </row>
    <row r="79">
      <c r="A79" s="16" t="n"/>
      <c r="B79" s="16" t="n"/>
      <c r="C79" s="17" t="n"/>
      <c r="D79" s="16" t="n"/>
      <c r="E79" s="16" t="n"/>
      <c r="F79" s="16" t="n"/>
      <c r="G79" s="18">
        <f>IF(AND(D79&lt;&gt;"已完成",D79&lt;&gt;"",E79&lt;&gt;"",E79&lt;TODAY()),"⚠️延期","")</f>
        <v/>
      </c>
      <c r="H79" s="17" t="n"/>
    </row>
    <row r="80">
      <c r="A80" s="16" t="n"/>
      <c r="B80" s="16" t="n"/>
      <c r="C80" s="17" t="n"/>
      <c r="D80" s="16" t="n"/>
      <c r="E80" s="16" t="n"/>
      <c r="F80" s="16" t="n"/>
      <c r="G80" s="18">
        <f>IF(AND(D80&lt;&gt;"已完成",D80&lt;&gt;"",E80&lt;&gt;"",E80&lt;TODAY()),"⚠️延期","")</f>
        <v/>
      </c>
      <c r="H80" s="17" t="n"/>
    </row>
    <row r="81">
      <c r="A81" s="16" t="n"/>
      <c r="B81" s="16" t="n"/>
      <c r="C81" s="17" t="n"/>
      <c r="D81" s="16" t="n"/>
      <c r="E81" s="16" t="n"/>
      <c r="F81" s="16" t="n"/>
      <c r="G81" s="18">
        <f>IF(AND(D81&lt;&gt;"已完成",D81&lt;&gt;"",E81&lt;&gt;"",E81&lt;TODAY()),"⚠️延期","")</f>
        <v/>
      </c>
      <c r="H81" s="17" t="n"/>
    </row>
    <row r="82">
      <c r="A82" s="16" t="n"/>
      <c r="B82" s="16" t="n"/>
      <c r="C82" s="17" t="n"/>
      <c r="D82" s="16" t="n"/>
      <c r="E82" s="16" t="n"/>
      <c r="F82" s="16" t="n"/>
      <c r="G82" s="18">
        <f>IF(AND(D82&lt;&gt;"已完成",D82&lt;&gt;"",E82&lt;&gt;"",E82&lt;TODAY()),"⚠️延期","")</f>
        <v/>
      </c>
      <c r="H82" s="17" t="n"/>
    </row>
    <row r="83">
      <c r="A83" s="16" t="n"/>
      <c r="B83" s="16" t="n"/>
      <c r="C83" s="17" t="n"/>
      <c r="D83" s="16" t="n"/>
      <c r="E83" s="16" t="n"/>
      <c r="F83" s="16" t="n"/>
      <c r="G83" s="18">
        <f>IF(AND(D83&lt;&gt;"已完成",D83&lt;&gt;"",E83&lt;&gt;"",E83&lt;TODAY()),"⚠️延期","")</f>
        <v/>
      </c>
      <c r="H83" s="17" t="n"/>
    </row>
    <row r="84">
      <c r="A84" s="16" t="n"/>
      <c r="B84" s="16" t="n"/>
      <c r="C84" s="17" t="n"/>
      <c r="D84" s="16" t="n"/>
      <c r="E84" s="16" t="n"/>
      <c r="F84" s="16" t="n"/>
      <c r="G84" s="18">
        <f>IF(AND(D84&lt;&gt;"已完成",D84&lt;&gt;"",E84&lt;&gt;"",E84&lt;TODAY()),"⚠️延期","")</f>
        <v/>
      </c>
      <c r="H84" s="17" t="n"/>
    </row>
    <row r="85">
      <c r="A85" s="16" t="n"/>
      <c r="B85" s="16" t="n"/>
      <c r="C85" s="17" t="n"/>
      <c r="D85" s="16" t="n"/>
      <c r="E85" s="16" t="n"/>
      <c r="F85" s="16" t="n"/>
      <c r="G85" s="18">
        <f>IF(AND(D85&lt;&gt;"已完成",D85&lt;&gt;"",E85&lt;&gt;"",E85&lt;TODAY()),"⚠️延期","")</f>
        <v/>
      </c>
      <c r="H85" s="17" t="n"/>
    </row>
    <row r="86">
      <c r="A86" s="16" t="n"/>
      <c r="B86" s="16" t="n"/>
      <c r="C86" s="17" t="n"/>
      <c r="D86" s="16" t="n"/>
      <c r="E86" s="16" t="n"/>
      <c r="F86" s="16" t="n"/>
      <c r="G86" s="18">
        <f>IF(AND(D86&lt;&gt;"已完成",D86&lt;&gt;"",E86&lt;&gt;"",E86&lt;TODAY()),"⚠️延期","")</f>
        <v/>
      </c>
      <c r="H86" s="17" t="n"/>
    </row>
    <row r="87">
      <c r="A87" s="16" t="n"/>
      <c r="B87" s="16" t="n"/>
      <c r="C87" s="17" t="n"/>
      <c r="D87" s="16" t="n"/>
      <c r="E87" s="16" t="n"/>
      <c r="F87" s="16" t="n"/>
      <c r="G87" s="18">
        <f>IF(AND(D87&lt;&gt;"已完成",D87&lt;&gt;"",E87&lt;&gt;"",E87&lt;TODAY()),"⚠️延期","")</f>
        <v/>
      </c>
      <c r="H87" s="17" t="n"/>
    </row>
    <row r="88">
      <c r="A88" s="16" t="n"/>
      <c r="B88" s="16" t="n"/>
      <c r="C88" s="17" t="n"/>
      <c r="D88" s="16" t="n"/>
      <c r="E88" s="16" t="n"/>
      <c r="F88" s="16" t="n"/>
      <c r="G88" s="18">
        <f>IF(AND(D88&lt;&gt;"已完成",D88&lt;&gt;"",E88&lt;&gt;"",E88&lt;TODAY()),"⚠️延期","")</f>
        <v/>
      </c>
      <c r="H88" s="17" t="n"/>
    </row>
    <row r="89">
      <c r="A89" s="16" t="n"/>
      <c r="B89" s="16" t="n"/>
      <c r="C89" s="17" t="n"/>
      <c r="D89" s="16" t="n"/>
      <c r="E89" s="16" t="n"/>
      <c r="F89" s="16" t="n"/>
      <c r="G89" s="18">
        <f>IF(AND(D89&lt;&gt;"已完成",D89&lt;&gt;"",E89&lt;&gt;"",E89&lt;TODAY()),"⚠️延期","")</f>
        <v/>
      </c>
      <c r="H89" s="17" t="n"/>
    </row>
    <row r="90">
      <c r="A90" s="16" t="n"/>
      <c r="B90" s="16" t="n"/>
      <c r="C90" s="17" t="n"/>
      <c r="D90" s="16" t="n"/>
      <c r="E90" s="16" t="n"/>
      <c r="F90" s="16" t="n"/>
      <c r="G90" s="18">
        <f>IF(AND(D90&lt;&gt;"已完成",D90&lt;&gt;"",E90&lt;&gt;"",E90&lt;TODAY()),"⚠️延期","")</f>
        <v/>
      </c>
      <c r="H90" s="17" t="n"/>
    </row>
    <row r="91">
      <c r="A91" s="16" t="n"/>
      <c r="B91" s="16" t="n"/>
      <c r="C91" s="17" t="n"/>
      <c r="D91" s="16" t="n"/>
      <c r="E91" s="16" t="n"/>
      <c r="F91" s="16" t="n"/>
      <c r="G91" s="18">
        <f>IF(AND(D91&lt;&gt;"已完成",D91&lt;&gt;"",E91&lt;&gt;"",E91&lt;TODAY()),"⚠️延期","")</f>
        <v/>
      </c>
      <c r="H91" s="17" t="n"/>
    </row>
    <row r="92">
      <c r="A92" s="16" t="n"/>
      <c r="B92" s="16" t="n"/>
      <c r="C92" s="17" t="n"/>
      <c r="D92" s="16" t="n"/>
      <c r="E92" s="16" t="n"/>
      <c r="F92" s="16" t="n"/>
      <c r="G92" s="18">
        <f>IF(AND(D92&lt;&gt;"已完成",D92&lt;&gt;"",E92&lt;&gt;"",E92&lt;TODAY()),"⚠️延期","")</f>
        <v/>
      </c>
      <c r="H92" s="17" t="n"/>
    </row>
    <row r="93">
      <c r="A93" s="16" t="n"/>
      <c r="B93" s="16" t="n"/>
      <c r="C93" s="17" t="n"/>
      <c r="D93" s="16" t="n"/>
      <c r="E93" s="16" t="n"/>
      <c r="F93" s="16" t="n"/>
      <c r="G93" s="18">
        <f>IF(AND(D93&lt;&gt;"已完成",D93&lt;&gt;"",E93&lt;&gt;"",E93&lt;TODAY()),"⚠️延期","")</f>
        <v/>
      </c>
      <c r="H93" s="17" t="n"/>
    </row>
    <row r="94">
      <c r="A94" s="16" t="n"/>
      <c r="B94" s="16" t="n"/>
      <c r="C94" s="17" t="n"/>
      <c r="D94" s="16" t="n"/>
      <c r="E94" s="16" t="n"/>
      <c r="F94" s="16" t="n"/>
      <c r="G94" s="18">
        <f>IF(AND(D94&lt;&gt;"已完成",D94&lt;&gt;"",E94&lt;&gt;"",E94&lt;TODAY()),"⚠️延期","")</f>
        <v/>
      </c>
      <c r="H94" s="17" t="n"/>
    </row>
    <row r="95">
      <c r="A95" s="16" t="n"/>
      <c r="B95" s="16" t="n"/>
      <c r="C95" s="17" t="n"/>
      <c r="D95" s="16" t="n"/>
      <c r="E95" s="16" t="n"/>
      <c r="F95" s="16" t="n"/>
      <c r="G95" s="18">
        <f>IF(AND(D95&lt;&gt;"已完成",D95&lt;&gt;"",E95&lt;&gt;"",E95&lt;TODAY()),"⚠️延期","")</f>
        <v/>
      </c>
      <c r="H95" s="17" t="n"/>
    </row>
    <row r="96">
      <c r="A96" s="16" t="n"/>
      <c r="B96" s="16" t="n"/>
      <c r="C96" s="17" t="n"/>
      <c r="D96" s="16" t="n"/>
      <c r="E96" s="16" t="n"/>
      <c r="F96" s="16" t="n"/>
      <c r="G96" s="18">
        <f>IF(AND(D96&lt;&gt;"已完成",D96&lt;&gt;"",E96&lt;&gt;"",E96&lt;TODAY()),"⚠️延期","")</f>
        <v/>
      </c>
      <c r="H96" s="17" t="n"/>
    </row>
    <row r="97">
      <c r="A97" s="16" t="n"/>
      <c r="B97" s="16" t="n"/>
      <c r="C97" s="17" t="n"/>
      <c r="D97" s="16" t="n"/>
      <c r="E97" s="16" t="n"/>
      <c r="F97" s="16" t="n"/>
      <c r="G97" s="18">
        <f>IF(AND(D97&lt;&gt;"已完成",D97&lt;&gt;"",E97&lt;&gt;"",E97&lt;TODAY()),"⚠️延期","")</f>
        <v/>
      </c>
      <c r="H97" s="17" t="n"/>
    </row>
    <row r="98">
      <c r="A98" s="16" t="n"/>
      <c r="B98" s="16" t="n"/>
      <c r="C98" s="17" t="n"/>
      <c r="D98" s="16" t="n"/>
      <c r="E98" s="16" t="n"/>
      <c r="F98" s="16" t="n"/>
      <c r="G98" s="18">
        <f>IF(AND(D98&lt;&gt;"已完成",D98&lt;&gt;"",E98&lt;&gt;"",E98&lt;TODAY()),"⚠️延期","")</f>
        <v/>
      </c>
      <c r="H98" s="17" t="n"/>
    </row>
    <row r="99">
      <c r="A99" s="16" t="n"/>
      <c r="B99" s="16" t="n"/>
      <c r="C99" s="17" t="n"/>
      <c r="D99" s="16" t="n"/>
      <c r="E99" s="16" t="n"/>
      <c r="F99" s="16" t="n"/>
      <c r="G99" s="18">
        <f>IF(AND(D99&lt;&gt;"已完成",D99&lt;&gt;"",E99&lt;&gt;"",E99&lt;TODAY()),"⚠️延期","")</f>
        <v/>
      </c>
      <c r="H99" s="17" t="n"/>
    </row>
    <row r="100">
      <c r="A100" s="16" t="n"/>
      <c r="B100" s="16" t="n"/>
      <c r="C100" s="17" t="n"/>
      <c r="D100" s="16" t="n"/>
      <c r="E100" s="16" t="n"/>
      <c r="F100" s="16" t="n"/>
      <c r="G100" s="18">
        <f>IF(AND(D100&lt;&gt;"已完成",D100&lt;&gt;"",E100&lt;&gt;"",E100&lt;TODAY()),"⚠️延期","")</f>
        <v/>
      </c>
      <c r="H100" s="17" t="n"/>
    </row>
    <row r="101">
      <c r="A101" s="16" t="n"/>
      <c r="B101" s="16" t="n"/>
      <c r="C101" s="17" t="n"/>
      <c r="D101" s="16" t="n"/>
      <c r="E101" s="16" t="n"/>
      <c r="F101" s="16" t="n"/>
      <c r="G101" s="18">
        <f>IF(AND(D101&lt;&gt;"已完成",D101&lt;&gt;"",E101&lt;&gt;"",E101&lt;TODAY()),"⚠️延期","")</f>
        <v/>
      </c>
      <c r="H101" s="17" t="n"/>
    </row>
    <row r="102">
      <c r="A102" s="16" t="n"/>
      <c r="B102" s="16" t="n"/>
      <c r="C102" s="17" t="n"/>
      <c r="D102" s="16" t="n"/>
      <c r="E102" s="16" t="n"/>
      <c r="F102" s="16" t="n"/>
      <c r="G102" s="18">
        <f>IF(AND(D102&lt;&gt;"已完成",D102&lt;&gt;"",E102&lt;&gt;"",E102&lt;TODAY()),"⚠️延期","")</f>
        <v/>
      </c>
      <c r="H102" s="17" t="n"/>
    </row>
    <row r="103">
      <c r="A103" s="16" t="n"/>
      <c r="B103" s="16" t="n"/>
      <c r="C103" s="17" t="n"/>
      <c r="D103" s="16" t="n"/>
      <c r="E103" s="16" t="n"/>
      <c r="F103" s="16" t="n"/>
      <c r="G103" s="18">
        <f>IF(AND(D103&lt;&gt;"已完成",D103&lt;&gt;"",E103&lt;&gt;"",E103&lt;TODAY()),"⚠️延期","")</f>
        <v/>
      </c>
      <c r="H103" s="17" t="n"/>
    </row>
    <row r="104">
      <c r="A104" s="16" t="n"/>
      <c r="B104" s="16" t="n"/>
      <c r="C104" s="17" t="n"/>
      <c r="D104" s="16" t="n"/>
      <c r="E104" s="16" t="n"/>
      <c r="F104" s="16" t="n"/>
      <c r="G104" s="18">
        <f>IF(AND(D104&lt;&gt;"已完成",D104&lt;&gt;"",E104&lt;&gt;"",E104&lt;TODAY()),"⚠️延期","")</f>
        <v/>
      </c>
      <c r="H104" s="17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D5:D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H104">
    <cfRule type="expression" priority="7" dxfId="5">
      <formula>$G5="⚠️延期"</formula>
    </cfRule>
  </conditionalFormatting>
  <dataValidations count="2">
    <dataValidation sqref="B5:B104" showDropDown="0" showInputMessage="0" showErrorMessage="0" allowBlank="1" type="list">
      <formula1>=选项!$A$2:$A$8</formula1>
    </dataValidation>
    <dataValidation sqref="D5:D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2" customWidth="1" min="3" max="3"/>
    <col width="10" customWidth="1" min="4" max="4"/>
    <col width="12" customWidth="1" min="5" max="5"/>
    <col width="12" customWidth="1" min="6" max="6"/>
    <col width="10" customWidth="1" min="7" max="7"/>
    <col width="20" customWidth="1" min="8" max="8"/>
  </cols>
  <sheetData>
    <row r="1" ht="24" customHeight="1">
      <c r="A1" s="13" t="inlineStr">
        <is>
          <t>小红书-Alice · 每日工作</t>
        </is>
      </c>
    </row>
    <row r="2">
      <c r="A2" s="10" t="inlineStr">
        <is>
          <t>任务数</t>
        </is>
      </c>
      <c r="B2" s="10" t="inlineStr">
        <is>
          <t>已完成</t>
        </is>
      </c>
      <c r="C2" s="10" t="inlineStr">
        <is>
          <t>进行中</t>
        </is>
      </c>
      <c r="D2" s="10" t="inlineStr">
        <is>
          <t>延期</t>
        </is>
      </c>
      <c r="E2" s="10" t="inlineStr">
        <is>
          <t>完成率</t>
        </is>
      </c>
    </row>
    <row r="3">
      <c r="A3" s="14">
        <f>COUNTA(C5:C104)</f>
        <v/>
      </c>
      <c r="B3" s="14">
        <f>COUNTIF(D5:D104,"已完成")</f>
        <v/>
      </c>
      <c r="C3" s="14">
        <f>COUNTIF(D5:D104,"进行中")</f>
        <v/>
      </c>
      <c r="D3" s="14">
        <f>COUNTIF(G5:G104,"⚠️延期")+COUNTIF(D5:D104,"已延期")</f>
        <v/>
      </c>
      <c r="E3" s="8">
        <f>IFERROR(B3/A3,0)</f>
        <v/>
      </c>
    </row>
    <row r="4" ht="20" customHeight="1">
      <c r="A4" s="15" t="inlineStr">
        <is>
          <t>日期</t>
        </is>
      </c>
      <c r="B4" s="15" t="inlineStr">
        <is>
          <t>项目</t>
        </is>
      </c>
      <c r="C4" s="15" t="inlineStr">
        <is>
          <t>工作内容</t>
        </is>
      </c>
      <c r="D4" s="15" t="inlineStr">
        <is>
          <t>状态</t>
        </is>
      </c>
      <c r="E4" s="15" t="inlineStr">
        <is>
          <t>计划完成日</t>
        </is>
      </c>
      <c r="F4" s="15" t="inlineStr">
        <is>
          <t>实际完成日</t>
        </is>
      </c>
      <c r="G4" s="15" t="inlineStr">
        <is>
          <t>是否延期</t>
        </is>
      </c>
      <c r="H4" s="15" t="inlineStr">
        <is>
          <t>备注</t>
        </is>
      </c>
    </row>
    <row r="5">
      <c r="A5" s="16" t="n"/>
      <c r="B5" s="16" t="n"/>
      <c r="C5" s="17" t="n"/>
      <c r="D5" s="16" t="n"/>
      <c r="E5" s="16" t="n"/>
      <c r="F5" s="16" t="n"/>
      <c r="G5" s="18">
        <f>IF(AND(D5&lt;&gt;"已完成",D5&lt;&gt;"",E5&lt;&gt;"",E5&lt;TODAY()),"⚠️延期","")</f>
        <v/>
      </c>
      <c r="H5" s="17" t="n"/>
    </row>
    <row r="6">
      <c r="A6" s="16" t="n"/>
      <c r="B6" s="16" t="n"/>
      <c r="C6" s="17" t="n"/>
      <c r="D6" s="16" t="n"/>
      <c r="E6" s="16" t="n"/>
      <c r="F6" s="16" t="n"/>
      <c r="G6" s="18">
        <f>IF(AND(D6&lt;&gt;"已完成",D6&lt;&gt;"",E6&lt;&gt;"",E6&lt;TODAY()),"⚠️延期","")</f>
        <v/>
      </c>
      <c r="H6" s="17" t="n"/>
    </row>
    <row r="7">
      <c r="A7" s="16" t="n"/>
      <c r="B7" s="16" t="n"/>
      <c r="C7" s="17" t="n"/>
      <c r="D7" s="16" t="n"/>
      <c r="E7" s="16" t="n"/>
      <c r="F7" s="16" t="n"/>
      <c r="G7" s="18">
        <f>IF(AND(D7&lt;&gt;"已完成",D7&lt;&gt;"",E7&lt;&gt;"",E7&lt;TODAY()),"⚠️延期","")</f>
        <v/>
      </c>
      <c r="H7" s="17" t="n"/>
    </row>
    <row r="8">
      <c r="A8" s="16" t="n"/>
      <c r="B8" s="16" t="n"/>
      <c r="C8" s="17" t="n"/>
      <c r="D8" s="16" t="n"/>
      <c r="E8" s="16" t="n"/>
      <c r="F8" s="16" t="n"/>
      <c r="G8" s="18">
        <f>IF(AND(D8&lt;&gt;"已完成",D8&lt;&gt;"",E8&lt;&gt;"",E8&lt;TODAY()),"⚠️延期","")</f>
        <v/>
      </c>
      <c r="H8" s="17" t="n"/>
    </row>
    <row r="9">
      <c r="A9" s="16" t="n"/>
      <c r="B9" s="16" t="n"/>
      <c r="C9" s="17" t="n"/>
      <c r="D9" s="16" t="n"/>
      <c r="E9" s="16" t="n"/>
      <c r="F9" s="16" t="n"/>
      <c r="G9" s="18">
        <f>IF(AND(D9&lt;&gt;"已完成",D9&lt;&gt;"",E9&lt;&gt;"",E9&lt;TODAY()),"⚠️延期","")</f>
        <v/>
      </c>
      <c r="H9" s="17" t="n"/>
    </row>
    <row r="10">
      <c r="A10" s="16" t="n"/>
      <c r="B10" s="16" t="n"/>
      <c r="C10" s="17" t="n"/>
      <c r="D10" s="16" t="n"/>
      <c r="E10" s="16" t="n"/>
      <c r="F10" s="16" t="n"/>
      <c r="G10" s="18">
        <f>IF(AND(D10&lt;&gt;"已完成",D10&lt;&gt;"",E10&lt;&gt;"",E10&lt;TODAY()),"⚠️延期","")</f>
        <v/>
      </c>
      <c r="H10" s="17" t="n"/>
    </row>
    <row r="11">
      <c r="A11" s="16" t="n"/>
      <c r="B11" s="16" t="n"/>
      <c r="C11" s="17" t="n"/>
      <c r="D11" s="16" t="n"/>
      <c r="E11" s="16" t="n"/>
      <c r="F11" s="16" t="n"/>
      <c r="G11" s="18">
        <f>IF(AND(D11&lt;&gt;"已完成",D11&lt;&gt;"",E11&lt;&gt;"",E11&lt;TODAY()),"⚠️延期","")</f>
        <v/>
      </c>
      <c r="H11" s="17" t="n"/>
    </row>
    <row r="12">
      <c r="A12" s="16" t="n"/>
      <c r="B12" s="16" t="n"/>
      <c r="C12" s="17" t="n"/>
      <c r="D12" s="16" t="n"/>
      <c r="E12" s="16" t="n"/>
      <c r="F12" s="16" t="n"/>
      <c r="G12" s="18">
        <f>IF(AND(D12&lt;&gt;"已完成",D12&lt;&gt;"",E12&lt;&gt;"",E12&lt;TODAY()),"⚠️延期","")</f>
        <v/>
      </c>
      <c r="H12" s="17" t="n"/>
    </row>
    <row r="13">
      <c r="A13" s="16" t="n"/>
      <c r="B13" s="16" t="n"/>
      <c r="C13" s="17" t="n"/>
      <c r="D13" s="16" t="n"/>
      <c r="E13" s="16" t="n"/>
      <c r="F13" s="16" t="n"/>
      <c r="G13" s="18">
        <f>IF(AND(D13&lt;&gt;"已完成",D13&lt;&gt;"",E13&lt;&gt;"",E13&lt;TODAY()),"⚠️延期","")</f>
        <v/>
      </c>
      <c r="H13" s="17" t="n"/>
    </row>
    <row r="14">
      <c r="A14" s="16" t="n"/>
      <c r="B14" s="16" t="n"/>
      <c r="C14" s="17" t="n"/>
      <c r="D14" s="16" t="n"/>
      <c r="E14" s="16" t="n"/>
      <c r="F14" s="16" t="n"/>
      <c r="G14" s="18">
        <f>IF(AND(D14&lt;&gt;"已完成",D14&lt;&gt;"",E14&lt;&gt;"",E14&lt;TODAY()),"⚠️延期","")</f>
        <v/>
      </c>
      <c r="H14" s="17" t="n"/>
    </row>
    <row r="15">
      <c r="A15" s="16" t="n"/>
      <c r="B15" s="16" t="n"/>
      <c r="C15" s="17" t="n"/>
      <c r="D15" s="16" t="n"/>
      <c r="E15" s="16" t="n"/>
      <c r="F15" s="16" t="n"/>
      <c r="G15" s="18">
        <f>IF(AND(D15&lt;&gt;"已完成",D15&lt;&gt;"",E15&lt;&gt;"",E15&lt;TODAY()),"⚠️延期","")</f>
        <v/>
      </c>
      <c r="H15" s="17" t="n"/>
    </row>
    <row r="16">
      <c r="A16" s="16" t="n"/>
      <c r="B16" s="16" t="n"/>
      <c r="C16" s="17" t="n"/>
      <c r="D16" s="16" t="n"/>
      <c r="E16" s="16" t="n"/>
      <c r="F16" s="16" t="n"/>
      <c r="G16" s="18">
        <f>IF(AND(D16&lt;&gt;"已完成",D16&lt;&gt;"",E16&lt;&gt;"",E16&lt;TODAY()),"⚠️延期","")</f>
        <v/>
      </c>
      <c r="H16" s="17" t="n"/>
    </row>
    <row r="17">
      <c r="A17" s="16" t="n"/>
      <c r="B17" s="16" t="n"/>
      <c r="C17" s="17" t="n"/>
      <c r="D17" s="16" t="n"/>
      <c r="E17" s="16" t="n"/>
      <c r="F17" s="16" t="n"/>
      <c r="G17" s="18">
        <f>IF(AND(D17&lt;&gt;"已完成",D17&lt;&gt;"",E17&lt;&gt;"",E17&lt;TODAY()),"⚠️延期","")</f>
        <v/>
      </c>
      <c r="H17" s="17" t="n"/>
    </row>
    <row r="18">
      <c r="A18" s="16" t="n"/>
      <c r="B18" s="16" t="n"/>
      <c r="C18" s="17" t="n"/>
      <c r="D18" s="16" t="n"/>
      <c r="E18" s="16" t="n"/>
      <c r="F18" s="16" t="n"/>
      <c r="G18" s="18">
        <f>IF(AND(D18&lt;&gt;"已完成",D18&lt;&gt;"",E18&lt;&gt;"",E18&lt;TODAY()),"⚠️延期","")</f>
        <v/>
      </c>
      <c r="H18" s="17" t="n"/>
    </row>
    <row r="19">
      <c r="A19" s="16" t="n"/>
      <c r="B19" s="16" t="n"/>
      <c r="C19" s="17" t="n"/>
      <c r="D19" s="16" t="n"/>
      <c r="E19" s="16" t="n"/>
      <c r="F19" s="16" t="n"/>
      <c r="G19" s="18">
        <f>IF(AND(D19&lt;&gt;"已完成",D19&lt;&gt;"",E19&lt;&gt;"",E19&lt;TODAY()),"⚠️延期","")</f>
        <v/>
      </c>
      <c r="H19" s="17" t="n"/>
    </row>
    <row r="20">
      <c r="A20" s="16" t="n"/>
      <c r="B20" s="16" t="n"/>
      <c r="C20" s="17" t="n"/>
      <c r="D20" s="16" t="n"/>
      <c r="E20" s="16" t="n"/>
      <c r="F20" s="16" t="n"/>
      <c r="G20" s="18">
        <f>IF(AND(D20&lt;&gt;"已完成",D20&lt;&gt;"",E20&lt;&gt;"",E20&lt;TODAY()),"⚠️延期","")</f>
        <v/>
      </c>
      <c r="H20" s="17" t="n"/>
    </row>
    <row r="21">
      <c r="A21" s="16" t="n"/>
      <c r="B21" s="16" t="n"/>
      <c r="C21" s="17" t="n"/>
      <c r="D21" s="16" t="n"/>
      <c r="E21" s="16" t="n"/>
      <c r="F21" s="16" t="n"/>
      <c r="G21" s="18">
        <f>IF(AND(D21&lt;&gt;"已完成",D21&lt;&gt;"",E21&lt;&gt;"",E21&lt;TODAY()),"⚠️延期","")</f>
        <v/>
      </c>
      <c r="H21" s="17" t="n"/>
    </row>
    <row r="22">
      <c r="A22" s="16" t="n"/>
      <c r="B22" s="16" t="n"/>
      <c r="C22" s="17" t="n"/>
      <c r="D22" s="16" t="n"/>
      <c r="E22" s="16" t="n"/>
      <c r="F22" s="16" t="n"/>
      <c r="G22" s="18">
        <f>IF(AND(D22&lt;&gt;"已完成",D22&lt;&gt;"",E22&lt;&gt;"",E22&lt;TODAY()),"⚠️延期","")</f>
        <v/>
      </c>
      <c r="H22" s="17" t="n"/>
    </row>
    <row r="23">
      <c r="A23" s="16" t="n"/>
      <c r="B23" s="16" t="n"/>
      <c r="C23" s="17" t="n"/>
      <c r="D23" s="16" t="n"/>
      <c r="E23" s="16" t="n"/>
      <c r="F23" s="16" t="n"/>
      <c r="G23" s="18">
        <f>IF(AND(D23&lt;&gt;"已完成",D23&lt;&gt;"",E23&lt;&gt;"",E23&lt;TODAY()),"⚠️延期","")</f>
        <v/>
      </c>
      <c r="H23" s="17" t="n"/>
    </row>
    <row r="24">
      <c r="A24" s="16" t="n"/>
      <c r="B24" s="16" t="n"/>
      <c r="C24" s="17" t="n"/>
      <c r="D24" s="16" t="n"/>
      <c r="E24" s="16" t="n"/>
      <c r="F24" s="16" t="n"/>
      <c r="G24" s="18">
        <f>IF(AND(D24&lt;&gt;"已完成",D24&lt;&gt;"",E24&lt;&gt;"",E24&lt;TODAY()),"⚠️延期","")</f>
        <v/>
      </c>
      <c r="H24" s="17" t="n"/>
    </row>
    <row r="25">
      <c r="A25" s="16" t="n"/>
      <c r="B25" s="16" t="n"/>
      <c r="C25" s="17" t="n"/>
      <c r="D25" s="16" t="n"/>
      <c r="E25" s="16" t="n"/>
      <c r="F25" s="16" t="n"/>
      <c r="G25" s="18">
        <f>IF(AND(D25&lt;&gt;"已完成",D25&lt;&gt;"",E25&lt;&gt;"",E25&lt;TODAY()),"⚠️延期","")</f>
        <v/>
      </c>
      <c r="H25" s="17" t="n"/>
    </row>
    <row r="26">
      <c r="A26" s="16" t="n"/>
      <c r="B26" s="16" t="n"/>
      <c r="C26" s="17" t="n"/>
      <c r="D26" s="16" t="n"/>
      <c r="E26" s="16" t="n"/>
      <c r="F26" s="16" t="n"/>
      <c r="G26" s="18">
        <f>IF(AND(D26&lt;&gt;"已完成",D26&lt;&gt;"",E26&lt;&gt;"",E26&lt;TODAY()),"⚠️延期","")</f>
        <v/>
      </c>
      <c r="H26" s="17" t="n"/>
    </row>
    <row r="27">
      <c r="A27" s="16" t="n"/>
      <c r="B27" s="16" t="n"/>
      <c r="C27" s="17" t="n"/>
      <c r="D27" s="16" t="n"/>
      <c r="E27" s="16" t="n"/>
      <c r="F27" s="16" t="n"/>
      <c r="G27" s="18">
        <f>IF(AND(D27&lt;&gt;"已完成",D27&lt;&gt;"",E27&lt;&gt;"",E27&lt;TODAY()),"⚠️延期","")</f>
        <v/>
      </c>
      <c r="H27" s="17" t="n"/>
    </row>
    <row r="28">
      <c r="A28" s="16" t="n"/>
      <c r="B28" s="16" t="n"/>
      <c r="C28" s="17" t="n"/>
      <c r="D28" s="16" t="n"/>
      <c r="E28" s="16" t="n"/>
      <c r="F28" s="16" t="n"/>
      <c r="G28" s="18">
        <f>IF(AND(D28&lt;&gt;"已完成",D28&lt;&gt;"",E28&lt;&gt;"",E28&lt;TODAY()),"⚠️延期","")</f>
        <v/>
      </c>
      <c r="H28" s="17" t="n"/>
    </row>
    <row r="29">
      <c r="A29" s="16" t="n"/>
      <c r="B29" s="16" t="n"/>
      <c r="C29" s="17" t="n"/>
      <c r="D29" s="16" t="n"/>
      <c r="E29" s="16" t="n"/>
      <c r="F29" s="16" t="n"/>
      <c r="G29" s="18">
        <f>IF(AND(D29&lt;&gt;"已完成",D29&lt;&gt;"",E29&lt;&gt;"",E29&lt;TODAY()),"⚠️延期","")</f>
        <v/>
      </c>
      <c r="H29" s="17" t="n"/>
    </row>
    <row r="30">
      <c r="A30" s="16" t="n"/>
      <c r="B30" s="16" t="n"/>
      <c r="C30" s="17" t="n"/>
      <c r="D30" s="16" t="n"/>
      <c r="E30" s="16" t="n"/>
      <c r="F30" s="16" t="n"/>
      <c r="G30" s="18">
        <f>IF(AND(D30&lt;&gt;"已完成",D30&lt;&gt;"",E30&lt;&gt;"",E30&lt;TODAY()),"⚠️延期","")</f>
        <v/>
      </c>
      <c r="H30" s="17" t="n"/>
    </row>
    <row r="31">
      <c r="A31" s="16" t="n"/>
      <c r="B31" s="16" t="n"/>
      <c r="C31" s="17" t="n"/>
      <c r="D31" s="16" t="n"/>
      <c r="E31" s="16" t="n"/>
      <c r="F31" s="16" t="n"/>
      <c r="G31" s="18">
        <f>IF(AND(D31&lt;&gt;"已完成",D31&lt;&gt;"",E31&lt;&gt;"",E31&lt;TODAY()),"⚠️延期","")</f>
        <v/>
      </c>
      <c r="H31" s="17" t="n"/>
    </row>
    <row r="32">
      <c r="A32" s="16" t="n"/>
      <c r="B32" s="16" t="n"/>
      <c r="C32" s="17" t="n"/>
      <c r="D32" s="16" t="n"/>
      <c r="E32" s="16" t="n"/>
      <c r="F32" s="16" t="n"/>
      <c r="G32" s="18">
        <f>IF(AND(D32&lt;&gt;"已完成",D32&lt;&gt;"",E32&lt;&gt;"",E32&lt;TODAY()),"⚠️延期","")</f>
        <v/>
      </c>
      <c r="H32" s="17" t="n"/>
    </row>
    <row r="33">
      <c r="A33" s="16" t="n"/>
      <c r="B33" s="16" t="n"/>
      <c r="C33" s="17" t="n"/>
      <c r="D33" s="16" t="n"/>
      <c r="E33" s="16" t="n"/>
      <c r="F33" s="16" t="n"/>
      <c r="G33" s="18">
        <f>IF(AND(D33&lt;&gt;"已完成",D33&lt;&gt;"",E33&lt;&gt;"",E33&lt;TODAY()),"⚠️延期","")</f>
        <v/>
      </c>
      <c r="H33" s="17" t="n"/>
    </row>
    <row r="34">
      <c r="A34" s="16" t="n"/>
      <c r="B34" s="16" t="n"/>
      <c r="C34" s="17" t="n"/>
      <c r="D34" s="16" t="n"/>
      <c r="E34" s="16" t="n"/>
      <c r="F34" s="16" t="n"/>
      <c r="G34" s="18">
        <f>IF(AND(D34&lt;&gt;"已完成",D34&lt;&gt;"",E34&lt;&gt;"",E34&lt;TODAY()),"⚠️延期","")</f>
        <v/>
      </c>
      <c r="H34" s="17" t="n"/>
    </row>
    <row r="35">
      <c r="A35" s="16" t="n"/>
      <c r="B35" s="16" t="n"/>
      <c r="C35" s="17" t="n"/>
      <c r="D35" s="16" t="n"/>
      <c r="E35" s="16" t="n"/>
      <c r="F35" s="16" t="n"/>
      <c r="G35" s="18">
        <f>IF(AND(D35&lt;&gt;"已完成",D35&lt;&gt;"",E35&lt;&gt;"",E35&lt;TODAY()),"⚠️延期","")</f>
        <v/>
      </c>
      <c r="H35" s="17" t="n"/>
    </row>
    <row r="36">
      <c r="A36" s="16" t="n"/>
      <c r="B36" s="16" t="n"/>
      <c r="C36" s="17" t="n"/>
      <c r="D36" s="16" t="n"/>
      <c r="E36" s="16" t="n"/>
      <c r="F36" s="16" t="n"/>
      <c r="G36" s="18">
        <f>IF(AND(D36&lt;&gt;"已完成",D36&lt;&gt;"",E36&lt;&gt;"",E36&lt;TODAY()),"⚠️延期","")</f>
        <v/>
      </c>
      <c r="H36" s="17" t="n"/>
    </row>
    <row r="37">
      <c r="A37" s="16" t="n"/>
      <c r="B37" s="16" t="n"/>
      <c r="C37" s="17" t="n"/>
      <c r="D37" s="16" t="n"/>
      <c r="E37" s="16" t="n"/>
      <c r="F37" s="16" t="n"/>
      <c r="G37" s="18">
        <f>IF(AND(D37&lt;&gt;"已完成",D37&lt;&gt;"",E37&lt;&gt;"",E37&lt;TODAY()),"⚠️延期","")</f>
        <v/>
      </c>
      <c r="H37" s="17" t="n"/>
    </row>
    <row r="38">
      <c r="A38" s="16" t="n"/>
      <c r="B38" s="16" t="n"/>
      <c r="C38" s="17" t="n"/>
      <c r="D38" s="16" t="n"/>
      <c r="E38" s="16" t="n"/>
      <c r="F38" s="16" t="n"/>
      <c r="G38" s="18">
        <f>IF(AND(D38&lt;&gt;"已完成",D38&lt;&gt;"",E38&lt;&gt;"",E38&lt;TODAY()),"⚠️延期","")</f>
        <v/>
      </c>
      <c r="H38" s="17" t="n"/>
    </row>
    <row r="39">
      <c r="A39" s="16" t="n"/>
      <c r="B39" s="16" t="n"/>
      <c r="C39" s="17" t="n"/>
      <c r="D39" s="16" t="n"/>
      <c r="E39" s="16" t="n"/>
      <c r="F39" s="16" t="n"/>
      <c r="G39" s="18">
        <f>IF(AND(D39&lt;&gt;"已完成",D39&lt;&gt;"",E39&lt;&gt;"",E39&lt;TODAY()),"⚠️延期","")</f>
        <v/>
      </c>
      <c r="H39" s="17" t="n"/>
    </row>
    <row r="40">
      <c r="A40" s="16" t="n"/>
      <c r="B40" s="16" t="n"/>
      <c r="C40" s="17" t="n"/>
      <c r="D40" s="16" t="n"/>
      <c r="E40" s="16" t="n"/>
      <c r="F40" s="16" t="n"/>
      <c r="G40" s="18">
        <f>IF(AND(D40&lt;&gt;"已完成",D40&lt;&gt;"",E40&lt;&gt;"",E40&lt;TODAY()),"⚠️延期","")</f>
        <v/>
      </c>
      <c r="H40" s="17" t="n"/>
    </row>
    <row r="41">
      <c r="A41" s="16" t="n"/>
      <c r="B41" s="16" t="n"/>
      <c r="C41" s="17" t="n"/>
      <c r="D41" s="16" t="n"/>
      <c r="E41" s="16" t="n"/>
      <c r="F41" s="16" t="n"/>
      <c r="G41" s="18">
        <f>IF(AND(D41&lt;&gt;"已完成",D41&lt;&gt;"",E41&lt;&gt;"",E41&lt;TODAY()),"⚠️延期","")</f>
        <v/>
      </c>
      <c r="H41" s="17" t="n"/>
    </row>
    <row r="42">
      <c r="A42" s="16" t="n"/>
      <c r="B42" s="16" t="n"/>
      <c r="C42" s="17" t="n"/>
      <c r="D42" s="16" t="n"/>
      <c r="E42" s="16" t="n"/>
      <c r="F42" s="16" t="n"/>
      <c r="G42" s="18">
        <f>IF(AND(D42&lt;&gt;"已完成",D42&lt;&gt;"",E42&lt;&gt;"",E42&lt;TODAY()),"⚠️延期","")</f>
        <v/>
      </c>
      <c r="H42" s="17" t="n"/>
    </row>
    <row r="43">
      <c r="A43" s="16" t="n"/>
      <c r="B43" s="16" t="n"/>
      <c r="C43" s="17" t="n"/>
      <c r="D43" s="16" t="n"/>
      <c r="E43" s="16" t="n"/>
      <c r="F43" s="16" t="n"/>
      <c r="G43" s="18">
        <f>IF(AND(D43&lt;&gt;"已完成",D43&lt;&gt;"",E43&lt;&gt;"",E43&lt;TODAY()),"⚠️延期","")</f>
        <v/>
      </c>
      <c r="H43" s="17" t="n"/>
    </row>
    <row r="44">
      <c r="A44" s="16" t="n"/>
      <c r="B44" s="16" t="n"/>
      <c r="C44" s="17" t="n"/>
      <c r="D44" s="16" t="n"/>
      <c r="E44" s="16" t="n"/>
      <c r="F44" s="16" t="n"/>
      <c r="G44" s="18">
        <f>IF(AND(D44&lt;&gt;"已完成",D44&lt;&gt;"",E44&lt;&gt;"",E44&lt;TODAY()),"⚠️延期","")</f>
        <v/>
      </c>
      <c r="H44" s="17" t="n"/>
    </row>
    <row r="45">
      <c r="A45" s="16" t="n"/>
      <c r="B45" s="16" t="n"/>
      <c r="C45" s="17" t="n"/>
      <c r="D45" s="16" t="n"/>
      <c r="E45" s="16" t="n"/>
      <c r="F45" s="16" t="n"/>
      <c r="G45" s="18">
        <f>IF(AND(D45&lt;&gt;"已完成",D45&lt;&gt;"",E45&lt;&gt;"",E45&lt;TODAY()),"⚠️延期","")</f>
        <v/>
      </c>
      <c r="H45" s="17" t="n"/>
    </row>
    <row r="46">
      <c r="A46" s="16" t="n"/>
      <c r="B46" s="16" t="n"/>
      <c r="C46" s="17" t="n"/>
      <c r="D46" s="16" t="n"/>
      <c r="E46" s="16" t="n"/>
      <c r="F46" s="16" t="n"/>
      <c r="G46" s="18">
        <f>IF(AND(D46&lt;&gt;"已完成",D46&lt;&gt;"",E46&lt;&gt;"",E46&lt;TODAY()),"⚠️延期","")</f>
        <v/>
      </c>
      <c r="H46" s="17" t="n"/>
    </row>
    <row r="47">
      <c r="A47" s="16" t="n"/>
      <c r="B47" s="16" t="n"/>
      <c r="C47" s="17" t="n"/>
      <c r="D47" s="16" t="n"/>
      <c r="E47" s="16" t="n"/>
      <c r="F47" s="16" t="n"/>
      <c r="G47" s="18">
        <f>IF(AND(D47&lt;&gt;"已完成",D47&lt;&gt;"",E47&lt;&gt;"",E47&lt;TODAY()),"⚠️延期","")</f>
        <v/>
      </c>
      <c r="H47" s="17" t="n"/>
    </row>
    <row r="48">
      <c r="A48" s="16" t="n"/>
      <c r="B48" s="16" t="n"/>
      <c r="C48" s="17" t="n"/>
      <c r="D48" s="16" t="n"/>
      <c r="E48" s="16" t="n"/>
      <c r="F48" s="16" t="n"/>
      <c r="G48" s="18">
        <f>IF(AND(D48&lt;&gt;"已完成",D48&lt;&gt;"",E48&lt;&gt;"",E48&lt;TODAY()),"⚠️延期","")</f>
        <v/>
      </c>
      <c r="H48" s="17" t="n"/>
    </row>
    <row r="49">
      <c r="A49" s="16" t="n"/>
      <c r="B49" s="16" t="n"/>
      <c r="C49" s="17" t="n"/>
      <c r="D49" s="16" t="n"/>
      <c r="E49" s="16" t="n"/>
      <c r="F49" s="16" t="n"/>
      <c r="G49" s="18">
        <f>IF(AND(D49&lt;&gt;"已完成",D49&lt;&gt;"",E49&lt;&gt;"",E49&lt;TODAY()),"⚠️延期","")</f>
        <v/>
      </c>
      <c r="H49" s="17" t="n"/>
    </row>
    <row r="50">
      <c r="A50" s="16" t="n"/>
      <c r="B50" s="16" t="n"/>
      <c r="C50" s="17" t="n"/>
      <c r="D50" s="16" t="n"/>
      <c r="E50" s="16" t="n"/>
      <c r="F50" s="16" t="n"/>
      <c r="G50" s="18">
        <f>IF(AND(D50&lt;&gt;"已完成",D50&lt;&gt;"",E50&lt;&gt;"",E50&lt;TODAY()),"⚠️延期","")</f>
        <v/>
      </c>
      <c r="H50" s="17" t="n"/>
    </row>
    <row r="51">
      <c r="A51" s="16" t="n"/>
      <c r="B51" s="16" t="n"/>
      <c r="C51" s="17" t="n"/>
      <c r="D51" s="16" t="n"/>
      <c r="E51" s="16" t="n"/>
      <c r="F51" s="16" t="n"/>
      <c r="G51" s="18">
        <f>IF(AND(D51&lt;&gt;"已完成",D51&lt;&gt;"",E51&lt;&gt;"",E51&lt;TODAY()),"⚠️延期","")</f>
        <v/>
      </c>
      <c r="H51" s="17" t="n"/>
    </row>
    <row r="52">
      <c r="A52" s="16" t="n"/>
      <c r="B52" s="16" t="n"/>
      <c r="C52" s="17" t="n"/>
      <c r="D52" s="16" t="n"/>
      <c r="E52" s="16" t="n"/>
      <c r="F52" s="16" t="n"/>
      <c r="G52" s="18">
        <f>IF(AND(D52&lt;&gt;"已完成",D52&lt;&gt;"",E52&lt;&gt;"",E52&lt;TODAY()),"⚠️延期","")</f>
        <v/>
      </c>
      <c r="H52" s="17" t="n"/>
    </row>
    <row r="53">
      <c r="A53" s="16" t="n"/>
      <c r="B53" s="16" t="n"/>
      <c r="C53" s="17" t="n"/>
      <c r="D53" s="16" t="n"/>
      <c r="E53" s="16" t="n"/>
      <c r="F53" s="16" t="n"/>
      <c r="G53" s="18">
        <f>IF(AND(D53&lt;&gt;"已完成",D53&lt;&gt;"",E53&lt;&gt;"",E53&lt;TODAY()),"⚠️延期","")</f>
        <v/>
      </c>
      <c r="H53" s="17" t="n"/>
    </row>
    <row r="54">
      <c r="A54" s="16" t="n"/>
      <c r="B54" s="16" t="n"/>
      <c r="C54" s="17" t="n"/>
      <c r="D54" s="16" t="n"/>
      <c r="E54" s="16" t="n"/>
      <c r="F54" s="16" t="n"/>
      <c r="G54" s="18">
        <f>IF(AND(D54&lt;&gt;"已完成",D54&lt;&gt;"",E54&lt;&gt;"",E54&lt;TODAY()),"⚠️延期","")</f>
        <v/>
      </c>
      <c r="H54" s="17" t="n"/>
    </row>
    <row r="55">
      <c r="A55" s="16" t="n"/>
      <c r="B55" s="16" t="n"/>
      <c r="C55" s="17" t="n"/>
      <c r="D55" s="16" t="n"/>
      <c r="E55" s="16" t="n"/>
      <c r="F55" s="16" t="n"/>
      <c r="G55" s="18">
        <f>IF(AND(D55&lt;&gt;"已完成",D55&lt;&gt;"",E55&lt;&gt;"",E55&lt;TODAY()),"⚠️延期","")</f>
        <v/>
      </c>
      <c r="H55" s="17" t="n"/>
    </row>
    <row r="56">
      <c r="A56" s="16" t="n"/>
      <c r="B56" s="16" t="n"/>
      <c r="C56" s="17" t="n"/>
      <c r="D56" s="16" t="n"/>
      <c r="E56" s="16" t="n"/>
      <c r="F56" s="16" t="n"/>
      <c r="G56" s="18">
        <f>IF(AND(D56&lt;&gt;"已完成",D56&lt;&gt;"",E56&lt;&gt;"",E56&lt;TODAY()),"⚠️延期","")</f>
        <v/>
      </c>
      <c r="H56" s="17" t="n"/>
    </row>
    <row r="57">
      <c r="A57" s="16" t="n"/>
      <c r="B57" s="16" t="n"/>
      <c r="C57" s="17" t="n"/>
      <c r="D57" s="16" t="n"/>
      <c r="E57" s="16" t="n"/>
      <c r="F57" s="16" t="n"/>
      <c r="G57" s="18">
        <f>IF(AND(D57&lt;&gt;"已完成",D57&lt;&gt;"",E57&lt;&gt;"",E57&lt;TODAY()),"⚠️延期","")</f>
        <v/>
      </c>
      <c r="H57" s="17" t="n"/>
    </row>
    <row r="58">
      <c r="A58" s="16" t="n"/>
      <c r="B58" s="16" t="n"/>
      <c r="C58" s="17" t="n"/>
      <c r="D58" s="16" t="n"/>
      <c r="E58" s="16" t="n"/>
      <c r="F58" s="16" t="n"/>
      <c r="G58" s="18">
        <f>IF(AND(D58&lt;&gt;"已完成",D58&lt;&gt;"",E58&lt;&gt;"",E58&lt;TODAY()),"⚠️延期","")</f>
        <v/>
      </c>
      <c r="H58" s="17" t="n"/>
    </row>
    <row r="59">
      <c r="A59" s="16" t="n"/>
      <c r="B59" s="16" t="n"/>
      <c r="C59" s="17" t="n"/>
      <c r="D59" s="16" t="n"/>
      <c r="E59" s="16" t="n"/>
      <c r="F59" s="16" t="n"/>
      <c r="G59" s="18">
        <f>IF(AND(D59&lt;&gt;"已完成",D59&lt;&gt;"",E59&lt;&gt;"",E59&lt;TODAY()),"⚠️延期","")</f>
        <v/>
      </c>
      <c r="H59" s="17" t="n"/>
    </row>
    <row r="60">
      <c r="A60" s="16" t="n"/>
      <c r="B60" s="16" t="n"/>
      <c r="C60" s="17" t="n"/>
      <c r="D60" s="16" t="n"/>
      <c r="E60" s="16" t="n"/>
      <c r="F60" s="16" t="n"/>
      <c r="G60" s="18">
        <f>IF(AND(D60&lt;&gt;"已完成",D60&lt;&gt;"",E60&lt;&gt;"",E60&lt;TODAY()),"⚠️延期","")</f>
        <v/>
      </c>
      <c r="H60" s="17" t="n"/>
    </row>
    <row r="61">
      <c r="A61" s="16" t="n"/>
      <c r="B61" s="16" t="n"/>
      <c r="C61" s="17" t="n"/>
      <c r="D61" s="16" t="n"/>
      <c r="E61" s="16" t="n"/>
      <c r="F61" s="16" t="n"/>
      <c r="G61" s="18">
        <f>IF(AND(D61&lt;&gt;"已完成",D61&lt;&gt;"",E61&lt;&gt;"",E61&lt;TODAY()),"⚠️延期","")</f>
        <v/>
      </c>
      <c r="H61" s="17" t="n"/>
    </row>
    <row r="62">
      <c r="A62" s="16" t="n"/>
      <c r="B62" s="16" t="n"/>
      <c r="C62" s="17" t="n"/>
      <c r="D62" s="16" t="n"/>
      <c r="E62" s="16" t="n"/>
      <c r="F62" s="16" t="n"/>
      <c r="G62" s="18">
        <f>IF(AND(D62&lt;&gt;"已完成",D62&lt;&gt;"",E62&lt;&gt;"",E62&lt;TODAY()),"⚠️延期","")</f>
        <v/>
      </c>
      <c r="H62" s="17" t="n"/>
    </row>
    <row r="63">
      <c r="A63" s="16" t="n"/>
      <c r="B63" s="16" t="n"/>
      <c r="C63" s="17" t="n"/>
      <c r="D63" s="16" t="n"/>
      <c r="E63" s="16" t="n"/>
      <c r="F63" s="16" t="n"/>
      <c r="G63" s="18">
        <f>IF(AND(D63&lt;&gt;"已完成",D63&lt;&gt;"",E63&lt;&gt;"",E63&lt;TODAY()),"⚠️延期","")</f>
        <v/>
      </c>
      <c r="H63" s="17" t="n"/>
    </row>
    <row r="64">
      <c r="A64" s="16" t="n"/>
      <c r="B64" s="16" t="n"/>
      <c r="C64" s="17" t="n"/>
      <c r="D64" s="16" t="n"/>
      <c r="E64" s="16" t="n"/>
      <c r="F64" s="16" t="n"/>
      <c r="G64" s="18">
        <f>IF(AND(D64&lt;&gt;"已完成",D64&lt;&gt;"",E64&lt;&gt;"",E64&lt;TODAY()),"⚠️延期","")</f>
        <v/>
      </c>
      <c r="H64" s="17" t="n"/>
    </row>
    <row r="65">
      <c r="A65" s="16" t="n"/>
      <c r="B65" s="16" t="n"/>
      <c r="C65" s="17" t="n"/>
      <c r="D65" s="16" t="n"/>
      <c r="E65" s="16" t="n"/>
      <c r="F65" s="16" t="n"/>
      <c r="G65" s="18">
        <f>IF(AND(D65&lt;&gt;"已完成",D65&lt;&gt;"",E65&lt;&gt;"",E65&lt;TODAY()),"⚠️延期","")</f>
        <v/>
      </c>
      <c r="H65" s="17" t="n"/>
    </row>
    <row r="66">
      <c r="A66" s="16" t="n"/>
      <c r="B66" s="16" t="n"/>
      <c r="C66" s="17" t="n"/>
      <c r="D66" s="16" t="n"/>
      <c r="E66" s="16" t="n"/>
      <c r="F66" s="16" t="n"/>
      <c r="G66" s="18">
        <f>IF(AND(D66&lt;&gt;"已完成",D66&lt;&gt;"",E66&lt;&gt;"",E66&lt;TODAY()),"⚠️延期","")</f>
        <v/>
      </c>
      <c r="H66" s="17" t="n"/>
    </row>
    <row r="67">
      <c r="A67" s="16" t="n"/>
      <c r="B67" s="16" t="n"/>
      <c r="C67" s="17" t="n"/>
      <c r="D67" s="16" t="n"/>
      <c r="E67" s="16" t="n"/>
      <c r="F67" s="16" t="n"/>
      <c r="G67" s="18">
        <f>IF(AND(D67&lt;&gt;"已完成",D67&lt;&gt;"",E67&lt;&gt;"",E67&lt;TODAY()),"⚠️延期","")</f>
        <v/>
      </c>
      <c r="H67" s="17" t="n"/>
    </row>
    <row r="68">
      <c r="A68" s="16" t="n"/>
      <c r="B68" s="16" t="n"/>
      <c r="C68" s="17" t="n"/>
      <c r="D68" s="16" t="n"/>
      <c r="E68" s="16" t="n"/>
      <c r="F68" s="16" t="n"/>
      <c r="G68" s="18">
        <f>IF(AND(D68&lt;&gt;"已完成",D68&lt;&gt;"",E68&lt;&gt;"",E68&lt;TODAY()),"⚠️延期","")</f>
        <v/>
      </c>
      <c r="H68" s="17" t="n"/>
    </row>
    <row r="69">
      <c r="A69" s="16" t="n"/>
      <c r="B69" s="16" t="n"/>
      <c r="C69" s="17" t="n"/>
      <c r="D69" s="16" t="n"/>
      <c r="E69" s="16" t="n"/>
      <c r="F69" s="16" t="n"/>
      <c r="G69" s="18">
        <f>IF(AND(D69&lt;&gt;"已完成",D69&lt;&gt;"",E69&lt;&gt;"",E69&lt;TODAY()),"⚠️延期","")</f>
        <v/>
      </c>
      <c r="H69" s="17" t="n"/>
    </row>
    <row r="70">
      <c r="A70" s="16" t="n"/>
      <c r="B70" s="16" t="n"/>
      <c r="C70" s="17" t="n"/>
      <c r="D70" s="16" t="n"/>
      <c r="E70" s="16" t="n"/>
      <c r="F70" s="16" t="n"/>
      <c r="G70" s="18">
        <f>IF(AND(D70&lt;&gt;"已完成",D70&lt;&gt;"",E70&lt;&gt;"",E70&lt;TODAY()),"⚠️延期","")</f>
        <v/>
      </c>
      <c r="H70" s="17" t="n"/>
    </row>
    <row r="71">
      <c r="A71" s="16" t="n"/>
      <c r="B71" s="16" t="n"/>
      <c r="C71" s="17" t="n"/>
      <c r="D71" s="16" t="n"/>
      <c r="E71" s="16" t="n"/>
      <c r="F71" s="16" t="n"/>
      <c r="G71" s="18">
        <f>IF(AND(D71&lt;&gt;"已完成",D71&lt;&gt;"",E71&lt;&gt;"",E71&lt;TODAY()),"⚠️延期","")</f>
        <v/>
      </c>
      <c r="H71" s="17" t="n"/>
    </row>
    <row r="72">
      <c r="A72" s="16" t="n"/>
      <c r="B72" s="16" t="n"/>
      <c r="C72" s="17" t="n"/>
      <c r="D72" s="16" t="n"/>
      <c r="E72" s="16" t="n"/>
      <c r="F72" s="16" t="n"/>
      <c r="G72" s="18">
        <f>IF(AND(D72&lt;&gt;"已完成",D72&lt;&gt;"",E72&lt;&gt;"",E72&lt;TODAY()),"⚠️延期","")</f>
        <v/>
      </c>
      <c r="H72" s="17" t="n"/>
    </row>
    <row r="73">
      <c r="A73" s="16" t="n"/>
      <c r="B73" s="16" t="n"/>
      <c r="C73" s="17" t="n"/>
      <c r="D73" s="16" t="n"/>
      <c r="E73" s="16" t="n"/>
      <c r="F73" s="16" t="n"/>
      <c r="G73" s="18">
        <f>IF(AND(D73&lt;&gt;"已完成",D73&lt;&gt;"",E73&lt;&gt;"",E73&lt;TODAY()),"⚠️延期","")</f>
        <v/>
      </c>
      <c r="H73" s="17" t="n"/>
    </row>
    <row r="74">
      <c r="A74" s="16" t="n"/>
      <c r="B74" s="16" t="n"/>
      <c r="C74" s="17" t="n"/>
      <c r="D74" s="16" t="n"/>
      <c r="E74" s="16" t="n"/>
      <c r="F74" s="16" t="n"/>
      <c r="G74" s="18">
        <f>IF(AND(D74&lt;&gt;"已完成",D74&lt;&gt;"",E74&lt;&gt;"",E74&lt;TODAY()),"⚠️延期","")</f>
        <v/>
      </c>
      <c r="H74" s="17" t="n"/>
    </row>
    <row r="75">
      <c r="A75" s="16" t="n"/>
      <c r="B75" s="16" t="n"/>
      <c r="C75" s="17" t="n"/>
      <c r="D75" s="16" t="n"/>
      <c r="E75" s="16" t="n"/>
      <c r="F75" s="16" t="n"/>
      <c r="G75" s="18">
        <f>IF(AND(D75&lt;&gt;"已完成",D75&lt;&gt;"",E75&lt;&gt;"",E75&lt;TODAY()),"⚠️延期","")</f>
        <v/>
      </c>
      <c r="H75" s="17" t="n"/>
    </row>
    <row r="76">
      <c r="A76" s="16" t="n"/>
      <c r="B76" s="16" t="n"/>
      <c r="C76" s="17" t="n"/>
      <c r="D76" s="16" t="n"/>
      <c r="E76" s="16" t="n"/>
      <c r="F76" s="16" t="n"/>
      <c r="G76" s="18">
        <f>IF(AND(D76&lt;&gt;"已完成",D76&lt;&gt;"",E76&lt;&gt;"",E76&lt;TODAY()),"⚠️延期","")</f>
        <v/>
      </c>
      <c r="H76" s="17" t="n"/>
    </row>
    <row r="77">
      <c r="A77" s="16" t="n"/>
      <c r="B77" s="16" t="n"/>
      <c r="C77" s="17" t="n"/>
      <c r="D77" s="16" t="n"/>
      <c r="E77" s="16" t="n"/>
      <c r="F77" s="16" t="n"/>
      <c r="G77" s="18">
        <f>IF(AND(D77&lt;&gt;"已完成",D77&lt;&gt;"",E77&lt;&gt;"",E77&lt;TODAY()),"⚠️延期","")</f>
        <v/>
      </c>
      <c r="H77" s="17" t="n"/>
    </row>
    <row r="78">
      <c r="A78" s="16" t="n"/>
      <c r="B78" s="16" t="n"/>
      <c r="C78" s="17" t="n"/>
      <c r="D78" s="16" t="n"/>
      <c r="E78" s="16" t="n"/>
      <c r="F78" s="16" t="n"/>
      <c r="G78" s="18">
        <f>IF(AND(D78&lt;&gt;"已完成",D78&lt;&gt;"",E78&lt;&gt;"",E78&lt;TODAY()),"⚠️延期","")</f>
        <v/>
      </c>
      <c r="H78" s="17" t="n"/>
    </row>
    <row r="79">
      <c r="A79" s="16" t="n"/>
      <c r="B79" s="16" t="n"/>
      <c r="C79" s="17" t="n"/>
      <c r="D79" s="16" t="n"/>
      <c r="E79" s="16" t="n"/>
      <c r="F79" s="16" t="n"/>
      <c r="G79" s="18">
        <f>IF(AND(D79&lt;&gt;"已完成",D79&lt;&gt;"",E79&lt;&gt;"",E79&lt;TODAY()),"⚠️延期","")</f>
        <v/>
      </c>
      <c r="H79" s="17" t="n"/>
    </row>
    <row r="80">
      <c r="A80" s="16" t="n"/>
      <c r="B80" s="16" t="n"/>
      <c r="C80" s="17" t="n"/>
      <c r="D80" s="16" t="n"/>
      <c r="E80" s="16" t="n"/>
      <c r="F80" s="16" t="n"/>
      <c r="G80" s="18">
        <f>IF(AND(D80&lt;&gt;"已完成",D80&lt;&gt;"",E80&lt;&gt;"",E80&lt;TODAY()),"⚠️延期","")</f>
        <v/>
      </c>
      <c r="H80" s="17" t="n"/>
    </row>
    <row r="81">
      <c r="A81" s="16" t="n"/>
      <c r="B81" s="16" t="n"/>
      <c r="C81" s="17" t="n"/>
      <c r="D81" s="16" t="n"/>
      <c r="E81" s="16" t="n"/>
      <c r="F81" s="16" t="n"/>
      <c r="G81" s="18">
        <f>IF(AND(D81&lt;&gt;"已完成",D81&lt;&gt;"",E81&lt;&gt;"",E81&lt;TODAY()),"⚠️延期","")</f>
        <v/>
      </c>
      <c r="H81" s="17" t="n"/>
    </row>
    <row r="82">
      <c r="A82" s="16" t="n"/>
      <c r="B82" s="16" t="n"/>
      <c r="C82" s="17" t="n"/>
      <c r="D82" s="16" t="n"/>
      <c r="E82" s="16" t="n"/>
      <c r="F82" s="16" t="n"/>
      <c r="G82" s="18">
        <f>IF(AND(D82&lt;&gt;"已完成",D82&lt;&gt;"",E82&lt;&gt;"",E82&lt;TODAY()),"⚠️延期","")</f>
        <v/>
      </c>
      <c r="H82" s="17" t="n"/>
    </row>
    <row r="83">
      <c r="A83" s="16" t="n"/>
      <c r="B83" s="16" t="n"/>
      <c r="C83" s="17" t="n"/>
      <c r="D83" s="16" t="n"/>
      <c r="E83" s="16" t="n"/>
      <c r="F83" s="16" t="n"/>
      <c r="G83" s="18">
        <f>IF(AND(D83&lt;&gt;"已完成",D83&lt;&gt;"",E83&lt;&gt;"",E83&lt;TODAY()),"⚠️延期","")</f>
        <v/>
      </c>
      <c r="H83" s="17" t="n"/>
    </row>
    <row r="84">
      <c r="A84" s="16" t="n"/>
      <c r="B84" s="16" t="n"/>
      <c r="C84" s="17" t="n"/>
      <c r="D84" s="16" t="n"/>
      <c r="E84" s="16" t="n"/>
      <c r="F84" s="16" t="n"/>
      <c r="G84" s="18">
        <f>IF(AND(D84&lt;&gt;"已完成",D84&lt;&gt;"",E84&lt;&gt;"",E84&lt;TODAY()),"⚠️延期","")</f>
        <v/>
      </c>
      <c r="H84" s="17" t="n"/>
    </row>
    <row r="85">
      <c r="A85" s="16" t="n"/>
      <c r="B85" s="16" t="n"/>
      <c r="C85" s="17" t="n"/>
      <c r="D85" s="16" t="n"/>
      <c r="E85" s="16" t="n"/>
      <c r="F85" s="16" t="n"/>
      <c r="G85" s="18">
        <f>IF(AND(D85&lt;&gt;"已完成",D85&lt;&gt;"",E85&lt;&gt;"",E85&lt;TODAY()),"⚠️延期","")</f>
        <v/>
      </c>
      <c r="H85" s="17" t="n"/>
    </row>
    <row r="86">
      <c r="A86" s="16" t="n"/>
      <c r="B86" s="16" t="n"/>
      <c r="C86" s="17" t="n"/>
      <c r="D86" s="16" t="n"/>
      <c r="E86" s="16" t="n"/>
      <c r="F86" s="16" t="n"/>
      <c r="G86" s="18">
        <f>IF(AND(D86&lt;&gt;"已完成",D86&lt;&gt;"",E86&lt;&gt;"",E86&lt;TODAY()),"⚠️延期","")</f>
        <v/>
      </c>
      <c r="H86" s="17" t="n"/>
    </row>
    <row r="87">
      <c r="A87" s="16" t="n"/>
      <c r="B87" s="16" t="n"/>
      <c r="C87" s="17" t="n"/>
      <c r="D87" s="16" t="n"/>
      <c r="E87" s="16" t="n"/>
      <c r="F87" s="16" t="n"/>
      <c r="G87" s="18">
        <f>IF(AND(D87&lt;&gt;"已完成",D87&lt;&gt;"",E87&lt;&gt;"",E87&lt;TODAY()),"⚠️延期","")</f>
        <v/>
      </c>
      <c r="H87" s="17" t="n"/>
    </row>
    <row r="88">
      <c r="A88" s="16" t="n"/>
      <c r="B88" s="16" t="n"/>
      <c r="C88" s="17" t="n"/>
      <c r="D88" s="16" t="n"/>
      <c r="E88" s="16" t="n"/>
      <c r="F88" s="16" t="n"/>
      <c r="G88" s="18">
        <f>IF(AND(D88&lt;&gt;"已完成",D88&lt;&gt;"",E88&lt;&gt;"",E88&lt;TODAY()),"⚠️延期","")</f>
        <v/>
      </c>
      <c r="H88" s="17" t="n"/>
    </row>
    <row r="89">
      <c r="A89" s="16" t="n"/>
      <c r="B89" s="16" t="n"/>
      <c r="C89" s="17" t="n"/>
      <c r="D89" s="16" t="n"/>
      <c r="E89" s="16" t="n"/>
      <c r="F89" s="16" t="n"/>
      <c r="G89" s="18">
        <f>IF(AND(D89&lt;&gt;"已完成",D89&lt;&gt;"",E89&lt;&gt;"",E89&lt;TODAY()),"⚠️延期","")</f>
        <v/>
      </c>
      <c r="H89" s="17" t="n"/>
    </row>
    <row r="90">
      <c r="A90" s="16" t="n"/>
      <c r="B90" s="16" t="n"/>
      <c r="C90" s="17" t="n"/>
      <c r="D90" s="16" t="n"/>
      <c r="E90" s="16" t="n"/>
      <c r="F90" s="16" t="n"/>
      <c r="G90" s="18">
        <f>IF(AND(D90&lt;&gt;"已完成",D90&lt;&gt;"",E90&lt;&gt;"",E90&lt;TODAY()),"⚠️延期","")</f>
        <v/>
      </c>
      <c r="H90" s="17" t="n"/>
    </row>
    <row r="91">
      <c r="A91" s="16" t="n"/>
      <c r="B91" s="16" t="n"/>
      <c r="C91" s="17" t="n"/>
      <c r="D91" s="16" t="n"/>
      <c r="E91" s="16" t="n"/>
      <c r="F91" s="16" t="n"/>
      <c r="G91" s="18">
        <f>IF(AND(D91&lt;&gt;"已完成",D91&lt;&gt;"",E91&lt;&gt;"",E91&lt;TODAY()),"⚠️延期","")</f>
        <v/>
      </c>
      <c r="H91" s="17" t="n"/>
    </row>
    <row r="92">
      <c r="A92" s="16" t="n"/>
      <c r="B92" s="16" t="n"/>
      <c r="C92" s="17" t="n"/>
      <c r="D92" s="16" t="n"/>
      <c r="E92" s="16" t="n"/>
      <c r="F92" s="16" t="n"/>
      <c r="G92" s="18">
        <f>IF(AND(D92&lt;&gt;"已完成",D92&lt;&gt;"",E92&lt;&gt;"",E92&lt;TODAY()),"⚠️延期","")</f>
        <v/>
      </c>
      <c r="H92" s="17" t="n"/>
    </row>
    <row r="93">
      <c r="A93" s="16" t="n"/>
      <c r="B93" s="16" t="n"/>
      <c r="C93" s="17" t="n"/>
      <c r="D93" s="16" t="n"/>
      <c r="E93" s="16" t="n"/>
      <c r="F93" s="16" t="n"/>
      <c r="G93" s="18">
        <f>IF(AND(D93&lt;&gt;"已完成",D93&lt;&gt;"",E93&lt;&gt;"",E93&lt;TODAY()),"⚠️延期","")</f>
        <v/>
      </c>
      <c r="H93" s="17" t="n"/>
    </row>
    <row r="94">
      <c r="A94" s="16" t="n"/>
      <c r="B94" s="16" t="n"/>
      <c r="C94" s="17" t="n"/>
      <c r="D94" s="16" t="n"/>
      <c r="E94" s="16" t="n"/>
      <c r="F94" s="16" t="n"/>
      <c r="G94" s="18">
        <f>IF(AND(D94&lt;&gt;"已完成",D94&lt;&gt;"",E94&lt;&gt;"",E94&lt;TODAY()),"⚠️延期","")</f>
        <v/>
      </c>
      <c r="H94" s="17" t="n"/>
    </row>
    <row r="95">
      <c r="A95" s="16" t="n"/>
      <c r="B95" s="16" t="n"/>
      <c r="C95" s="17" t="n"/>
      <c r="D95" s="16" t="n"/>
      <c r="E95" s="16" t="n"/>
      <c r="F95" s="16" t="n"/>
      <c r="G95" s="18">
        <f>IF(AND(D95&lt;&gt;"已完成",D95&lt;&gt;"",E95&lt;&gt;"",E95&lt;TODAY()),"⚠️延期","")</f>
        <v/>
      </c>
      <c r="H95" s="17" t="n"/>
    </row>
    <row r="96">
      <c r="A96" s="16" t="n"/>
      <c r="B96" s="16" t="n"/>
      <c r="C96" s="17" t="n"/>
      <c r="D96" s="16" t="n"/>
      <c r="E96" s="16" t="n"/>
      <c r="F96" s="16" t="n"/>
      <c r="G96" s="18">
        <f>IF(AND(D96&lt;&gt;"已完成",D96&lt;&gt;"",E96&lt;&gt;"",E96&lt;TODAY()),"⚠️延期","")</f>
        <v/>
      </c>
      <c r="H96" s="17" t="n"/>
    </row>
    <row r="97">
      <c r="A97" s="16" t="n"/>
      <c r="B97" s="16" t="n"/>
      <c r="C97" s="17" t="n"/>
      <c r="D97" s="16" t="n"/>
      <c r="E97" s="16" t="n"/>
      <c r="F97" s="16" t="n"/>
      <c r="G97" s="18">
        <f>IF(AND(D97&lt;&gt;"已完成",D97&lt;&gt;"",E97&lt;&gt;"",E97&lt;TODAY()),"⚠️延期","")</f>
        <v/>
      </c>
      <c r="H97" s="17" t="n"/>
    </row>
    <row r="98">
      <c r="A98" s="16" t="n"/>
      <c r="B98" s="16" t="n"/>
      <c r="C98" s="17" t="n"/>
      <c r="D98" s="16" t="n"/>
      <c r="E98" s="16" t="n"/>
      <c r="F98" s="16" t="n"/>
      <c r="G98" s="18">
        <f>IF(AND(D98&lt;&gt;"已完成",D98&lt;&gt;"",E98&lt;&gt;"",E98&lt;TODAY()),"⚠️延期","")</f>
        <v/>
      </c>
      <c r="H98" s="17" t="n"/>
    </row>
    <row r="99">
      <c r="A99" s="16" t="n"/>
      <c r="B99" s="16" t="n"/>
      <c r="C99" s="17" t="n"/>
      <c r="D99" s="16" t="n"/>
      <c r="E99" s="16" t="n"/>
      <c r="F99" s="16" t="n"/>
      <c r="G99" s="18">
        <f>IF(AND(D99&lt;&gt;"已完成",D99&lt;&gt;"",E99&lt;&gt;"",E99&lt;TODAY()),"⚠️延期","")</f>
        <v/>
      </c>
      <c r="H99" s="17" t="n"/>
    </row>
    <row r="100">
      <c r="A100" s="16" t="n"/>
      <c r="B100" s="16" t="n"/>
      <c r="C100" s="17" t="n"/>
      <c r="D100" s="16" t="n"/>
      <c r="E100" s="16" t="n"/>
      <c r="F100" s="16" t="n"/>
      <c r="G100" s="18">
        <f>IF(AND(D100&lt;&gt;"已完成",D100&lt;&gt;"",E100&lt;&gt;"",E100&lt;TODAY()),"⚠️延期","")</f>
        <v/>
      </c>
      <c r="H100" s="17" t="n"/>
    </row>
    <row r="101">
      <c r="A101" s="16" t="n"/>
      <c r="B101" s="16" t="n"/>
      <c r="C101" s="17" t="n"/>
      <c r="D101" s="16" t="n"/>
      <c r="E101" s="16" t="n"/>
      <c r="F101" s="16" t="n"/>
      <c r="G101" s="18">
        <f>IF(AND(D101&lt;&gt;"已完成",D101&lt;&gt;"",E101&lt;&gt;"",E101&lt;TODAY()),"⚠️延期","")</f>
        <v/>
      </c>
      <c r="H101" s="17" t="n"/>
    </row>
    <row r="102">
      <c r="A102" s="16" t="n"/>
      <c r="B102" s="16" t="n"/>
      <c r="C102" s="17" t="n"/>
      <c r="D102" s="16" t="n"/>
      <c r="E102" s="16" t="n"/>
      <c r="F102" s="16" t="n"/>
      <c r="G102" s="18">
        <f>IF(AND(D102&lt;&gt;"已完成",D102&lt;&gt;"",E102&lt;&gt;"",E102&lt;TODAY()),"⚠️延期","")</f>
        <v/>
      </c>
      <c r="H102" s="17" t="n"/>
    </row>
    <row r="103">
      <c r="A103" s="16" t="n"/>
      <c r="B103" s="16" t="n"/>
      <c r="C103" s="17" t="n"/>
      <c r="D103" s="16" t="n"/>
      <c r="E103" s="16" t="n"/>
      <c r="F103" s="16" t="n"/>
      <c r="G103" s="18">
        <f>IF(AND(D103&lt;&gt;"已完成",D103&lt;&gt;"",E103&lt;&gt;"",E103&lt;TODAY()),"⚠️延期","")</f>
        <v/>
      </c>
      <c r="H103" s="17" t="n"/>
    </row>
    <row r="104">
      <c r="A104" s="16" t="n"/>
      <c r="B104" s="16" t="n"/>
      <c r="C104" s="17" t="n"/>
      <c r="D104" s="16" t="n"/>
      <c r="E104" s="16" t="n"/>
      <c r="F104" s="16" t="n"/>
      <c r="G104" s="18">
        <f>IF(AND(D104&lt;&gt;"已完成",D104&lt;&gt;"",E104&lt;&gt;"",E104&lt;TODAY()),"⚠️延期","")</f>
        <v/>
      </c>
      <c r="H104" s="17" t="n"/>
    </row>
  </sheetData>
  <mergeCells count="1">
    <mergeCell ref="A1:D1"/>
  </mergeCells>
  <conditionalFormatting sqref="E3">
    <cfRule type="dataBar" priority="1">
      <dataBar showValue="1">
        <cfvo type="num" val="0"/>
        <cfvo type="num" val="1"/>
        <color rgb="0063BE7B"/>
      </dataBar>
    </cfRule>
  </conditionalFormatting>
  <conditionalFormatting sqref="D5:D104">
    <cfRule type="cellIs" priority="2" operator="equal" dxfId="1">
      <formula>"未开始"</formula>
    </cfRule>
    <cfRule type="cellIs" priority="3" operator="equal" dxfId="2">
      <formula>"进行中"</formula>
    </cfRule>
    <cfRule type="cellIs" priority="4" operator="equal" dxfId="3">
      <formula>"已完成"</formula>
    </cfRule>
    <cfRule type="cellIs" priority="5" operator="equal" dxfId="0">
      <formula>"已延期"</formula>
    </cfRule>
    <cfRule type="cellIs" priority="6" operator="equal" dxfId="4">
      <formula>"搁置"</formula>
    </cfRule>
  </conditionalFormatting>
  <conditionalFormatting sqref="A5:H104">
    <cfRule type="expression" priority="7" dxfId="5">
      <formula>$G5="⚠️延期"</formula>
    </cfRule>
  </conditionalFormatting>
  <dataValidations count="2">
    <dataValidation sqref="B5:B104" showDropDown="0" showInputMessage="0" showErrorMessage="0" allowBlank="1" type="list">
      <formula1>=选项!$A$2:$A$8</formula1>
    </dataValidation>
    <dataValidation sqref="D5:D104" showDropDown="0" showInputMessage="0" showErrorMessage="0" allowBlank="1" type="list">
      <formula1>=选项!$B$2:$B$6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76" customWidth="1" min="2" max="2"/>
  </cols>
  <sheetData>
    <row r="1" ht="18" customHeight="1">
      <c r="A1" s="19" t="inlineStr">
        <is>
          <t>工作进度管理 · 使用说明</t>
        </is>
      </c>
      <c r="B1" s="20" t="inlineStr"/>
    </row>
    <row r="2" ht="18" customHeight="1">
      <c r="A2" s="21" t="inlineStr">
        <is>
          <t>结构</t>
        </is>
      </c>
      <c r="B2" s="20" t="inlineStr">
        <is>
          <t>① 进度总看板(自动汇总) + ② 每人一个表(按天记录) + 说明/选项。</t>
        </is>
      </c>
    </row>
    <row r="3" ht="18" customHeight="1">
      <c r="A3" s="21" t="inlineStr">
        <is>
          <t>每人一个表</t>
        </is>
      </c>
      <c r="B3" s="20" t="inlineStr">
        <is>
          <t>如『财务-小裴』：一行一天一个任务，写 日期/项目/工作内容/状态/计划完成日。</t>
        </is>
      </c>
    </row>
    <row r="4" ht="18" customHeight="1">
      <c r="A4" s="21" t="inlineStr">
        <is>
          <t>状态自动上色</t>
        </is>
      </c>
      <c r="B4" s="20" t="inlineStr">
        <is>
          <t>已完成🟢 进行中🟡 未开始⚪ 已延期🔴 搁置🔵——选完即变色。</t>
        </is>
      </c>
    </row>
    <row r="5" ht="18" customHeight="1">
      <c r="A5" s="21" t="inlineStr">
        <is>
          <t>延期自动预警</t>
        </is>
      </c>
      <c r="B5" s="20" t="inlineStr">
        <is>
          <t>状态非『已完成』且计划完成日已过 → ⚠️延期，整行标红。</t>
        </is>
      </c>
    </row>
    <row r="6" ht="18" customHeight="1">
      <c r="A6" s="21" t="inlineStr">
        <is>
          <t>每人小结</t>
        </is>
      </c>
      <c r="B6" s="20" t="inlineStr">
        <is>
          <t>各人表顶部自动显示 本人任务数/已完成/完成率(进度条)。</t>
        </is>
      </c>
    </row>
    <row r="7" ht="18" customHeight="1">
      <c r="A7" s="21" t="inlineStr">
        <is>
          <t>进度总看板</t>
        </is>
      </c>
      <c r="B7" s="20" t="inlineStr">
        <is>
          <t>自动汇总所有人：总完成率、各状态、按人完成率(进度条)、延期人数——一眼看全员进度。</t>
        </is>
      </c>
    </row>
    <row r="8" ht="18" customHeight="1">
      <c r="A8" s="21" t="inlineStr">
        <is>
          <t>加人/改人</t>
        </is>
      </c>
      <c r="B8" s="20" t="inlineStr">
        <is>
          <t>复制任意一个人表、改标题名即可；并在『进度总看板』按人明细补一行同名引用。</t>
        </is>
      </c>
    </row>
    <row r="9" ht="18" customHeight="1">
      <c r="A9" s="21" t="inlineStr">
        <is>
          <t>导入Google Sheets</t>
        </is>
      </c>
      <c r="B9" s="20" t="inlineStr">
        <is>
          <t>文件→导入→上传→新建/替换。下拉/颜色/进度条基本保留；个别没跟过来按本页重设。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1" t="inlineStr">
        <is>
          <t>项目</t>
        </is>
      </c>
      <c r="B1" s="21" t="inlineStr">
        <is>
          <t>状态</t>
        </is>
      </c>
    </row>
    <row r="2">
      <c r="A2" t="inlineStr">
        <is>
          <t>财务</t>
        </is>
      </c>
      <c r="B2" t="inlineStr">
        <is>
          <t>未开始</t>
        </is>
      </c>
    </row>
    <row r="3">
      <c r="A3" t="inlineStr">
        <is>
          <t>贸易</t>
        </is>
      </c>
      <c r="B3" t="inlineStr">
        <is>
          <t>进行中</t>
        </is>
      </c>
    </row>
    <row r="4">
      <c r="A4" t="inlineStr">
        <is>
          <t>供应链</t>
        </is>
      </c>
      <c r="B4" t="inlineStr">
        <is>
          <t>已完成</t>
        </is>
      </c>
    </row>
    <row r="5">
      <c r="A5" t="inlineStr">
        <is>
          <t>设计</t>
        </is>
      </c>
      <c r="B5" t="inlineStr">
        <is>
          <t>已延期</t>
        </is>
      </c>
    </row>
    <row r="6">
      <c r="A6" t="inlineStr">
        <is>
          <t>天猫</t>
        </is>
      </c>
      <c r="B6" t="inlineStr">
        <is>
          <t>搁置</t>
        </is>
      </c>
    </row>
    <row r="7">
      <c r="A7" t="inlineStr">
        <is>
          <t>小红书</t>
        </is>
      </c>
    </row>
    <row r="8">
      <c r="A8" t="inlineStr">
        <is>
          <t>行政/其他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2026-08-05T05:42:31Z</dcterms:created>
  <dcterms:modified xmlns:dcterms="http://purl.org/dc/terms/" xmlns:xsi="http://www.w3.org/2001/XMLSchema-instance" xsi:type="dcterms:W3CDTF">2026-08-05T05:42:32Z</dcterms:modified>
</cp:coreProperties>
</file>