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清单" sheetId="1" state="visible" r:id="rId1"/>
    <sheet xmlns:r="http://schemas.openxmlformats.org/officeDocument/2006/relationships" name="进度看板" sheetId="2" state="visible" r:id="rId2"/>
    <sheet xmlns:r="http://schemas.openxmlformats.org/officeDocument/2006/relationships" name="说明" sheetId="3" state="visible" r:id="rId3"/>
    <sheet xmlns:r="http://schemas.openxmlformats.org/officeDocument/2006/relationships" name="选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4">
    <font>
      <name val="Calibri"/>
      <family val="2"/>
      <color theme="1"/>
      <sz val="11"/>
      <scheme val="minor"/>
    </font>
    <font>
      <name val="Microsoft YaHei"/>
      <b val="1"/>
      <color rgb="00000000"/>
      <sz val="10"/>
    </font>
    <font>
      <name val="Microsoft YaHei"/>
      <b val="1"/>
      <color rgb="001F3864"/>
      <sz val="13"/>
    </font>
    <font>
      <name val="Microsoft YaHei"/>
      <b val="1"/>
      <color rgb="00FFFFFF"/>
      <sz val="10"/>
    </font>
    <font>
      <name val="Microsoft YaHei"/>
      <color rgb="00000000"/>
      <sz val="10"/>
    </font>
    <font>
      <name val="Microsoft YaHei"/>
      <b val="1"/>
      <color rgb="001F3864"/>
      <sz val="15"/>
    </font>
    <font>
      <name val="Microsoft YaHei"/>
      <color rgb="00808080"/>
      <sz val="9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b val="1"/>
      <color rgb="00375623"/>
      <sz val="12"/>
    </font>
    <font>
      <name val="Microsoft YaHei"/>
      <b val="1"/>
      <color rgb="00FFFFFF"/>
      <sz val="9"/>
    </font>
    <font>
      <name val="Microsoft YaHei"/>
      <color rgb="00000000"/>
      <sz val="9"/>
    </font>
    <font>
      <name val="Microsoft YaHei"/>
      <b val="1"/>
      <color rgb="00C0392B"/>
      <sz val="12"/>
    </font>
    <font>
      <name val="Microsoft YaHei"/>
      <b val="1"/>
      <color rgb="00C0392B"/>
      <sz val="11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FDE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164" fontId="7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165" fontId="8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" fillId="0" borderId="0" pivotButton="0" quotePrefix="0" xfId="0"/>
    <xf numFmtId="0" fontId="13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6">
    <dxf>
      <fill>
        <patternFill patternType="solid">
          <fgColor rgb="00E8E8E8"/>
        </patternFill>
      </fill>
    </dxf>
    <dxf>
      <fill>
        <patternFill patternType="solid">
          <fgColor rgb="00FFE59A"/>
        </patternFill>
      </fill>
    </dxf>
    <dxf>
      <fill>
        <patternFill patternType="solid">
          <fgColor rgb="00C6E7C6"/>
        </patternFill>
      </fill>
    </dxf>
    <dxf>
      <fill>
        <patternFill patternType="solid">
          <fgColor rgb="00F5B7B1"/>
        </patternFill>
      </fill>
    </dxf>
    <dxf>
      <fill>
        <patternFill patternType="solid">
          <fgColor rgb="00D6DCE9"/>
        </patternFill>
      </fill>
    </dxf>
    <dxf>
      <fill>
        <patternFill patternType="solid">
          <fgColor rgb="00FDEC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规范</author>
  </authors>
  <commentList>
    <comment ref="F2" authorId="0" shapeId="0">
      <text>
        <t>一行写一个任务；日期/部门/负责人/分类/状态用下拉。状态选完自动上色。</t>
      </text>
    </comment>
    <comment ref="J2" authorId="0" shapeId="0">
      <text>
        <t>自动：状态非『已完成』且计划完成日已过 → ⚠️延期，整行标红。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9" customWidth="1" min="3" max="3"/>
    <col width="14" customWidth="1" min="4" max="4"/>
    <col width="10" customWidth="1" min="5" max="5"/>
    <col width="40" customWidth="1" min="6" max="6"/>
    <col width="10" customWidth="1" min="7" max="7"/>
    <col width="12" customWidth="1" min="8" max="8"/>
    <col width="12" customWidth="1" min="9" max="9"/>
    <col width="10" customWidth="1" min="10" max="10"/>
    <col width="22" customWidth="1" min="11" max="11"/>
  </cols>
  <sheetData>
    <row r="1" ht="24" customHeight="1">
      <c r="A1" s="1" t="inlineStr">
        <is>
          <t>Sakura · 工作进度管理（任务清单）—— 一行一个任务，状态自动上色、看板自动统计</t>
        </is>
      </c>
    </row>
    <row r="2" ht="22" customHeight="1">
      <c r="A2" s="2" t="inlineStr">
        <is>
          <t>日期</t>
        </is>
      </c>
      <c r="B2" s="2" t="inlineStr">
        <is>
          <t>星期</t>
        </is>
      </c>
      <c r="C2" s="2" t="inlineStr">
        <is>
          <t>部门</t>
        </is>
      </c>
      <c r="D2" s="2" t="inlineStr">
        <is>
          <t>负责人</t>
        </is>
      </c>
      <c r="E2" s="2" t="inlineStr">
        <is>
          <t>分类</t>
        </is>
      </c>
      <c r="F2" s="2" t="inlineStr">
        <is>
          <t>工作内容</t>
        </is>
      </c>
      <c r="G2" s="2" t="inlineStr">
        <is>
          <t>状态</t>
        </is>
      </c>
      <c r="H2" s="2" t="inlineStr">
        <is>
          <t>计划完成日</t>
        </is>
      </c>
      <c r="I2" s="2" t="inlineStr">
        <is>
          <t>实际完成日</t>
        </is>
      </c>
      <c r="J2" s="2" t="inlineStr">
        <is>
          <t>是否延期</t>
        </is>
      </c>
      <c r="K2" s="2" t="inlineStr">
        <is>
          <t>备注</t>
        </is>
      </c>
    </row>
    <row r="3">
      <c r="A3" s="3" t="inlineStr">
        <is>
          <t>2026-08-03</t>
        </is>
      </c>
      <c r="B3" s="4">
        <f>IF(A3="","",CHOOSE(WEEKDAY(A3),"周日","周一","周二","周三","周四","周五","周六"))</f>
        <v/>
      </c>
      <c r="C3" s="3" t="inlineStr">
        <is>
          <t>日本</t>
        </is>
      </c>
      <c r="D3" s="3" t="inlineStr">
        <is>
          <t>小裴(财务)</t>
        </is>
      </c>
      <c r="E3" s="3" t="inlineStr">
        <is>
          <t>财务</t>
        </is>
      </c>
      <c r="F3" s="5" t="inlineStr">
        <is>
          <t>yomite请求书</t>
        </is>
      </c>
      <c r="G3" s="3" t="inlineStr">
        <is>
          <t>已完成</t>
        </is>
      </c>
      <c r="H3" s="3" t="inlineStr">
        <is>
          <t>2026-08-03</t>
        </is>
      </c>
      <c r="I3" s="3" t="inlineStr">
        <is>
          <t>2026-08-03</t>
        </is>
      </c>
      <c r="J3" s="4">
        <f>IF(AND(G3&lt;&gt;"已完成",G3&lt;&gt;"",H3&lt;&gt;"",H3&lt;TODAY()),"⚠️延期","")</f>
        <v/>
      </c>
      <c r="K3" s="5" t="n"/>
    </row>
    <row r="4">
      <c r="A4" s="3" t="inlineStr">
        <is>
          <t>2026-08-03</t>
        </is>
      </c>
      <c r="B4" s="4">
        <f>IF(A4="","",CHOOSE(WEEKDAY(A4),"周日","周一","周二","周三","周四","周五","周六"))</f>
        <v/>
      </c>
      <c r="C4" s="3" t="inlineStr">
        <is>
          <t>日本</t>
        </is>
      </c>
      <c r="D4" s="3" t="inlineStr">
        <is>
          <t>小裴(财务)</t>
        </is>
      </c>
      <c r="E4" s="3" t="inlineStr">
        <is>
          <t>财务</t>
        </is>
      </c>
      <c r="F4" s="5" t="inlineStr">
        <is>
          <t>Q1请求书 / babubabu请求书</t>
        </is>
      </c>
      <c r="G4" s="3" t="inlineStr">
        <is>
          <t>已完成</t>
        </is>
      </c>
      <c r="H4" s="3" t="inlineStr">
        <is>
          <t>2026-08-03</t>
        </is>
      </c>
      <c r="I4" s="3" t="inlineStr">
        <is>
          <t>2026-08-03</t>
        </is>
      </c>
      <c r="J4" s="4">
        <f>IF(AND(G4&lt;&gt;"已完成",G4&lt;&gt;"",H4&lt;&gt;"",H4&lt;TODAY()),"⚠️延期","")</f>
        <v/>
      </c>
      <c r="K4" s="5" t="n"/>
    </row>
    <row r="5">
      <c r="A5" s="3" t="inlineStr">
        <is>
          <t>2026-08-11</t>
        </is>
      </c>
      <c r="B5" s="4">
        <f>IF(A5="","",CHOOSE(WEEKDAY(A5),"周日","周一","周二","周三","周四","周五","周六"))</f>
        <v/>
      </c>
      <c r="C5" s="3" t="inlineStr">
        <is>
          <t>樱拓</t>
        </is>
      </c>
      <c r="D5" s="3" t="inlineStr">
        <is>
          <t>咩咩(贸易)</t>
        </is>
      </c>
      <c r="E5" s="3" t="inlineStr">
        <is>
          <t>贸易</t>
        </is>
      </c>
      <c r="F5" s="5" t="inlineStr">
        <is>
          <t>考勤拉取 / 工资表制作</t>
        </is>
      </c>
      <c r="G5" s="3" t="inlineStr">
        <is>
          <t>进行中</t>
        </is>
      </c>
      <c r="H5" s="3" t="inlineStr">
        <is>
          <t>2026-08-12</t>
        </is>
      </c>
      <c r="I5" s="3" t="n"/>
      <c r="J5" s="4">
        <f>IF(AND(G5&lt;&gt;"已完成",G5&lt;&gt;"",H5&lt;&gt;"",H5&lt;TODAY()),"⚠️延期","")</f>
        <v/>
      </c>
      <c r="K5" s="5" t="n"/>
    </row>
    <row r="6">
      <c r="A6" s="3" t="inlineStr">
        <is>
          <t>2026-08-11</t>
        </is>
      </c>
      <c r="B6" s="4">
        <f>IF(A6="","",CHOOSE(WEEKDAY(A6),"周日","周一","周二","周三","周四","周五","周六"))</f>
        <v/>
      </c>
      <c r="C6" s="3" t="inlineStr">
        <is>
          <t>樱拓</t>
        </is>
      </c>
      <c r="D6" s="3" t="inlineStr">
        <is>
          <t>咩咩(贸易)</t>
        </is>
      </c>
      <c r="E6" s="3" t="inlineStr">
        <is>
          <t>贸易</t>
        </is>
      </c>
      <c r="F6" s="5" t="inlineStr">
        <is>
          <t>预算表格制作</t>
        </is>
      </c>
      <c r="G6" s="3" t="inlineStr">
        <is>
          <t>未开始</t>
        </is>
      </c>
      <c r="H6" s="3" t="inlineStr">
        <is>
          <t>2026-08-15</t>
        </is>
      </c>
      <c r="I6" s="3" t="n"/>
      <c r="J6" s="4">
        <f>IF(AND(G6&lt;&gt;"已完成",G6&lt;&gt;"",H6&lt;&gt;"",H6&lt;TODAY()),"⚠️延期","")</f>
        <v/>
      </c>
      <c r="K6" s="5" t="n"/>
    </row>
    <row r="7">
      <c r="A7" s="3" t="inlineStr">
        <is>
          <t>2026-08-17</t>
        </is>
      </c>
      <c r="B7" s="4">
        <f>IF(A7="","",CHOOSE(WEEKDAY(A7),"周日","周一","周二","周三","周四","周五","周六"))</f>
        <v/>
      </c>
      <c r="C7" s="3" t="inlineStr">
        <is>
          <t>樱启</t>
        </is>
      </c>
      <c r="D7" s="3" t="inlineStr">
        <is>
          <t>张姐(供应链)</t>
        </is>
      </c>
      <c r="E7" s="3" t="inlineStr">
        <is>
          <t>行政/其他</t>
        </is>
      </c>
      <c r="F7" s="5" t="inlineStr">
        <is>
          <t>税务申报</t>
        </is>
      </c>
      <c r="G7" s="3" t="inlineStr">
        <is>
          <t>进行中</t>
        </is>
      </c>
      <c r="H7" s="3" t="inlineStr">
        <is>
          <t>2026-08-20</t>
        </is>
      </c>
      <c r="I7" s="3" t="n"/>
      <c r="J7" s="4">
        <f>IF(AND(G7&lt;&gt;"已完成",G7&lt;&gt;"",H7&lt;&gt;"",H7&lt;TODAY()),"⚠️延期","")</f>
        <v/>
      </c>
      <c r="K7" s="5" t="n"/>
    </row>
    <row r="8">
      <c r="A8" s="3" t="inlineStr">
        <is>
          <t>2026-08-30</t>
        </is>
      </c>
      <c r="B8" s="4">
        <f>IF(A8="","",CHOOSE(WEEKDAY(A8),"周日","周一","周二","周三","周四","周五","周六"))</f>
        <v/>
      </c>
      <c r="C8" s="3" t="inlineStr">
        <is>
          <t>樱启</t>
        </is>
      </c>
      <c r="D8" s="3" t="inlineStr">
        <is>
          <t>张姐(供应链)</t>
        </is>
      </c>
      <c r="E8" s="3" t="inlineStr">
        <is>
          <t>行政/其他</t>
        </is>
      </c>
      <c r="F8" s="5" t="inlineStr">
        <is>
          <t>抖音费用确认(无费用可继续保持)</t>
        </is>
      </c>
      <c r="G8" s="3" t="inlineStr">
        <is>
          <t>未开始</t>
        </is>
      </c>
      <c r="H8" s="3" t="inlineStr">
        <is>
          <t>2026-08-30</t>
        </is>
      </c>
      <c r="I8" s="3" t="n"/>
      <c r="J8" s="4">
        <f>IF(AND(G8&lt;&gt;"已完成",G8&lt;&gt;"",H8&lt;&gt;"",H8&lt;TODAY()),"⚠️延期","")</f>
        <v/>
      </c>
      <c r="K8" s="5" t="n"/>
    </row>
    <row r="9">
      <c r="A9" s="3" t="n"/>
      <c r="B9" s="4">
        <f>IF(A9="","",CHOOSE(WEEKDAY(A9),"周日","周一","周二","周三","周四","周五","周六"))</f>
        <v/>
      </c>
      <c r="C9" s="3" t="n"/>
      <c r="D9" s="3" t="n"/>
      <c r="E9" s="3" t="n"/>
      <c r="F9" s="5" t="n"/>
      <c r="G9" s="3" t="n"/>
      <c r="H9" s="3" t="n"/>
      <c r="I9" s="3" t="n"/>
      <c r="J9" s="4">
        <f>IF(AND(G9&lt;&gt;"已完成",G9&lt;&gt;"",H9&lt;&gt;"",H9&lt;TODAY()),"⚠️延期","")</f>
        <v/>
      </c>
      <c r="K9" s="5" t="n"/>
    </row>
    <row r="10">
      <c r="A10" s="3" t="n"/>
      <c r="B10" s="4">
        <f>IF(A10="","",CHOOSE(WEEKDAY(A10),"周日","周一","周二","周三","周四","周五","周六"))</f>
        <v/>
      </c>
      <c r="C10" s="3" t="n"/>
      <c r="D10" s="3" t="n"/>
      <c r="E10" s="3" t="n"/>
      <c r="F10" s="5" t="n"/>
      <c r="G10" s="3" t="n"/>
      <c r="H10" s="3" t="n"/>
      <c r="I10" s="3" t="n"/>
      <c r="J10" s="4">
        <f>IF(AND(G10&lt;&gt;"已完成",G10&lt;&gt;"",H10&lt;&gt;"",H10&lt;TODAY()),"⚠️延期","")</f>
        <v/>
      </c>
      <c r="K10" s="5" t="n"/>
    </row>
    <row r="11">
      <c r="A11" s="3" t="n"/>
      <c r="B11" s="4">
        <f>IF(A11="","",CHOOSE(WEEKDAY(A11),"周日","周一","周二","周三","周四","周五","周六"))</f>
        <v/>
      </c>
      <c r="C11" s="3" t="n"/>
      <c r="D11" s="3" t="n"/>
      <c r="E11" s="3" t="n"/>
      <c r="F11" s="5" t="n"/>
      <c r="G11" s="3" t="n"/>
      <c r="H11" s="3" t="n"/>
      <c r="I11" s="3" t="n"/>
      <c r="J11" s="4">
        <f>IF(AND(G11&lt;&gt;"已完成",G11&lt;&gt;"",H11&lt;&gt;"",H11&lt;TODAY()),"⚠️延期","")</f>
        <v/>
      </c>
      <c r="K11" s="5" t="n"/>
    </row>
    <row r="12">
      <c r="A12" s="3" t="n"/>
      <c r="B12" s="4">
        <f>IF(A12="","",CHOOSE(WEEKDAY(A12),"周日","周一","周二","周三","周四","周五","周六"))</f>
        <v/>
      </c>
      <c r="C12" s="3" t="n"/>
      <c r="D12" s="3" t="n"/>
      <c r="E12" s="3" t="n"/>
      <c r="F12" s="5" t="n"/>
      <c r="G12" s="3" t="n"/>
      <c r="H12" s="3" t="n"/>
      <c r="I12" s="3" t="n"/>
      <c r="J12" s="4">
        <f>IF(AND(G12&lt;&gt;"已完成",G12&lt;&gt;"",H12&lt;&gt;"",H12&lt;TODAY()),"⚠️延期","")</f>
        <v/>
      </c>
      <c r="K12" s="5" t="n"/>
    </row>
    <row r="13">
      <c r="A13" s="3" t="n"/>
      <c r="B13" s="4">
        <f>IF(A13="","",CHOOSE(WEEKDAY(A13),"周日","周一","周二","周三","周四","周五","周六"))</f>
        <v/>
      </c>
      <c r="C13" s="3" t="n"/>
      <c r="D13" s="3" t="n"/>
      <c r="E13" s="3" t="n"/>
      <c r="F13" s="5" t="n"/>
      <c r="G13" s="3" t="n"/>
      <c r="H13" s="3" t="n"/>
      <c r="I13" s="3" t="n"/>
      <c r="J13" s="4">
        <f>IF(AND(G13&lt;&gt;"已完成",G13&lt;&gt;"",H13&lt;&gt;"",H13&lt;TODAY()),"⚠️延期","")</f>
        <v/>
      </c>
      <c r="K13" s="5" t="n"/>
    </row>
    <row r="14">
      <c r="A14" s="3" t="n"/>
      <c r="B14" s="4">
        <f>IF(A14="","",CHOOSE(WEEKDAY(A14),"周日","周一","周二","周三","周四","周五","周六"))</f>
        <v/>
      </c>
      <c r="C14" s="3" t="n"/>
      <c r="D14" s="3" t="n"/>
      <c r="E14" s="3" t="n"/>
      <c r="F14" s="5" t="n"/>
      <c r="G14" s="3" t="n"/>
      <c r="H14" s="3" t="n"/>
      <c r="I14" s="3" t="n"/>
      <c r="J14" s="4">
        <f>IF(AND(G14&lt;&gt;"已完成",G14&lt;&gt;"",H14&lt;&gt;"",H14&lt;TODAY()),"⚠️延期","")</f>
        <v/>
      </c>
      <c r="K14" s="5" t="n"/>
    </row>
    <row r="15">
      <c r="A15" s="3" t="n"/>
      <c r="B15" s="4">
        <f>IF(A15="","",CHOOSE(WEEKDAY(A15),"周日","周一","周二","周三","周四","周五","周六"))</f>
        <v/>
      </c>
      <c r="C15" s="3" t="n"/>
      <c r="D15" s="3" t="n"/>
      <c r="E15" s="3" t="n"/>
      <c r="F15" s="5" t="n"/>
      <c r="G15" s="3" t="n"/>
      <c r="H15" s="3" t="n"/>
      <c r="I15" s="3" t="n"/>
      <c r="J15" s="4">
        <f>IF(AND(G15&lt;&gt;"已完成",G15&lt;&gt;"",H15&lt;&gt;"",H15&lt;TODAY()),"⚠️延期","")</f>
        <v/>
      </c>
      <c r="K15" s="5" t="n"/>
    </row>
    <row r="16">
      <c r="A16" s="3" t="n"/>
      <c r="B16" s="4">
        <f>IF(A16="","",CHOOSE(WEEKDAY(A16),"周日","周一","周二","周三","周四","周五","周六"))</f>
        <v/>
      </c>
      <c r="C16" s="3" t="n"/>
      <c r="D16" s="3" t="n"/>
      <c r="E16" s="3" t="n"/>
      <c r="F16" s="5" t="n"/>
      <c r="G16" s="3" t="n"/>
      <c r="H16" s="3" t="n"/>
      <c r="I16" s="3" t="n"/>
      <c r="J16" s="4">
        <f>IF(AND(G16&lt;&gt;"已完成",G16&lt;&gt;"",H16&lt;&gt;"",H16&lt;TODAY()),"⚠️延期","")</f>
        <v/>
      </c>
      <c r="K16" s="5" t="n"/>
    </row>
    <row r="17">
      <c r="A17" s="3" t="n"/>
      <c r="B17" s="4">
        <f>IF(A17="","",CHOOSE(WEEKDAY(A17),"周日","周一","周二","周三","周四","周五","周六"))</f>
        <v/>
      </c>
      <c r="C17" s="3" t="n"/>
      <c r="D17" s="3" t="n"/>
      <c r="E17" s="3" t="n"/>
      <c r="F17" s="5" t="n"/>
      <c r="G17" s="3" t="n"/>
      <c r="H17" s="3" t="n"/>
      <c r="I17" s="3" t="n"/>
      <c r="J17" s="4">
        <f>IF(AND(G17&lt;&gt;"已完成",G17&lt;&gt;"",H17&lt;&gt;"",H17&lt;TODAY()),"⚠️延期","")</f>
        <v/>
      </c>
      <c r="K17" s="5" t="n"/>
    </row>
    <row r="18">
      <c r="A18" s="3" t="n"/>
      <c r="B18" s="4">
        <f>IF(A18="","",CHOOSE(WEEKDAY(A18),"周日","周一","周二","周三","周四","周五","周六"))</f>
        <v/>
      </c>
      <c r="C18" s="3" t="n"/>
      <c r="D18" s="3" t="n"/>
      <c r="E18" s="3" t="n"/>
      <c r="F18" s="5" t="n"/>
      <c r="G18" s="3" t="n"/>
      <c r="H18" s="3" t="n"/>
      <c r="I18" s="3" t="n"/>
      <c r="J18" s="4">
        <f>IF(AND(G18&lt;&gt;"已完成",G18&lt;&gt;"",H18&lt;&gt;"",H18&lt;TODAY()),"⚠️延期","")</f>
        <v/>
      </c>
      <c r="K18" s="5" t="n"/>
    </row>
    <row r="19">
      <c r="A19" s="3" t="n"/>
      <c r="B19" s="4">
        <f>IF(A19="","",CHOOSE(WEEKDAY(A19),"周日","周一","周二","周三","周四","周五","周六"))</f>
        <v/>
      </c>
      <c r="C19" s="3" t="n"/>
      <c r="D19" s="3" t="n"/>
      <c r="E19" s="3" t="n"/>
      <c r="F19" s="5" t="n"/>
      <c r="G19" s="3" t="n"/>
      <c r="H19" s="3" t="n"/>
      <c r="I19" s="3" t="n"/>
      <c r="J19" s="4">
        <f>IF(AND(G19&lt;&gt;"已完成",G19&lt;&gt;"",H19&lt;&gt;"",H19&lt;TODAY()),"⚠️延期","")</f>
        <v/>
      </c>
      <c r="K19" s="5" t="n"/>
    </row>
    <row r="20">
      <c r="A20" s="3" t="n"/>
      <c r="B20" s="4">
        <f>IF(A20="","",CHOOSE(WEEKDAY(A20),"周日","周一","周二","周三","周四","周五","周六"))</f>
        <v/>
      </c>
      <c r="C20" s="3" t="n"/>
      <c r="D20" s="3" t="n"/>
      <c r="E20" s="3" t="n"/>
      <c r="F20" s="5" t="n"/>
      <c r="G20" s="3" t="n"/>
      <c r="H20" s="3" t="n"/>
      <c r="I20" s="3" t="n"/>
      <c r="J20" s="4">
        <f>IF(AND(G20&lt;&gt;"已完成",G20&lt;&gt;"",H20&lt;&gt;"",H20&lt;TODAY()),"⚠️延期","")</f>
        <v/>
      </c>
      <c r="K20" s="5" t="n"/>
    </row>
    <row r="21">
      <c r="A21" s="3" t="n"/>
      <c r="B21" s="4">
        <f>IF(A21="","",CHOOSE(WEEKDAY(A21),"周日","周一","周二","周三","周四","周五","周六"))</f>
        <v/>
      </c>
      <c r="C21" s="3" t="n"/>
      <c r="D21" s="3" t="n"/>
      <c r="E21" s="3" t="n"/>
      <c r="F21" s="5" t="n"/>
      <c r="G21" s="3" t="n"/>
      <c r="H21" s="3" t="n"/>
      <c r="I21" s="3" t="n"/>
      <c r="J21" s="4">
        <f>IF(AND(G21&lt;&gt;"已完成",G21&lt;&gt;"",H21&lt;&gt;"",H21&lt;TODAY()),"⚠️延期","")</f>
        <v/>
      </c>
      <c r="K21" s="5" t="n"/>
    </row>
    <row r="22">
      <c r="A22" s="3" t="n"/>
      <c r="B22" s="4">
        <f>IF(A22="","",CHOOSE(WEEKDAY(A22),"周日","周一","周二","周三","周四","周五","周六"))</f>
        <v/>
      </c>
      <c r="C22" s="3" t="n"/>
      <c r="D22" s="3" t="n"/>
      <c r="E22" s="3" t="n"/>
      <c r="F22" s="5" t="n"/>
      <c r="G22" s="3" t="n"/>
      <c r="H22" s="3" t="n"/>
      <c r="I22" s="3" t="n"/>
      <c r="J22" s="4">
        <f>IF(AND(G22&lt;&gt;"已完成",G22&lt;&gt;"",H22&lt;&gt;"",H22&lt;TODAY()),"⚠️延期","")</f>
        <v/>
      </c>
      <c r="K22" s="5" t="n"/>
    </row>
    <row r="23">
      <c r="A23" s="3" t="n"/>
      <c r="B23" s="4">
        <f>IF(A23="","",CHOOSE(WEEKDAY(A23),"周日","周一","周二","周三","周四","周五","周六"))</f>
        <v/>
      </c>
      <c r="C23" s="3" t="n"/>
      <c r="D23" s="3" t="n"/>
      <c r="E23" s="3" t="n"/>
      <c r="F23" s="5" t="n"/>
      <c r="G23" s="3" t="n"/>
      <c r="H23" s="3" t="n"/>
      <c r="I23" s="3" t="n"/>
      <c r="J23" s="4">
        <f>IF(AND(G23&lt;&gt;"已完成",G23&lt;&gt;"",H23&lt;&gt;"",H23&lt;TODAY()),"⚠️延期","")</f>
        <v/>
      </c>
      <c r="K23" s="5" t="n"/>
    </row>
    <row r="24">
      <c r="A24" s="3" t="n"/>
      <c r="B24" s="4">
        <f>IF(A24="","",CHOOSE(WEEKDAY(A24),"周日","周一","周二","周三","周四","周五","周六"))</f>
        <v/>
      </c>
      <c r="C24" s="3" t="n"/>
      <c r="D24" s="3" t="n"/>
      <c r="E24" s="3" t="n"/>
      <c r="F24" s="5" t="n"/>
      <c r="G24" s="3" t="n"/>
      <c r="H24" s="3" t="n"/>
      <c r="I24" s="3" t="n"/>
      <c r="J24" s="4">
        <f>IF(AND(G24&lt;&gt;"已完成",G24&lt;&gt;"",H24&lt;&gt;"",H24&lt;TODAY()),"⚠️延期","")</f>
        <v/>
      </c>
      <c r="K24" s="5" t="n"/>
    </row>
    <row r="25">
      <c r="A25" s="3" t="n"/>
      <c r="B25" s="4">
        <f>IF(A25="","",CHOOSE(WEEKDAY(A25),"周日","周一","周二","周三","周四","周五","周六"))</f>
        <v/>
      </c>
      <c r="C25" s="3" t="n"/>
      <c r="D25" s="3" t="n"/>
      <c r="E25" s="3" t="n"/>
      <c r="F25" s="5" t="n"/>
      <c r="G25" s="3" t="n"/>
      <c r="H25" s="3" t="n"/>
      <c r="I25" s="3" t="n"/>
      <c r="J25" s="4">
        <f>IF(AND(G25&lt;&gt;"已完成",G25&lt;&gt;"",H25&lt;&gt;"",H25&lt;TODAY()),"⚠️延期","")</f>
        <v/>
      </c>
      <c r="K25" s="5" t="n"/>
    </row>
    <row r="26">
      <c r="A26" s="3" t="n"/>
      <c r="B26" s="4">
        <f>IF(A26="","",CHOOSE(WEEKDAY(A26),"周日","周一","周二","周三","周四","周五","周六"))</f>
        <v/>
      </c>
      <c r="C26" s="3" t="n"/>
      <c r="D26" s="3" t="n"/>
      <c r="E26" s="3" t="n"/>
      <c r="F26" s="5" t="n"/>
      <c r="G26" s="3" t="n"/>
      <c r="H26" s="3" t="n"/>
      <c r="I26" s="3" t="n"/>
      <c r="J26" s="4">
        <f>IF(AND(G26&lt;&gt;"已完成",G26&lt;&gt;"",H26&lt;&gt;"",H26&lt;TODAY()),"⚠️延期","")</f>
        <v/>
      </c>
      <c r="K26" s="5" t="n"/>
    </row>
    <row r="27">
      <c r="A27" s="3" t="n"/>
      <c r="B27" s="4">
        <f>IF(A27="","",CHOOSE(WEEKDAY(A27),"周日","周一","周二","周三","周四","周五","周六"))</f>
        <v/>
      </c>
      <c r="C27" s="3" t="n"/>
      <c r="D27" s="3" t="n"/>
      <c r="E27" s="3" t="n"/>
      <c r="F27" s="5" t="n"/>
      <c r="G27" s="3" t="n"/>
      <c r="H27" s="3" t="n"/>
      <c r="I27" s="3" t="n"/>
      <c r="J27" s="4">
        <f>IF(AND(G27&lt;&gt;"已完成",G27&lt;&gt;"",H27&lt;&gt;"",H27&lt;TODAY()),"⚠️延期","")</f>
        <v/>
      </c>
      <c r="K27" s="5" t="n"/>
    </row>
    <row r="28">
      <c r="A28" s="3" t="n"/>
      <c r="B28" s="4">
        <f>IF(A28="","",CHOOSE(WEEKDAY(A28),"周日","周一","周二","周三","周四","周五","周六"))</f>
        <v/>
      </c>
      <c r="C28" s="3" t="n"/>
      <c r="D28" s="3" t="n"/>
      <c r="E28" s="3" t="n"/>
      <c r="F28" s="5" t="n"/>
      <c r="G28" s="3" t="n"/>
      <c r="H28" s="3" t="n"/>
      <c r="I28" s="3" t="n"/>
      <c r="J28" s="4">
        <f>IF(AND(G28&lt;&gt;"已完成",G28&lt;&gt;"",H28&lt;&gt;"",H28&lt;TODAY()),"⚠️延期","")</f>
        <v/>
      </c>
      <c r="K28" s="5" t="n"/>
    </row>
    <row r="29">
      <c r="A29" s="3" t="n"/>
      <c r="B29" s="4">
        <f>IF(A29="","",CHOOSE(WEEKDAY(A29),"周日","周一","周二","周三","周四","周五","周六"))</f>
        <v/>
      </c>
      <c r="C29" s="3" t="n"/>
      <c r="D29" s="3" t="n"/>
      <c r="E29" s="3" t="n"/>
      <c r="F29" s="5" t="n"/>
      <c r="G29" s="3" t="n"/>
      <c r="H29" s="3" t="n"/>
      <c r="I29" s="3" t="n"/>
      <c r="J29" s="4">
        <f>IF(AND(G29&lt;&gt;"已完成",G29&lt;&gt;"",H29&lt;&gt;"",H29&lt;TODAY()),"⚠️延期","")</f>
        <v/>
      </c>
      <c r="K29" s="5" t="n"/>
    </row>
    <row r="30">
      <c r="A30" s="3" t="n"/>
      <c r="B30" s="4">
        <f>IF(A30="","",CHOOSE(WEEKDAY(A30),"周日","周一","周二","周三","周四","周五","周六"))</f>
        <v/>
      </c>
      <c r="C30" s="3" t="n"/>
      <c r="D30" s="3" t="n"/>
      <c r="E30" s="3" t="n"/>
      <c r="F30" s="5" t="n"/>
      <c r="G30" s="3" t="n"/>
      <c r="H30" s="3" t="n"/>
      <c r="I30" s="3" t="n"/>
      <c r="J30" s="4">
        <f>IF(AND(G30&lt;&gt;"已完成",G30&lt;&gt;"",H30&lt;&gt;"",H30&lt;TODAY()),"⚠️延期","")</f>
        <v/>
      </c>
      <c r="K30" s="5" t="n"/>
    </row>
    <row r="31">
      <c r="A31" s="3" t="n"/>
      <c r="B31" s="4">
        <f>IF(A31="","",CHOOSE(WEEKDAY(A31),"周日","周一","周二","周三","周四","周五","周六"))</f>
        <v/>
      </c>
      <c r="C31" s="3" t="n"/>
      <c r="D31" s="3" t="n"/>
      <c r="E31" s="3" t="n"/>
      <c r="F31" s="5" t="n"/>
      <c r="G31" s="3" t="n"/>
      <c r="H31" s="3" t="n"/>
      <c r="I31" s="3" t="n"/>
      <c r="J31" s="4">
        <f>IF(AND(G31&lt;&gt;"已完成",G31&lt;&gt;"",H31&lt;&gt;"",H31&lt;TODAY()),"⚠️延期","")</f>
        <v/>
      </c>
      <c r="K31" s="5" t="n"/>
    </row>
    <row r="32">
      <c r="A32" s="3" t="n"/>
      <c r="B32" s="4">
        <f>IF(A32="","",CHOOSE(WEEKDAY(A32),"周日","周一","周二","周三","周四","周五","周六"))</f>
        <v/>
      </c>
      <c r="C32" s="3" t="n"/>
      <c r="D32" s="3" t="n"/>
      <c r="E32" s="3" t="n"/>
      <c r="F32" s="5" t="n"/>
      <c r="G32" s="3" t="n"/>
      <c r="H32" s="3" t="n"/>
      <c r="I32" s="3" t="n"/>
      <c r="J32" s="4">
        <f>IF(AND(G32&lt;&gt;"已完成",G32&lt;&gt;"",H32&lt;&gt;"",H32&lt;TODAY()),"⚠️延期","")</f>
        <v/>
      </c>
      <c r="K32" s="5" t="n"/>
    </row>
    <row r="33">
      <c r="A33" s="3" t="n"/>
      <c r="B33" s="4">
        <f>IF(A33="","",CHOOSE(WEEKDAY(A33),"周日","周一","周二","周三","周四","周五","周六"))</f>
        <v/>
      </c>
      <c r="C33" s="3" t="n"/>
      <c r="D33" s="3" t="n"/>
      <c r="E33" s="3" t="n"/>
      <c r="F33" s="5" t="n"/>
      <c r="G33" s="3" t="n"/>
      <c r="H33" s="3" t="n"/>
      <c r="I33" s="3" t="n"/>
      <c r="J33" s="4">
        <f>IF(AND(G33&lt;&gt;"已完成",G33&lt;&gt;"",H33&lt;&gt;"",H33&lt;TODAY()),"⚠️延期","")</f>
        <v/>
      </c>
      <c r="K33" s="5" t="n"/>
    </row>
    <row r="34">
      <c r="A34" s="3" t="n"/>
      <c r="B34" s="4">
        <f>IF(A34="","",CHOOSE(WEEKDAY(A34),"周日","周一","周二","周三","周四","周五","周六"))</f>
        <v/>
      </c>
      <c r="C34" s="3" t="n"/>
      <c r="D34" s="3" t="n"/>
      <c r="E34" s="3" t="n"/>
      <c r="F34" s="5" t="n"/>
      <c r="G34" s="3" t="n"/>
      <c r="H34" s="3" t="n"/>
      <c r="I34" s="3" t="n"/>
      <c r="J34" s="4">
        <f>IF(AND(G34&lt;&gt;"已完成",G34&lt;&gt;"",H34&lt;&gt;"",H34&lt;TODAY()),"⚠️延期","")</f>
        <v/>
      </c>
      <c r="K34" s="5" t="n"/>
    </row>
    <row r="35">
      <c r="A35" s="3" t="n"/>
      <c r="B35" s="4">
        <f>IF(A35="","",CHOOSE(WEEKDAY(A35),"周日","周一","周二","周三","周四","周五","周六"))</f>
        <v/>
      </c>
      <c r="C35" s="3" t="n"/>
      <c r="D35" s="3" t="n"/>
      <c r="E35" s="3" t="n"/>
      <c r="F35" s="5" t="n"/>
      <c r="G35" s="3" t="n"/>
      <c r="H35" s="3" t="n"/>
      <c r="I35" s="3" t="n"/>
      <c r="J35" s="4">
        <f>IF(AND(G35&lt;&gt;"已完成",G35&lt;&gt;"",H35&lt;&gt;"",H35&lt;TODAY()),"⚠️延期","")</f>
        <v/>
      </c>
      <c r="K35" s="5" t="n"/>
    </row>
    <row r="36">
      <c r="A36" s="3" t="n"/>
      <c r="B36" s="4">
        <f>IF(A36="","",CHOOSE(WEEKDAY(A36),"周日","周一","周二","周三","周四","周五","周六"))</f>
        <v/>
      </c>
      <c r="C36" s="3" t="n"/>
      <c r="D36" s="3" t="n"/>
      <c r="E36" s="3" t="n"/>
      <c r="F36" s="5" t="n"/>
      <c r="G36" s="3" t="n"/>
      <c r="H36" s="3" t="n"/>
      <c r="I36" s="3" t="n"/>
      <c r="J36" s="4">
        <f>IF(AND(G36&lt;&gt;"已完成",G36&lt;&gt;"",H36&lt;&gt;"",H36&lt;TODAY()),"⚠️延期","")</f>
        <v/>
      </c>
      <c r="K36" s="5" t="n"/>
    </row>
    <row r="37">
      <c r="A37" s="3" t="n"/>
      <c r="B37" s="4">
        <f>IF(A37="","",CHOOSE(WEEKDAY(A37),"周日","周一","周二","周三","周四","周五","周六"))</f>
        <v/>
      </c>
      <c r="C37" s="3" t="n"/>
      <c r="D37" s="3" t="n"/>
      <c r="E37" s="3" t="n"/>
      <c r="F37" s="5" t="n"/>
      <c r="G37" s="3" t="n"/>
      <c r="H37" s="3" t="n"/>
      <c r="I37" s="3" t="n"/>
      <c r="J37" s="4">
        <f>IF(AND(G37&lt;&gt;"已完成",G37&lt;&gt;"",H37&lt;&gt;"",H37&lt;TODAY()),"⚠️延期","")</f>
        <v/>
      </c>
      <c r="K37" s="5" t="n"/>
    </row>
    <row r="38">
      <c r="A38" s="3" t="n"/>
      <c r="B38" s="4">
        <f>IF(A38="","",CHOOSE(WEEKDAY(A38),"周日","周一","周二","周三","周四","周五","周六"))</f>
        <v/>
      </c>
      <c r="C38" s="3" t="n"/>
      <c r="D38" s="3" t="n"/>
      <c r="E38" s="3" t="n"/>
      <c r="F38" s="5" t="n"/>
      <c r="G38" s="3" t="n"/>
      <c r="H38" s="3" t="n"/>
      <c r="I38" s="3" t="n"/>
      <c r="J38" s="4">
        <f>IF(AND(G38&lt;&gt;"已完成",G38&lt;&gt;"",H38&lt;&gt;"",H38&lt;TODAY()),"⚠️延期","")</f>
        <v/>
      </c>
      <c r="K38" s="5" t="n"/>
    </row>
    <row r="39">
      <c r="A39" s="3" t="n"/>
      <c r="B39" s="4">
        <f>IF(A39="","",CHOOSE(WEEKDAY(A39),"周日","周一","周二","周三","周四","周五","周六"))</f>
        <v/>
      </c>
      <c r="C39" s="3" t="n"/>
      <c r="D39" s="3" t="n"/>
      <c r="E39" s="3" t="n"/>
      <c r="F39" s="5" t="n"/>
      <c r="G39" s="3" t="n"/>
      <c r="H39" s="3" t="n"/>
      <c r="I39" s="3" t="n"/>
      <c r="J39" s="4">
        <f>IF(AND(G39&lt;&gt;"已完成",G39&lt;&gt;"",H39&lt;&gt;"",H39&lt;TODAY()),"⚠️延期","")</f>
        <v/>
      </c>
      <c r="K39" s="5" t="n"/>
    </row>
    <row r="40">
      <c r="A40" s="3" t="n"/>
      <c r="B40" s="4">
        <f>IF(A40="","",CHOOSE(WEEKDAY(A40),"周日","周一","周二","周三","周四","周五","周六"))</f>
        <v/>
      </c>
      <c r="C40" s="3" t="n"/>
      <c r="D40" s="3" t="n"/>
      <c r="E40" s="3" t="n"/>
      <c r="F40" s="5" t="n"/>
      <c r="G40" s="3" t="n"/>
      <c r="H40" s="3" t="n"/>
      <c r="I40" s="3" t="n"/>
      <c r="J40" s="4">
        <f>IF(AND(G40&lt;&gt;"已完成",G40&lt;&gt;"",H40&lt;&gt;"",H40&lt;TODAY()),"⚠️延期","")</f>
        <v/>
      </c>
      <c r="K40" s="5" t="n"/>
    </row>
    <row r="41">
      <c r="A41" s="3" t="n"/>
      <c r="B41" s="4">
        <f>IF(A41="","",CHOOSE(WEEKDAY(A41),"周日","周一","周二","周三","周四","周五","周六"))</f>
        <v/>
      </c>
      <c r="C41" s="3" t="n"/>
      <c r="D41" s="3" t="n"/>
      <c r="E41" s="3" t="n"/>
      <c r="F41" s="5" t="n"/>
      <c r="G41" s="3" t="n"/>
      <c r="H41" s="3" t="n"/>
      <c r="I41" s="3" t="n"/>
      <c r="J41" s="4">
        <f>IF(AND(G41&lt;&gt;"已完成",G41&lt;&gt;"",H41&lt;&gt;"",H41&lt;TODAY()),"⚠️延期","")</f>
        <v/>
      </c>
      <c r="K41" s="5" t="n"/>
    </row>
    <row r="42">
      <c r="A42" s="3" t="n"/>
      <c r="B42" s="4">
        <f>IF(A42="","",CHOOSE(WEEKDAY(A42),"周日","周一","周二","周三","周四","周五","周六"))</f>
        <v/>
      </c>
      <c r="C42" s="3" t="n"/>
      <c r="D42" s="3" t="n"/>
      <c r="E42" s="3" t="n"/>
      <c r="F42" s="5" t="n"/>
      <c r="G42" s="3" t="n"/>
      <c r="H42" s="3" t="n"/>
      <c r="I42" s="3" t="n"/>
      <c r="J42" s="4">
        <f>IF(AND(G42&lt;&gt;"已完成",G42&lt;&gt;"",H42&lt;&gt;"",H42&lt;TODAY()),"⚠️延期","")</f>
        <v/>
      </c>
      <c r="K42" s="5" t="n"/>
    </row>
    <row r="43">
      <c r="A43" s="3" t="n"/>
      <c r="B43" s="4">
        <f>IF(A43="","",CHOOSE(WEEKDAY(A43),"周日","周一","周二","周三","周四","周五","周六"))</f>
        <v/>
      </c>
      <c r="C43" s="3" t="n"/>
      <c r="D43" s="3" t="n"/>
      <c r="E43" s="3" t="n"/>
      <c r="F43" s="5" t="n"/>
      <c r="G43" s="3" t="n"/>
      <c r="H43" s="3" t="n"/>
      <c r="I43" s="3" t="n"/>
      <c r="J43" s="4">
        <f>IF(AND(G43&lt;&gt;"已完成",G43&lt;&gt;"",H43&lt;&gt;"",H43&lt;TODAY()),"⚠️延期","")</f>
        <v/>
      </c>
      <c r="K43" s="5" t="n"/>
    </row>
    <row r="44">
      <c r="A44" s="3" t="n"/>
      <c r="B44" s="4">
        <f>IF(A44="","",CHOOSE(WEEKDAY(A44),"周日","周一","周二","周三","周四","周五","周六"))</f>
        <v/>
      </c>
      <c r="C44" s="3" t="n"/>
      <c r="D44" s="3" t="n"/>
      <c r="E44" s="3" t="n"/>
      <c r="F44" s="5" t="n"/>
      <c r="G44" s="3" t="n"/>
      <c r="H44" s="3" t="n"/>
      <c r="I44" s="3" t="n"/>
      <c r="J44" s="4">
        <f>IF(AND(G44&lt;&gt;"已完成",G44&lt;&gt;"",H44&lt;&gt;"",H44&lt;TODAY()),"⚠️延期","")</f>
        <v/>
      </c>
      <c r="K44" s="5" t="n"/>
    </row>
    <row r="45">
      <c r="A45" s="3" t="n"/>
      <c r="B45" s="4">
        <f>IF(A45="","",CHOOSE(WEEKDAY(A45),"周日","周一","周二","周三","周四","周五","周六"))</f>
        <v/>
      </c>
      <c r="C45" s="3" t="n"/>
      <c r="D45" s="3" t="n"/>
      <c r="E45" s="3" t="n"/>
      <c r="F45" s="5" t="n"/>
      <c r="G45" s="3" t="n"/>
      <c r="H45" s="3" t="n"/>
      <c r="I45" s="3" t="n"/>
      <c r="J45" s="4">
        <f>IF(AND(G45&lt;&gt;"已完成",G45&lt;&gt;"",H45&lt;&gt;"",H45&lt;TODAY()),"⚠️延期","")</f>
        <v/>
      </c>
      <c r="K45" s="5" t="n"/>
    </row>
    <row r="46">
      <c r="A46" s="3" t="n"/>
      <c r="B46" s="4">
        <f>IF(A46="","",CHOOSE(WEEKDAY(A46),"周日","周一","周二","周三","周四","周五","周六"))</f>
        <v/>
      </c>
      <c r="C46" s="3" t="n"/>
      <c r="D46" s="3" t="n"/>
      <c r="E46" s="3" t="n"/>
      <c r="F46" s="5" t="n"/>
      <c r="G46" s="3" t="n"/>
      <c r="H46" s="3" t="n"/>
      <c r="I46" s="3" t="n"/>
      <c r="J46" s="4">
        <f>IF(AND(G46&lt;&gt;"已完成",G46&lt;&gt;"",H46&lt;&gt;"",H46&lt;TODAY()),"⚠️延期","")</f>
        <v/>
      </c>
      <c r="K46" s="5" t="n"/>
    </row>
    <row r="47">
      <c r="A47" s="3" t="n"/>
      <c r="B47" s="4">
        <f>IF(A47="","",CHOOSE(WEEKDAY(A47),"周日","周一","周二","周三","周四","周五","周六"))</f>
        <v/>
      </c>
      <c r="C47" s="3" t="n"/>
      <c r="D47" s="3" t="n"/>
      <c r="E47" s="3" t="n"/>
      <c r="F47" s="5" t="n"/>
      <c r="G47" s="3" t="n"/>
      <c r="H47" s="3" t="n"/>
      <c r="I47" s="3" t="n"/>
      <c r="J47" s="4">
        <f>IF(AND(G47&lt;&gt;"已完成",G47&lt;&gt;"",H47&lt;&gt;"",H47&lt;TODAY()),"⚠️延期","")</f>
        <v/>
      </c>
      <c r="K47" s="5" t="n"/>
    </row>
    <row r="48">
      <c r="A48" s="3" t="n"/>
      <c r="B48" s="4">
        <f>IF(A48="","",CHOOSE(WEEKDAY(A48),"周日","周一","周二","周三","周四","周五","周六"))</f>
        <v/>
      </c>
      <c r="C48" s="3" t="n"/>
      <c r="D48" s="3" t="n"/>
      <c r="E48" s="3" t="n"/>
      <c r="F48" s="5" t="n"/>
      <c r="G48" s="3" t="n"/>
      <c r="H48" s="3" t="n"/>
      <c r="I48" s="3" t="n"/>
      <c r="J48" s="4">
        <f>IF(AND(G48&lt;&gt;"已完成",G48&lt;&gt;"",H48&lt;&gt;"",H48&lt;TODAY()),"⚠️延期","")</f>
        <v/>
      </c>
      <c r="K48" s="5" t="n"/>
    </row>
    <row r="49">
      <c r="A49" s="3" t="n"/>
      <c r="B49" s="4">
        <f>IF(A49="","",CHOOSE(WEEKDAY(A49),"周日","周一","周二","周三","周四","周五","周六"))</f>
        <v/>
      </c>
      <c r="C49" s="3" t="n"/>
      <c r="D49" s="3" t="n"/>
      <c r="E49" s="3" t="n"/>
      <c r="F49" s="5" t="n"/>
      <c r="G49" s="3" t="n"/>
      <c r="H49" s="3" t="n"/>
      <c r="I49" s="3" t="n"/>
      <c r="J49" s="4">
        <f>IF(AND(G49&lt;&gt;"已完成",G49&lt;&gt;"",H49&lt;&gt;"",H49&lt;TODAY()),"⚠️延期","")</f>
        <v/>
      </c>
      <c r="K49" s="5" t="n"/>
    </row>
    <row r="50">
      <c r="A50" s="3" t="n"/>
      <c r="B50" s="4">
        <f>IF(A50="","",CHOOSE(WEEKDAY(A50),"周日","周一","周二","周三","周四","周五","周六"))</f>
        <v/>
      </c>
      <c r="C50" s="3" t="n"/>
      <c r="D50" s="3" t="n"/>
      <c r="E50" s="3" t="n"/>
      <c r="F50" s="5" t="n"/>
      <c r="G50" s="3" t="n"/>
      <c r="H50" s="3" t="n"/>
      <c r="I50" s="3" t="n"/>
      <c r="J50" s="4">
        <f>IF(AND(G50&lt;&gt;"已完成",G50&lt;&gt;"",H50&lt;&gt;"",H50&lt;TODAY()),"⚠️延期","")</f>
        <v/>
      </c>
      <c r="K50" s="5" t="n"/>
    </row>
    <row r="51">
      <c r="A51" s="3" t="n"/>
      <c r="B51" s="4">
        <f>IF(A51="","",CHOOSE(WEEKDAY(A51),"周日","周一","周二","周三","周四","周五","周六"))</f>
        <v/>
      </c>
      <c r="C51" s="3" t="n"/>
      <c r="D51" s="3" t="n"/>
      <c r="E51" s="3" t="n"/>
      <c r="F51" s="5" t="n"/>
      <c r="G51" s="3" t="n"/>
      <c r="H51" s="3" t="n"/>
      <c r="I51" s="3" t="n"/>
      <c r="J51" s="4">
        <f>IF(AND(G51&lt;&gt;"已完成",G51&lt;&gt;"",H51&lt;&gt;"",H51&lt;TODAY()),"⚠️延期","")</f>
        <v/>
      </c>
      <c r="K51" s="5" t="n"/>
    </row>
    <row r="52">
      <c r="A52" s="3" t="n"/>
      <c r="B52" s="4">
        <f>IF(A52="","",CHOOSE(WEEKDAY(A52),"周日","周一","周二","周三","周四","周五","周六"))</f>
        <v/>
      </c>
      <c r="C52" s="3" t="n"/>
      <c r="D52" s="3" t="n"/>
      <c r="E52" s="3" t="n"/>
      <c r="F52" s="5" t="n"/>
      <c r="G52" s="3" t="n"/>
      <c r="H52" s="3" t="n"/>
      <c r="I52" s="3" t="n"/>
      <c r="J52" s="4">
        <f>IF(AND(G52&lt;&gt;"已完成",G52&lt;&gt;"",H52&lt;&gt;"",H52&lt;TODAY()),"⚠️延期","")</f>
        <v/>
      </c>
      <c r="K52" s="5" t="n"/>
    </row>
    <row r="53">
      <c r="A53" s="3" t="n"/>
      <c r="B53" s="4">
        <f>IF(A53="","",CHOOSE(WEEKDAY(A53),"周日","周一","周二","周三","周四","周五","周六"))</f>
        <v/>
      </c>
      <c r="C53" s="3" t="n"/>
      <c r="D53" s="3" t="n"/>
      <c r="E53" s="3" t="n"/>
      <c r="F53" s="5" t="n"/>
      <c r="G53" s="3" t="n"/>
      <c r="H53" s="3" t="n"/>
      <c r="I53" s="3" t="n"/>
      <c r="J53" s="4">
        <f>IF(AND(G53&lt;&gt;"已完成",G53&lt;&gt;"",H53&lt;&gt;"",H53&lt;TODAY()),"⚠️延期","")</f>
        <v/>
      </c>
      <c r="K53" s="5" t="n"/>
    </row>
    <row r="54">
      <c r="A54" s="3" t="n"/>
      <c r="B54" s="4">
        <f>IF(A54="","",CHOOSE(WEEKDAY(A54),"周日","周一","周二","周三","周四","周五","周六"))</f>
        <v/>
      </c>
      <c r="C54" s="3" t="n"/>
      <c r="D54" s="3" t="n"/>
      <c r="E54" s="3" t="n"/>
      <c r="F54" s="5" t="n"/>
      <c r="G54" s="3" t="n"/>
      <c r="H54" s="3" t="n"/>
      <c r="I54" s="3" t="n"/>
      <c r="J54" s="4">
        <f>IF(AND(G54&lt;&gt;"已完成",G54&lt;&gt;"",H54&lt;&gt;"",H54&lt;TODAY()),"⚠️延期","")</f>
        <v/>
      </c>
      <c r="K54" s="5" t="n"/>
    </row>
    <row r="55">
      <c r="A55" s="3" t="n"/>
      <c r="B55" s="4">
        <f>IF(A55="","",CHOOSE(WEEKDAY(A55),"周日","周一","周二","周三","周四","周五","周六"))</f>
        <v/>
      </c>
      <c r="C55" s="3" t="n"/>
      <c r="D55" s="3" t="n"/>
      <c r="E55" s="3" t="n"/>
      <c r="F55" s="5" t="n"/>
      <c r="G55" s="3" t="n"/>
      <c r="H55" s="3" t="n"/>
      <c r="I55" s="3" t="n"/>
      <c r="J55" s="4">
        <f>IF(AND(G55&lt;&gt;"已完成",G55&lt;&gt;"",H55&lt;&gt;"",H55&lt;TODAY()),"⚠️延期","")</f>
        <v/>
      </c>
      <c r="K55" s="5" t="n"/>
    </row>
    <row r="56">
      <c r="A56" s="3" t="n"/>
      <c r="B56" s="4">
        <f>IF(A56="","",CHOOSE(WEEKDAY(A56),"周日","周一","周二","周三","周四","周五","周六"))</f>
        <v/>
      </c>
      <c r="C56" s="3" t="n"/>
      <c r="D56" s="3" t="n"/>
      <c r="E56" s="3" t="n"/>
      <c r="F56" s="5" t="n"/>
      <c r="G56" s="3" t="n"/>
      <c r="H56" s="3" t="n"/>
      <c r="I56" s="3" t="n"/>
      <c r="J56" s="4">
        <f>IF(AND(G56&lt;&gt;"已完成",G56&lt;&gt;"",H56&lt;&gt;"",H56&lt;TODAY()),"⚠️延期","")</f>
        <v/>
      </c>
      <c r="K56" s="5" t="n"/>
    </row>
    <row r="57">
      <c r="A57" s="3" t="n"/>
      <c r="B57" s="4">
        <f>IF(A57="","",CHOOSE(WEEKDAY(A57),"周日","周一","周二","周三","周四","周五","周六"))</f>
        <v/>
      </c>
      <c r="C57" s="3" t="n"/>
      <c r="D57" s="3" t="n"/>
      <c r="E57" s="3" t="n"/>
      <c r="F57" s="5" t="n"/>
      <c r="G57" s="3" t="n"/>
      <c r="H57" s="3" t="n"/>
      <c r="I57" s="3" t="n"/>
      <c r="J57" s="4">
        <f>IF(AND(G57&lt;&gt;"已完成",G57&lt;&gt;"",H57&lt;&gt;"",H57&lt;TODAY()),"⚠️延期","")</f>
        <v/>
      </c>
      <c r="K57" s="5" t="n"/>
    </row>
    <row r="58">
      <c r="A58" s="3" t="n"/>
      <c r="B58" s="4">
        <f>IF(A58="","",CHOOSE(WEEKDAY(A58),"周日","周一","周二","周三","周四","周五","周六"))</f>
        <v/>
      </c>
      <c r="C58" s="3" t="n"/>
      <c r="D58" s="3" t="n"/>
      <c r="E58" s="3" t="n"/>
      <c r="F58" s="5" t="n"/>
      <c r="G58" s="3" t="n"/>
      <c r="H58" s="3" t="n"/>
      <c r="I58" s="3" t="n"/>
      <c r="J58" s="4">
        <f>IF(AND(G58&lt;&gt;"已完成",G58&lt;&gt;"",H58&lt;&gt;"",H58&lt;TODAY()),"⚠️延期","")</f>
        <v/>
      </c>
      <c r="K58" s="5" t="n"/>
    </row>
    <row r="59">
      <c r="A59" s="3" t="n"/>
      <c r="B59" s="4">
        <f>IF(A59="","",CHOOSE(WEEKDAY(A59),"周日","周一","周二","周三","周四","周五","周六"))</f>
        <v/>
      </c>
      <c r="C59" s="3" t="n"/>
      <c r="D59" s="3" t="n"/>
      <c r="E59" s="3" t="n"/>
      <c r="F59" s="5" t="n"/>
      <c r="G59" s="3" t="n"/>
      <c r="H59" s="3" t="n"/>
      <c r="I59" s="3" t="n"/>
      <c r="J59" s="4">
        <f>IF(AND(G59&lt;&gt;"已完成",G59&lt;&gt;"",H59&lt;&gt;"",H59&lt;TODAY()),"⚠️延期","")</f>
        <v/>
      </c>
      <c r="K59" s="5" t="n"/>
    </row>
    <row r="60">
      <c r="A60" s="3" t="n"/>
      <c r="B60" s="4">
        <f>IF(A60="","",CHOOSE(WEEKDAY(A60),"周日","周一","周二","周三","周四","周五","周六"))</f>
        <v/>
      </c>
      <c r="C60" s="3" t="n"/>
      <c r="D60" s="3" t="n"/>
      <c r="E60" s="3" t="n"/>
      <c r="F60" s="5" t="n"/>
      <c r="G60" s="3" t="n"/>
      <c r="H60" s="3" t="n"/>
      <c r="I60" s="3" t="n"/>
      <c r="J60" s="4">
        <f>IF(AND(G60&lt;&gt;"已完成",G60&lt;&gt;"",H60&lt;&gt;"",H60&lt;TODAY()),"⚠️延期","")</f>
        <v/>
      </c>
      <c r="K60" s="5" t="n"/>
    </row>
    <row r="61">
      <c r="A61" s="3" t="n"/>
      <c r="B61" s="4">
        <f>IF(A61="","",CHOOSE(WEEKDAY(A61),"周日","周一","周二","周三","周四","周五","周六"))</f>
        <v/>
      </c>
      <c r="C61" s="3" t="n"/>
      <c r="D61" s="3" t="n"/>
      <c r="E61" s="3" t="n"/>
      <c r="F61" s="5" t="n"/>
      <c r="G61" s="3" t="n"/>
      <c r="H61" s="3" t="n"/>
      <c r="I61" s="3" t="n"/>
      <c r="J61" s="4">
        <f>IF(AND(G61&lt;&gt;"已完成",G61&lt;&gt;"",H61&lt;&gt;"",H61&lt;TODAY()),"⚠️延期","")</f>
        <v/>
      </c>
      <c r="K61" s="5" t="n"/>
    </row>
    <row r="62">
      <c r="A62" s="3" t="n"/>
      <c r="B62" s="4">
        <f>IF(A62="","",CHOOSE(WEEKDAY(A62),"周日","周一","周二","周三","周四","周五","周六"))</f>
        <v/>
      </c>
      <c r="C62" s="3" t="n"/>
      <c r="D62" s="3" t="n"/>
      <c r="E62" s="3" t="n"/>
      <c r="F62" s="5" t="n"/>
      <c r="G62" s="3" t="n"/>
      <c r="H62" s="3" t="n"/>
      <c r="I62" s="3" t="n"/>
      <c r="J62" s="4">
        <f>IF(AND(G62&lt;&gt;"已完成",G62&lt;&gt;"",H62&lt;&gt;"",H62&lt;TODAY()),"⚠️延期","")</f>
        <v/>
      </c>
      <c r="K62" s="5" t="n"/>
    </row>
    <row r="63">
      <c r="A63" s="3" t="n"/>
      <c r="B63" s="4">
        <f>IF(A63="","",CHOOSE(WEEKDAY(A63),"周日","周一","周二","周三","周四","周五","周六"))</f>
        <v/>
      </c>
      <c r="C63" s="3" t="n"/>
      <c r="D63" s="3" t="n"/>
      <c r="E63" s="3" t="n"/>
      <c r="F63" s="5" t="n"/>
      <c r="G63" s="3" t="n"/>
      <c r="H63" s="3" t="n"/>
      <c r="I63" s="3" t="n"/>
      <c r="J63" s="4">
        <f>IF(AND(G63&lt;&gt;"已完成",G63&lt;&gt;"",H63&lt;&gt;"",H63&lt;TODAY()),"⚠️延期","")</f>
        <v/>
      </c>
      <c r="K63" s="5" t="n"/>
    </row>
    <row r="64">
      <c r="A64" s="3" t="n"/>
      <c r="B64" s="4">
        <f>IF(A64="","",CHOOSE(WEEKDAY(A64),"周日","周一","周二","周三","周四","周五","周六"))</f>
        <v/>
      </c>
      <c r="C64" s="3" t="n"/>
      <c r="D64" s="3" t="n"/>
      <c r="E64" s="3" t="n"/>
      <c r="F64" s="5" t="n"/>
      <c r="G64" s="3" t="n"/>
      <c r="H64" s="3" t="n"/>
      <c r="I64" s="3" t="n"/>
      <c r="J64" s="4">
        <f>IF(AND(G64&lt;&gt;"已完成",G64&lt;&gt;"",H64&lt;&gt;"",H64&lt;TODAY()),"⚠️延期","")</f>
        <v/>
      </c>
      <c r="K64" s="5" t="n"/>
    </row>
    <row r="65">
      <c r="A65" s="3" t="n"/>
      <c r="B65" s="4">
        <f>IF(A65="","",CHOOSE(WEEKDAY(A65),"周日","周一","周二","周三","周四","周五","周六"))</f>
        <v/>
      </c>
      <c r="C65" s="3" t="n"/>
      <c r="D65" s="3" t="n"/>
      <c r="E65" s="3" t="n"/>
      <c r="F65" s="5" t="n"/>
      <c r="G65" s="3" t="n"/>
      <c r="H65" s="3" t="n"/>
      <c r="I65" s="3" t="n"/>
      <c r="J65" s="4">
        <f>IF(AND(G65&lt;&gt;"已完成",G65&lt;&gt;"",H65&lt;&gt;"",H65&lt;TODAY()),"⚠️延期","")</f>
        <v/>
      </c>
      <c r="K65" s="5" t="n"/>
    </row>
    <row r="66">
      <c r="A66" s="3" t="n"/>
      <c r="B66" s="4">
        <f>IF(A66="","",CHOOSE(WEEKDAY(A66),"周日","周一","周二","周三","周四","周五","周六"))</f>
        <v/>
      </c>
      <c r="C66" s="3" t="n"/>
      <c r="D66" s="3" t="n"/>
      <c r="E66" s="3" t="n"/>
      <c r="F66" s="5" t="n"/>
      <c r="G66" s="3" t="n"/>
      <c r="H66" s="3" t="n"/>
      <c r="I66" s="3" t="n"/>
      <c r="J66" s="4">
        <f>IF(AND(G66&lt;&gt;"已完成",G66&lt;&gt;"",H66&lt;&gt;"",H66&lt;TODAY()),"⚠️延期","")</f>
        <v/>
      </c>
      <c r="K66" s="5" t="n"/>
    </row>
    <row r="67">
      <c r="A67" s="3" t="n"/>
      <c r="B67" s="4">
        <f>IF(A67="","",CHOOSE(WEEKDAY(A67),"周日","周一","周二","周三","周四","周五","周六"))</f>
        <v/>
      </c>
      <c r="C67" s="3" t="n"/>
      <c r="D67" s="3" t="n"/>
      <c r="E67" s="3" t="n"/>
      <c r="F67" s="5" t="n"/>
      <c r="G67" s="3" t="n"/>
      <c r="H67" s="3" t="n"/>
      <c r="I67" s="3" t="n"/>
      <c r="J67" s="4">
        <f>IF(AND(G67&lt;&gt;"已完成",G67&lt;&gt;"",H67&lt;&gt;"",H67&lt;TODAY()),"⚠️延期","")</f>
        <v/>
      </c>
      <c r="K67" s="5" t="n"/>
    </row>
    <row r="68">
      <c r="A68" s="3" t="n"/>
      <c r="B68" s="4">
        <f>IF(A68="","",CHOOSE(WEEKDAY(A68),"周日","周一","周二","周三","周四","周五","周六"))</f>
        <v/>
      </c>
      <c r="C68" s="3" t="n"/>
      <c r="D68" s="3" t="n"/>
      <c r="E68" s="3" t="n"/>
      <c r="F68" s="5" t="n"/>
      <c r="G68" s="3" t="n"/>
      <c r="H68" s="3" t="n"/>
      <c r="I68" s="3" t="n"/>
      <c r="J68" s="4">
        <f>IF(AND(G68&lt;&gt;"已完成",G68&lt;&gt;"",H68&lt;&gt;"",H68&lt;TODAY()),"⚠️延期","")</f>
        <v/>
      </c>
      <c r="K68" s="5" t="n"/>
    </row>
    <row r="69">
      <c r="A69" s="3" t="n"/>
      <c r="B69" s="4">
        <f>IF(A69="","",CHOOSE(WEEKDAY(A69),"周日","周一","周二","周三","周四","周五","周六"))</f>
        <v/>
      </c>
      <c r="C69" s="3" t="n"/>
      <c r="D69" s="3" t="n"/>
      <c r="E69" s="3" t="n"/>
      <c r="F69" s="5" t="n"/>
      <c r="G69" s="3" t="n"/>
      <c r="H69" s="3" t="n"/>
      <c r="I69" s="3" t="n"/>
      <c r="J69" s="4">
        <f>IF(AND(G69&lt;&gt;"已完成",G69&lt;&gt;"",H69&lt;&gt;"",H69&lt;TODAY()),"⚠️延期","")</f>
        <v/>
      </c>
      <c r="K69" s="5" t="n"/>
    </row>
    <row r="70">
      <c r="A70" s="3" t="n"/>
      <c r="B70" s="4">
        <f>IF(A70="","",CHOOSE(WEEKDAY(A70),"周日","周一","周二","周三","周四","周五","周六"))</f>
        <v/>
      </c>
      <c r="C70" s="3" t="n"/>
      <c r="D70" s="3" t="n"/>
      <c r="E70" s="3" t="n"/>
      <c r="F70" s="5" t="n"/>
      <c r="G70" s="3" t="n"/>
      <c r="H70" s="3" t="n"/>
      <c r="I70" s="3" t="n"/>
      <c r="J70" s="4">
        <f>IF(AND(G70&lt;&gt;"已完成",G70&lt;&gt;"",H70&lt;&gt;"",H70&lt;TODAY()),"⚠️延期","")</f>
        <v/>
      </c>
      <c r="K70" s="5" t="n"/>
    </row>
    <row r="71">
      <c r="A71" s="3" t="n"/>
      <c r="B71" s="4">
        <f>IF(A71="","",CHOOSE(WEEKDAY(A71),"周日","周一","周二","周三","周四","周五","周六"))</f>
        <v/>
      </c>
      <c r="C71" s="3" t="n"/>
      <c r="D71" s="3" t="n"/>
      <c r="E71" s="3" t="n"/>
      <c r="F71" s="5" t="n"/>
      <c r="G71" s="3" t="n"/>
      <c r="H71" s="3" t="n"/>
      <c r="I71" s="3" t="n"/>
      <c r="J71" s="4">
        <f>IF(AND(G71&lt;&gt;"已完成",G71&lt;&gt;"",H71&lt;&gt;"",H71&lt;TODAY()),"⚠️延期","")</f>
        <v/>
      </c>
      <c r="K71" s="5" t="n"/>
    </row>
    <row r="72">
      <c r="A72" s="3" t="n"/>
      <c r="B72" s="4">
        <f>IF(A72="","",CHOOSE(WEEKDAY(A72),"周日","周一","周二","周三","周四","周五","周六"))</f>
        <v/>
      </c>
      <c r="C72" s="3" t="n"/>
      <c r="D72" s="3" t="n"/>
      <c r="E72" s="3" t="n"/>
      <c r="F72" s="5" t="n"/>
      <c r="G72" s="3" t="n"/>
      <c r="H72" s="3" t="n"/>
      <c r="I72" s="3" t="n"/>
      <c r="J72" s="4">
        <f>IF(AND(G72&lt;&gt;"已完成",G72&lt;&gt;"",H72&lt;&gt;"",H72&lt;TODAY()),"⚠️延期","")</f>
        <v/>
      </c>
      <c r="K72" s="5" t="n"/>
    </row>
    <row r="73">
      <c r="A73" s="3" t="n"/>
      <c r="B73" s="4">
        <f>IF(A73="","",CHOOSE(WEEKDAY(A73),"周日","周一","周二","周三","周四","周五","周六"))</f>
        <v/>
      </c>
      <c r="C73" s="3" t="n"/>
      <c r="D73" s="3" t="n"/>
      <c r="E73" s="3" t="n"/>
      <c r="F73" s="5" t="n"/>
      <c r="G73" s="3" t="n"/>
      <c r="H73" s="3" t="n"/>
      <c r="I73" s="3" t="n"/>
      <c r="J73" s="4">
        <f>IF(AND(G73&lt;&gt;"已完成",G73&lt;&gt;"",H73&lt;&gt;"",H73&lt;TODAY()),"⚠️延期","")</f>
        <v/>
      </c>
      <c r="K73" s="5" t="n"/>
    </row>
    <row r="74">
      <c r="A74" s="3" t="n"/>
      <c r="B74" s="4">
        <f>IF(A74="","",CHOOSE(WEEKDAY(A74),"周日","周一","周二","周三","周四","周五","周六"))</f>
        <v/>
      </c>
      <c r="C74" s="3" t="n"/>
      <c r="D74" s="3" t="n"/>
      <c r="E74" s="3" t="n"/>
      <c r="F74" s="5" t="n"/>
      <c r="G74" s="3" t="n"/>
      <c r="H74" s="3" t="n"/>
      <c r="I74" s="3" t="n"/>
      <c r="J74" s="4">
        <f>IF(AND(G74&lt;&gt;"已完成",G74&lt;&gt;"",H74&lt;&gt;"",H74&lt;TODAY()),"⚠️延期","")</f>
        <v/>
      </c>
      <c r="K74" s="5" t="n"/>
    </row>
    <row r="75">
      <c r="A75" s="3" t="n"/>
      <c r="B75" s="4">
        <f>IF(A75="","",CHOOSE(WEEKDAY(A75),"周日","周一","周二","周三","周四","周五","周六"))</f>
        <v/>
      </c>
      <c r="C75" s="3" t="n"/>
      <c r="D75" s="3" t="n"/>
      <c r="E75" s="3" t="n"/>
      <c r="F75" s="5" t="n"/>
      <c r="G75" s="3" t="n"/>
      <c r="H75" s="3" t="n"/>
      <c r="I75" s="3" t="n"/>
      <c r="J75" s="4">
        <f>IF(AND(G75&lt;&gt;"已完成",G75&lt;&gt;"",H75&lt;&gt;"",H75&lt;TODAY()),"⚠️延期","")</f>
        <v/>
      </c>
      <c r="K75" s="5" t="n"/>
    </row>
    <row r="76">
      <c r="A76" s="3" t="n"/>
      <c r="B76" s="4">
        <f>IF(A76="","",CHOOSE(WEEKDAY(A76),"周日","周一","周二","周三","周四","周五","周六"))</f>
        <v/>
      </c>
      <c r="C76" s="3" t="n"/>
      <c r="D76" s="3" t="n"/>
      <c r="E76" s="3" t="n"/>
      <c r="F76" s="5" t="n"/>
      <c r="G76" s="3" t="n"/>
      <c r="H76" s="3" t="n"/>
      <c r="I76" s="3" t="n"/>
      <c r="J76" s="4">
        <f>IF(AND(G76&lt;&gt;"已完成",G76&lt;&gt;"",H76&lt;&gt;"",H76&lt;TODAY()),"⚠️延期","")</f>
        <v/>
      </c>
      <c r="K76" s="5" t="n"/>
    </row>
    <row r="77">
      <c r="A77" s="3" t="n"/>
      <c r="B77" s="4">
        <f>IF(A77="","",CHOOSE(WEEKDAY(A77),"周日","周一","周二","周三","周四","周五","周六"))</f>
        <v/>
      </c>
      <c r="C77" s="3" t="n"/>
      <c r="D77" s="3" t="n"/>
      <c r="E77" s="3" t="n"/>
      <c r="F77" s="5" t="n"/>
      <c r="G77" s="3" t="n"/>
      <c r="H77" s="3" t="n"/>
      <c r="I77" s="3" t="n"/>
      <c r="J77" s="4">
        <f>IF(AND(G77&lt;&gt;"已完成",G77&lt;&gt;"",H77&lt;&gt;"",H77&lt;TODAY()),"⚠️延期","")</f>
        <v/>
      </c>
      <c r="K77" s="5" t="n"/>
    </row>
    <row r="78">
      <c r="A78" s="3" t="n"/>
      <c r="B78" s="4">
        <f>IF(A78="","",CHOOSE(WEEKDAY(A78),"周日","周一","周二","周三","周四","周五","周六"))</f>
        <v/>
      </c>
      <c r="C78" s="3" t="n"/>
      <c r="D78" s="3" t="n"/>
      <c r="E78" s="3" t="n"/>
      <c r="F78" s="5" t="n"/>
      <c r="G78" s="3" t="n"/>
      <c r="H78" s="3" t="n"/>
      <c r="I78" s="3" t="n"/>
      <c r="J78" s="4">
        <f>IF(AND(G78&lt;&gt;"已完成",G78&lt;&gt;"",H78&lt;&gt;"",H78&lt;TODAY()),"⚠️延期","")</f>
        <v/>
      </c>
      <c r="K78" s="5" t="n"/>
    </row>
    <row r="79">
      <c r="A79" s="3" t="n"/>
      <c r="B79" s="4">
        <f>IF(A79="","",CHOOSE(WEEKDAY(A79),"周日","周一","周二","周三","周四","周五","周六"))</f>
        <v/>
      </c>
      <c r="C79" s="3" t="n"/>
      <c r="D79" s="3" t="n"/>
      <c r="E79" s="3" t="n"/>
      <c r="F79" s="5" t="n"/>
      <c r="G79" s="3" t="n"/>
      <c r="H79" s="3" t="n"/>
      <c r="I79" s="3" t="n"/>
      <c r="J79" s="4">
        <f>IF(AND(G79&lt;&gt;"已完成",G79&lt;&gt;"",H79&lt;&gt;"",H79&lt;TODAY()),"⚠️延期","")</f>
        <v/>
      </c>
      <c r="K79" s="5" t="n"/>
    </row>
    <row r="80">
      <c r="A80" s="3" t="n"/>
      <c r="B80" s="4">
        <f>IF(A80="","",CHOOSE(WEEKDAY(A80),"周日","周一","周二","周三","周四","周五","周六"))</f>
        <v/>
      </c>
      <c r="C80" s="3" t="n"/>
      <c r="D80" s="3" t="n"/>
      <c r="E80" s="3" t="n"/>
      <c r="F80" s="5" t="n"/>
      <c r="G80" s="3" t="n"/>
      <c r="H80" s="3" t="n"/>
      <c r="I80" s="3" t="n"/>
      <c r="J80" s="4">
        <f>IF(AND(G80&lt;&gt;"已完成",G80&lt;&gt;"",H80&lt;&gt;"",H80&lt;TODAY()),"⚠️延期","")</f>
        <v/>
      </c>
      <c r="K80" s="5" t="n"/>
    </row>
    <row r="81">
      <c r="A81" s="3" t="n"/>
      <c r="B81" s="4">
        <f>IF(A81="","",CHOOSE(WEEKDAY(A81),"周日","周一","周二","周三","周四","周五","周六"))</f>
        <v/>
      </c>
      <c r="C81" s="3" t="n"/>
      <c r="D81" s="3" t="n"/>
      <c r="E81" s="3" t="n"/>
      <c r="F81" s="5" t="n"/>
      <c r="G81" s="3" t="n"/>
      <c r="H81" s="3" t="n"/>
      <c r="I81" s="3" t="n"/>
      <c r="J81" s="4">
        <f>IF(AND(G81&lt;&gt;"已完成",G81&lt;&gt;"",H81&lt;&gt;"",H81&lt;TODAY()),"⚠️延期","")</f>
        <v/>
      </c>
      <c r="K81" s="5" t="n"/>
    </row>
    <row r="82">
      <c r="A82" s="3" t="n"/>
      <c r="B82" s="4">
        <f>IF(A82="","",CHOOSE(WEEKDAY(A82),"周日","周一","周二","周三","周四","周五","周六"))</f>
        <v/>
      </c>
      <c r="C82" s="3" t="n"/>
      <c r="D82" s="3" t="n"/>
      <c r="E82" s="3" t="n"/>
      <c r="F82" s="5" t="n"/>
      <c r="G82" s="3" t="n"/>
      <c r="H82" s="3" t="n"/>
      <c r="I82" s="3" t="n"/>
      <c r="J82" s="4">
        <f>IF(AND(G82&lt;&gt;"已完成",G82&lt;&gt;"",H82&lt;&gt;"",H82&lt;TODAY()),"⚠️延期","")</f>
        <v/>
      </c>
      <c r="K82" s="5" t="n"/>
    </row>
    <row r="83">
      <c r="A83" s="3" t="n"/>
      <c r="B83" s="4">
        <f>IF(A83="","",CHOOSE(WEEKDAY(A83),"周日","周一","周二","周三","周四","周五","周六"))</f>
        <v/>
      </c>
      <c r="C83" s="3" t="n"/>
      <c r="D83" s="3" t="n"/>
      <c r="E83" s="3" t="n"/>
      <c r="F83" s="5" t="n"/>
      <c r="G83" s="3" t="n"/>
      <c r="H83" s="3" t="n"/>
      <c r="I83" s="3" t="n"/>
      <c r="J83" s="4">
        <f>IF(AND(G83&lt;&gt;"已完成",G83&lt;&gt;"",H83&lt;&gt;"",H83&lt;TODAY()),"⚠️延期","")</f>
        <v/>
      </c>
      <c r="K83" s="5" t="n"/>
    </row>
    <row r="84">
      <c r="A84" s="3" t="n"/>
      <c r="B84" s="4">
        <f>IF(A84="","",CHOOSE(WEEKDAY(A84),"周日","周一","周二","周三","周四","周五","周六"))</f>
        <v/>
      </c>
      <c r="C84" s="3" t="n"/>
      <c r="D84" s="3" t="n"/>
      <c r="E84" s="3" t="n"/>
      <c r="F84" s="5" t="n"/>
      <c r="G84" s="3" t="n"/>
      <c r="H84" s="3" t="n"/>
      <c r="I84" s="3" t="n"/>
      <c r="J84" s="4">
        <f>IF(AND(G84&lt;&gt;"已完成",G84&lt;&gt;"",H84&lt;&gt;"",H84&lt;TODAY()),"⚠️延期","")</f>
        <v/>
      </c>
      <c r="K84" s="5" t="n"/>
    </row>
    <row r="85">
      <c r="A85" s="3" t="n"/>
      <c r="B85" s="4">
        <f>IF(A85="","",CHOOSE(WEEKDAY(A85),"周日","周一","周二","周三","周四","周五","周六"))</f>
        <v/>
      </c>
      <c r="C85" s="3" t="n"/>
      <c r="D85" s="3" t="n"/>
      <c r="E85" s="3" t="n"/>
      <c r="F85" s="5" t="n"/>
      <c r="G85" s="3" t="n"/>
      <c r="H85" s="3" t="n"/>
      <c r="I85" s="3" t="n"/>
      <c r="J85" s="4">
        <f>IF(AND(G85&lt;&gt;"已完成",G85&lt;&gt;"",H85&lt;&gt;"",H85&lt;TODAY()),"⚠️延期","")</f>
        <v/>
      </c>
      <c r="K85" s="5" t="n"/>
    </row>
    <row r="86">
      <c r="A86" s="3" t="n"/>
      <c r="B86" s="4">
        <f>IF(A86="","",CHOOSE(WEEKDAY(A86),"周日","周一","周二","周三","周四","周五","周六"))</f>
        <v/>
      </c>
      <c r="C86" s="3" t="n"/>
      <c r="D86" s="3" t="n"/>
      <c r="E86" s="3" t="n"/>
      <c r="F86" s="5" t="n"/>
      <c r="G86" s="3" t="n"/>
      <c r="H86" s="3" t="n"/>
      <c r="I86" s="3" t="n"/>
      <c r="J86" s="4">
        <f>IF(AND(G86&lt;&gt;"已完成",G86&lt;&gt;"",H86&lt;&gt;"",H86&lt;TODAY()),"⚠️延期","")</f>
        <v/>
      </c>
      <c r="K86" s="5" t="n"/>
    </row>
    <row r="87">
      <c r="A87" s="3" t="n"/>
      <c r="B87" s="4">
        <f>IF(A87="","",CHOOSE(WEEKDAY(A87),"周日","周一","周二","周三","周四","周五","周六"))</f>
        <v/>
      </c>
      <c r="C87" s="3" t="n"/>
      <c r="D87" s="3" t="n"/>
      <c r="E87" s="3" t="n"/>
      <c r="F87" s="5" t="n"/>
      <c r="G87" s="3" t="n"/>
      <c r="H87" s="3" t="n"/>
      <c r="I87" s="3" t="n"/>
      <c r="J87" s="4">
        <f>IF(AND(G87&lt;&gt;"已完成",G87&lt;&gt;"",H87&lt;&gt;"",H87&lt;TODAY()),"⚠️延期","")</f>
        <v/>
      </c>
      <c r="K87" s="5" t="n"/>
    </row>
    <row r="88">
      <c r="A88" s="3" t="n"/>
      <c r="B88" s="4">
        <f>IF(A88="","",CHOOSE(WEEKDAY(A88),"周日","周一","周二","周三","周四","周五","周六"))</f>
        <v/>
      </c>
      <c r="C88" s="3" t="n"/>
      <c r="D88" s="3" t="n"/>
      <c r="E88" s="3" t="n"/>
      <c r="F88" s="5" t="n"/>
      <c r="G88" s="3" t="n"/>
      <c r="H88" s="3" t="n"/>
      <c r="I88" s="3" t="n"/>
      <c r="J88" s="4">
        <f>IF(AND(G88&lt;&gt;"已完成",G88&lt;&gt;"",H88&lt;&gt;"",H88&lt;TODAY()),"⚠️延期","")</f>
        <v/>
      </c>
      <c r="K88" s="5" t="n"/>
    </row>
    <row r="89">
      <c r="A89" s="3" t="n"/>
      <c r="B89" s="4">
        <f>IF(A89="","",CHOOSE(WEEKDAY(A89),"周日","周一","周二","周三","周四","周五","周六"))</f>
        <v/>
      </c>
      <c r="C89" s="3" t="n"/>
      <c r="D89" s="3" t="n"/>
      <c r="E89" s="3" t="n"/>
      <c r="F89" s="5" t="n"/>
      <c r="G89" s="3" t="n"/>
      <c r="H89" s="3" t="n"/>
      <c r="I89" s="3" t="n"/>
      <c r="J89" s="4">
        <f>IF(AND(G89&lt;&gt;"已完成",G89&lt;&gt;"",H89&lt;&gt;"",H89&lt;TODAY()),"⚠️延期","")</f>
        <v/>
      </c>
      <c r="K89" s="5" t="n"/>
    </row>
    <row r="90">
      <c r="A90" s="3" t="n"/>
      <c r="B90" s="4">
        <f>IF(A90="","",CHOOSE(WEEKDAY(A90),"周日","周一","周二","周三","周四","周五","周六"))</f>
        <v/>
      </c>
      <c r="C90" s="3" t="n"/>
      <c r="D90" s="3" t="n"/>
      <c r="E90" s="3" t="n"/>
      <c r="F90" s="5" t="n"/>
      <c r="G90" s="3" t="n"/>
      <c r="H90" s="3" t="n"/>
      <c r="I90" s="3" t="n"/>
      <c r="J90" s="4">
        <f>IF(AND(G90&lt;&gt;"已完成",G90&lt;&gt;"",H90&lt;&gt;"",H90&lt;TODAY()),"⚠️延期","")</f>
        <v/>
      </c>
      <c r="K90" s="5" t="n"/>
    </row>
    <row r="91">
      <c r="A91" s="3" t="n"/>
      <c r="B91" s="4">
        <f>IF(A91="","",CHOOSE(WEEKDAY(A91),"周日","周一","周二","周三","周四","周五","周六"))</f>
        <v/>
      </c>
      <c r="C91" s="3" t="n"/>
      <c r="D91" s="3" t="n"/>
      <c r="E91" s="3" t="n"/>
      <c r="F91" s="5" t="n"/>
      <c r="G91" s="3" t="n"/>
      <c r="H91" s="3" t="n"/>
      <c r="I91" s="3" t="n"/>
      <c r="J91" s="4">
        <f>IF(AND(G91&lt;&gt;"已完成",G91&lt;&gt;"",H91&lt;&gt;"",H91&lt;TODAY()),"⚠️延期","")</f>
        <v/>
      </c>
      <c r="K91" s="5" t="n"/>
    </row>
    <row r="92">
      <c r="A92" s="3" t="n"/>
      <c r="B92" s="4">
        <f>IF(A92="","",CHOOSE(WEEKDAY(A92),"周日","周一","周二","周三","周四","周五","周六"))</f>
        <v/>
      </c>
      <c r="C92" s="3" t="n"/>
      <c r="D92" s="3" t="n"/>
      <c r="E92" s="3" t="n"/>
      <c r="F92" s="5" t="n"/>
      <c r="G92" s="3" t="n"/>
      <c r="H92" s="3" t="n"/>
      <c r="I92" s="3" t="n"/>
      <c r="J92" s="4">
        <f>IF(AND(G92&lt;&gt;"已完成",G92&lt;&gt;"",H92&lt;&gt;"",H92&lt;TODAY()),"⚠️延期","")</f>
        <v/>
      </c>
      <c r="K92" s="5" t="n"/>
    </row>
    <row r="93">
      <c r="A93" s="3" t="n"/>
      <c r="B93" s="4">
        <f>IF(A93="","",CHOOSE(WEEKDAY(A93),"周日","周一","周二","周三","周四","周五","周六"))</f>
        <v/>
      </c>
      <c r="C93" s="3" t="n"/>
      <c r="D93" s="3" t="n"/>
      <c r="E93" s="3" t="n"/>
      <c r="F93" s="5" t="n"/>
      <c r="G93" s="3" t="n"/>
      <c r="H93" s="3" t="n"/>
      <c r="I93" s="3" t="n"/>
      <c r="J93" s="4">
        <f>IF(AND(G93&lt;&gt;"已完成",G93&lt;&gt;"",H93&lt;&gt;"",H93&lt;TODAY()),"⚠️延期","")</f>
        <v/>
      </c>
      <c r="K93" s="5" t="n"/>
    </row>
    <row r="94">
      <c r="A94" s="3" t="n"/>
      <c r="B94" s="4">
        <f>IF(A94="","",CHOOSE(WEEKDAY(A94),"周日","周一","周二","周三","周四","周五","周六"))</f>
        <v/>
      </c>
      <c r="C94" s="3" t="n"/>
      <c r="D94" s="3" t="n"/>
      <c r="E94" s="3" t="n"/>
      <c r="F94" s="5" t="n"/>
      <c r="G94" s="3" t="n"/>
      <c r="H94" s="3" t="n"/>
      <c r="I94" s="3" t="n"/>
      <c r="J94" s="4">
        <f>IF(AND(G94&lt;&gt;"已完成",G94&lt;&gt;"",H94&lt;&gt;"",H94&lt;TODAY()),"⚠️延期","")</f>
        <v/>
      </c>
      <c r="K94" s="5" t="n"/>
    </row>
    <row r="95">
      <c r="A95" s="3" t="n"/>
      <c r="B95" s="4">
        <f>IF(A95="","",CHOOSE(WEEKDAY(A95),"周日","周一","周二","周三","周四","周五","周六"))</f>
        <v/>
      </c>
      <c r="C95" s="3" t="n"/>
      <c r="D95" s="3" t="n"/>
      <c r="E95" s="3" t="n"/>
      <c r="F95" s="5" t="n"/>
      <c r="G95" s="3" t="n"/>
      <c r="H95" s="3" t="n"/>
      <c r="I95" s="3" t="n"/>
      <c r="J95" s="4">
        <f>IF(AND(G95&lt;&gt;"已完成",G95&lt;&gt;"",H95&lt;&gt;"",H95&lt;TODAY()),"⚠️延期","")</f>
        <v/>
      </c>
      <c r="K95" s="5" t="n"/>
    </row>
    <row r="96">
      <c r="A96" s="3" t="n"/>
      <c r="B96" s="4">
        <f>IF(A96="","",CHOOSE(WEEKDAY(A96),"周日","周一","周二","周三","周四","周五","周六"))</f>
        <v/>
      </c>
      <c r="C96" s="3" t="n"/>
      <c r="D96" s="3" t="n"/>
      <c r="E96" s="3" t="n"/>
      <c r="F96" s="5" t="n"/>
      <c r="G96" s="3" t="n"/>
      <c r="H96" s="3" t="n"/>
      <c r="I96" s="3" t="n"/>
      <c r="J96" s="4">
        <f>IF(AND(G96&lt;&gt;"已完成",G96&lt;&gt;"",H96&lt;&gt;"",H96&lt;TODAY()),"⚠️延期","")</f>
        <v/>
      </c>
      <c r="K96" s="5" t="n"/>
    </row>
    <row r="97">
      <c r="A97" s="3" t="n"/>
      <c r="B97" s="4">
        <f>IF(A97="","",CHOOSE(WEEKDAY(A97),"周日","周一","周二","周三","周四","周五","周六"))</f>
        <v/>
      </c>
      <c r="C97" s="3" t="n"/>
      <c r="D97" s="3" t="n"/>
      <c r="E97" s="3" t="n"/>
      <c r="F97" s="5" t="n"/>
      <c r="G97" s="3" t="n"/>
      <c r="H97" s="3" t="n"/>
      <c r="I97" s="3" t="n"/>
      <c r="J97" s="4">
        <f>IF(AND(G97&lt;&gt;"已完成",G97&lt;&gt;"",H97&lt;&gt;"",H97&lt;TODAY()),"⚠️延期","")</f>
        <v/>
      </c>
      <c r="K97" s="5" t="n"/>
    </row>
    <row r="98">
      <c r="A98" s="3" t="n"/>
      <c r="B98" s="4">
        <f>IF(A98="","",CHOOSE(WEEKDAY(A98),"周日","周一","周二","周三","周四","周五","周六"))</f>
        <v/>
      </c>
      <c r="C98" s="3" t="n"/>
      <c r="D98" s="3" t="n"/>
      <c r="E98" s="3" t="n"/>
      <c r="F98" s="5" t="n"/>
      <c r="G98" s="3" t="n"/>
      <c r="H98" s="3" t="n"/>
      <c r="I98" s="3" t="n"/>
      <c r="J98" s="4">
        <f>IF(AND(G98&lt;&gt;"已完成",G98&lt;&gt;"",H98&lt;&gt;"",H98&lt;TODAY()),"⚠️延期","")</f>
        <v/>
      </c>
      <c r="K98" s="5" t="n"/>
    </row>
    <row r="99">
      <c r="A99" s="3" t="n"/>
      <c r="B99" s="4">
        <f>IF(A99="","",CHOOSE(WEEKDAY(A99),"周日","周一","周二","周三","周四","周五","周六"))</f>
        <v/>
      </c>
      <c r="C99" s="3" t="n"/>
      <c r="D99" s="3" t="n"/>
      <c r="E99" s="3" t="n"/>
      <c r="F99" s="5" t="n"/>
      <c r="G99" s="3" t="n"/>
      <c r="H99" s="3" t="n"/>
      <c r="I99" s="3" t="n"/>
      <c r="J99" s="4">
        <f>IF(AND(G99&lt;&gt;"已完成",G99&lt;&gt;"",H99&lt;&gt;"",H99&lt;TODAY()),"⚠️延期","")</f>
        <v/>
      </c>
      <c r="K99" s="5" t="n"/>
    </row>
    <row r="100">
      <c r="A100" s="3" t="n"/>
      <c r="B100" s="4">
        <f>IF(A100="","",CHOOSE(WEEKDAY(A100),"周日","周一","周二","周三","周四","周五","周六"))</f>
        <v/>
      </c>
      <c r="C100" s="3" t="n"/>
      <c r="D100" s="3" t="n"/>
      <c r="E100" s="3" t="n"/>
      <c r="F100" s="5" t="n"/>
      <c r="G100" s="3" t="n"/>
      <c r="H100" s="3" t="n"/>
      <c r="I100" s="3" t="n"/>
      <c r="J100" s="4">
        <f>IF(AND(G100&lt;&gt;"已完成",G100&lt;&gt;"",H100&lt;&gt;"",H100&lt;TODAY()),"⚠️延期","")</f>
        <v/>
      </c>
      <c r="K100" s="5" t="n"/>
    </row>
    <row r="101">
      <c r="A101" s="3" t="n"/>
      <c r="B101" s="4">
        <f>IF(A101="","",CHOOSE(WEEKDAY(A101),"周日","周一","周二","周三","周四","周五","周六"))</f>
        <v/>
      </c>
      <c r="C101" s="3" t="n"/>
      <c r="D101" s="3" t="n"/>
      <c r="E101" s="3" t="n"/>
      <c r="F101" s="5" t="n"/>
      <c r="G101" s="3" t="n"/>
      <c r="H101" s="3" t="n"/>
      <c r="I101" s="3" t="n"/>
      <c r="J101" s="4">
        <f>IF(AND(G101&lt;&gt;"已完成",G101&lt;&gt;"",H101&lt;&gt;"",H101&lt;TODAY()),"⚠️延期","")</f>
        <v/>
      </c>
      <c r="K101" s="5" t="n"/>
    </row>
    <row r="102">
      <c r="A102" s="3" t="n"/>
      <c r="B102" s="4">
        <f>IF(A102="","",CHOOSE(WEEKDAY(A102),"周日","周一","周二","周三","周四","周五","周六"))</f>
        <v/>
      </c>
      <c r="C102" s="3" t="n"/>
      <c r="D102" s="3" t="n"/>
      <c r="E102" s="3" t="n"/>
      <c r="F102" s="5" t="n"/>
      <c r="G102" s="3" t="n"/>
      <c r="H102" s="3" t="n"/>
      <c r="I102" s="3" t="n"/>
      <c r="J102" s="4">
        <f>IF(AND(G102&lt;&gt;"已完成",G102&lt;&gt;"",H102&lt;&gt;"",H102&lt;TODAY()),"⚠️延期","")</f>
        <v/>
      </c>
      <c r="K102" s="5" t="n"/>
    </row>
    <row r="103">
      <c r="A103" s="3" t="n"/>
      <c r="B103" s="4">
        <f>IF(A103="","",CHOOSE(WEEKDAY(A103),"周日","周一","周二","周三","周四","周五","周六"))</f>
        <v/>
      </c>
      <c r="C103" s="3" t="n"/>
      <c r="D103" s="3" t="n"/>
      <c r="E103" s="3" t="n"/>
      <c r="F103" s="5" t="n"/>
      <c r="G103" s="3" t="n"/>
      <c r="H103" s="3" t="n"/>
      <c r="I103" s="3" t="n"/>
      <c r="J103" s="4">
        <f>IF(AND(G103&lt;&gt;"已完成",G103&lt;&gt;"",H103&lt;&gt;"",H103&lt;TODAY()),"⚠️延期","")</f>
        <v/>
      </c>
      <c r="K103" s="5" t="n"/>
    </row>
    <row r="104">
      <c r="A104" s="3" t="n"/>
      <c r="B104" s="4">
        <f>IF(A104="","",CHOOSE(WEEKDAY(A104),"周日","周一","周二","周三","周四","周五","周六"))</f>
        <v/>
      </c>
      <c r="C104" s="3" t="n"/>
      <c r="D104" s="3" t="n"/>
      <c r="E104" s="3" t="n"/>
      <c r="F104" s="5" t="n"/>
      <c r="G104" s="3" t="n"/>
      <c r="H104" s="3" t="n"/>
      <c r="I104" s="3" t="n"/>
      <c r="J104" s="4">
        <f>IF(AND(G104&lt;&gt;"已完成",G104&lt;&gt;"",H104&lt;&gt;"",H104&lt;TODAY()),"⚠️延期","")</f>
        <v/>
      </c>
      <c r="K104" s="5" t="n"/>
    </row>
    <row r="105">
      <c r="A105" s="3" t="n"/>
      <c r="B105" s="4">
        <f>IF(A105="","",CHOOSE(WEEKDAY(A105),"周日","周一","周二","周三","周四","周五","周六"))</f>
        <v/>
      </c>
      <c r="C105" s="3" t="n"/>
      <c r="D105" s="3" t="n"/>
      <c r="E105" s="3" t="n"/>
      <c r="F105" s="5" t="n"/>
      <c r="G105" s="3" t="n"/>
      <c r="H105" s="3" t="n"/>
      <c r="I105" s="3" t="n"/>
      <c r="J105" s="4">
        <f>IF(AND(G105&lt;&gt;"已完成",G105&lt;&gt;"",H105&lt;&gt;"",H105&lt;TODAY()),"⚠️延期","")</f>
        <v/>
      </c>
      <c r="K105" s="5" t="n"/>
    </row>
    <row r="106">
      <c r="A106" s="3" t="n"/>
      <c r="B106" s="4">
        <f>IF(A106="","",CHOOSE(WEEKDAY(A106),"周日","周一","周二","周三","周四","周五","周六"))</f>
        <v/>
      </c>
      <c r="C106" s="3" t="n"/>
      <c r="D106" s="3" t="n"/>
      <c r="E106" s="3" t="n"/>
      <c r="F106" s="5" t="n"/>
      <c r="G106" s="3" t="n"/>
      <c r="H106" s="3" t="n"/>
      <c r="I106" s="3" t="n"/>
      <c r="J106" s="4">
        <f>IF(AND(G106&lt;&gt;"已完成",G106&lt;&gt;"",H106&lt;&gt;"",H106&lt;TODAY()),"⚠️延期","")</f>
        <v/>
      </c>
      <c r="K106" s="5" t="n"/>
    </row>
    <row r="107">
      <c r="A107" s="3" t="n"/>
      <c r="B107" s="4">
        <f>IF(A107="","",CHOOSE(WEEKDAY(A107),"周日","周一","周二","周三","周四","周五","周六"))</f>
        <v/>
      </c>
      <c r="C107" s="3" t="n"/>
      <c r="D107" s="3" t="n"/>
      <c r="E107" s="3" t="n"/>
      <c r="F107" s="5" t="n"/>
      <c r="G107" s="3" t="n"/>
      <c r="H107" s="3" t="n"/>
      <c r="I107" s="3" t="n"/>
      <c r="J107" s="4">
        <f>IF(AND(G107&lt;&gt;"已完成",G107&lt;&gt;"",H107&lt;&gt;"",H107&lt;TODAY()),"⚠️延期","")</f>
        <v/>
      </c>
      <c r="K107" s="5" t="n"/>
    </row>
    <row r="108">
      <c r="A108" s="3" t="n"/>
      <c r="B108" s="4">
        <f>IF(A108="","",CHOOSE(WEEKDAY(A108),"周日","周一","周二","周三","周四","周五","周六"))</f>
        <v/>
      </c>
      <c r="C108" s="3" t="n"/>
      <c r="D108" s="3" t="n"/>
      <c r="E108" s="3" t="n"/>
      <c r="F108" s="5" t="n"/>
      <c r="G108" s="3" t="n"/>
      <c r="H108" s="3" t="n"/>
      <c r="I108" s="3" t="n"/>
      <c r="J108" s="4">
        <f>IF(AND(G108&lt;&gt;"已完成",G108&lt;&gt;"",H108&lt;&gt;"",H108&lt;TODAY()),"⚠️延期","")</f>
        <v/>
      </c>
      <c r="K108" s="5" t="n"/>
    </row>
    <row r="109">
      <c r="A109" s="3" t="n"/>
      <c r="B109" s="4">
        <f>IF(A109="","",CHOOSE(WEEKDAY(A109),"周日","周一","周二","周三","周四","周五","周六"))</f>
        <v/>
      </c>
      <c r="C109" s="3" t="n"/>
      <c r="D109" s="3" t="n"/>
      <c r="E109" s="3" t="n"/>
      <c r="F109" s="5" t="n"/>
      <c r="G109" s="3" t="n"/>
      <c r="H109" s="3" t="n"/>
      <c r="I109" s="3" t="n"/>
      <c r="J109" s="4">
        <f>IF(AND(G109&lt;&gt;"已完成",G109&lt;&gt;"",H109&lt;&gt;"",H109&lt;TODAY()),"⚠️延期","")</f>
        <v/>
      </c>
      <c r="K109" s="5" t="n"/>
    </row>
    <row r="110">
      <c r="A110" s="3" t="n"/>
      <c r="B110" s="4">
        <f>IF(A110="","",CHOOSE(WEEKDAY(A110),"周日","周一","周二","周三","周四","周五","周六"))</f>
        <v/>
      </c>
      <c r="C110" s="3" t="n"/>
      <c r="D110" s="3" t="n"/>
      <c r="E110" s="3" t="n"/>
      <c r="F110" s="5" t="n"/>
      <c r="G110" s="3" t="n"/>
      <c r="H110" s="3" t="n"/>
      <c r="I110" s="3" t="n"/>
      <c r="J110" s="4">
        <f>IF(AND(G110&lt;&gt;"已完成",G110&lt;&gt;"",H110&lt;&gt;"",H110&lt;TODAY()),"⚠️延期","")</f>
        <v/>
      </c>
      <c r="K110" s="5" t="n"/>
    </row>
    <row r="111">
      <c r="A111" s="3" t="n"/>
      <c r="B111" s="4">
        <f>IF(A111="","",CHOOSE(WEEKDAY(A111),"周日","周一","周二","周三","周四","周五","周六"))</f>
        <v/>
      </c>
      <c r="C111" s="3" t="n"/>
      <c r="D111" s="3" t="n"/>
      <c r="E111" s="3" t="n"/>
      <c r="F111" s="5" t="n"/>
      <c r="G111" s="3" t="n"/>
      <c r="H111" s="3" t="n"/>
      <c r="I111" s="3" t="n"/>
      <c r="J111" s="4">
        <f>IF(AND(G111&lt;&gt;"已完成",G111&lt;&gt;"",H111&lt;&gt;"",H111&lt;TODAY()),"⚠️延期","")</f>
        <v/>
      </c>
      <c r="K111" s="5" t="n"/>
    </row>
    <row r="112">
      <c r="A112" s="3" t="n"/>
      <c r="B112" s="4">
        <f>IF(A112="","",CHOOSE(WEEKDAY(A112),"周日","周一","周二","周三","周四","周五","周六"))</f>
        <v/>
      </c>
      <c r="C112" s="3" t="n"/>
      <c r="D112" s="3" t="n"/>
      <c r="E112" s="3" t="n"/>
      <c r="F112" s="5" t="n"/>
      <c r="G112" s="3" t="n"/>
      <c r="H112" s="3" t="n"/>
      <c r="I112" s="3" t="n"/>
      <c r="J112" s="4">
        <f>IF(AND(G112&lt;&gt;"已完成",G112&lt;&gt;"",H112&lt;&gt;"",H112&lt;TODAY()),"⚠️延期","")</f>
        <v/>
      </c>
      <c r="K112" s="5" t="n"/>
    </row>
    <row r="113">
      <c r="A113" s="3" t="n"/>
      <c r="B113" s="4">
        <f>IF(A113="","",CHOOSE(WEEKDAY(A113),"周日","周一","周二","周三","周四","周五","周六"))</f>
        <v/>
      </c>
      <c r="C113" s="3" t="n"/>
      <c r="D113" s="3" t="n"/>
      <c r="E113" s="3" t="n"/>
      <c r="F113" s="5" t="n"/>
      <c r="G113" s="3" t="n"/>
      <c r="H113" s="3" t="n"/>
      <c r="I113" s="3" t="n"/>
      <c r="J113" s="4">
        <f>IF(AND(G113&lt;&gt;"已完成",G113&lt;&gt;"",H113&lt;&gt;"",H113&lt;TODAY()),"⚠️延期","")</f>
        <v/>
      </c>
      <c r="K113" s="5" t="n"/>
    </row>
    <row r="114">
      <c r="A114" s="3" t="n"/>
      <c r="B114" s="4">
        <f>IF(A114="","",CHOOSE(WEEKDAY(A114),"周日","周一","周二","周三","周四","周五","周六"))</f>
        <v/>
      </c>
      <c r="C114" s="3" t="n"/>
      <c r="D114" s="3" t="n"/>
      <c r="E114" s="3" t="n"/>
      <c r="F114" s="5" t="n"/>
      <c r="G114" s="3" t="n"/>
      <c r="H114" s="3" t="n"/>
      <c r="I114" s="3" t="n"/>
      <c r="J114" s="4">
        <f>IF(AND(G114&lt;&gt;"已完成",G114&lt;&gt;"",H114&lt;&gt;"",H114&lt;TODAY()),"⚠️延期","")</f>
        <v/>
      </c>
      <c r="K114" s="5" t="n"/>
    </row>
    <row r="115">
      <c r="A115" s="3" t="n"/>
      <c r="B115" s="4">
        <f>IF(A115="","",CHOOSE(WEEKDAY(A115),"周日","周一","周二","周三","周四","周五","周六"))</f>
        <v/>
      </c>
      <c r="C115" s="3" t="n"/>
      <c r="D115" s="3" t="n"/>
      <c r="E115" s="3" t="n"/>
      <c r="F115" s="5" t="n"/>
      <c r="G115" s="3" t="n"/>
      <c r="H115" s="3" t="n"/>
      <c r="I115" s="3" t="n"/>
      <c r="J115" s="4">
        <f>IF(AND(G115&lt;&gt;"已完成",G115&lt;&gt;"",H115&lt;&gt;"",H115&lt;TODAY()),"⚠️延期","")</f>
        <v/>
      </c>
      <c r="K115" s="5" t="n"/>
    </row>
    <row r="116">
      <c r="A116" s="3" t="n"/>
      <c r="B116" s="4">
        <f>IF(A116="","",CHOOSE(WEEKDAY(A116),"周日","周一","周二","周三","周四","周五","周六"))</f>
        <v/>
      </c>
      <c r="C116" s="3" t="n"/>
      <c r="D116" s="3" t="n"/>
      <c r="E116" s="3" t="n"/>
      <c r="F116" s="5" t="n"/>
      <c r="G116" s="3" t="n"/>
      <c r="H116" s="3" t="n"/>
      <c r="I116" s="3" t="n"/>
      <c r="J116" s="4">
        <f>IF(AND(G116&lt;&gt;"已完成",G116&lt;&gt;"",H116&lt;&gt;"",H116&lt;TODAY()),"⚠️延期","")</f>
        <v/>
      </c>
      <c r="K116" s="5" t="n"/>
    </row>
    <row r="117">
      <c r="A117" s="3" t="n"/>
      <c r="B117" s="4">
        <f>IF(A117="","",CHOOSE(WEEKDAY(A117),"周日","周一","周二","周三","周四","周五","周六"))</f>
        <v/>
      </c>
      <c r="C117" s="3" t="n"/>
      <c r="D117" s="3" t="n"/>
      <c r="E117" s="3" t="n"/>
      <c r="F117" s="5" t="n"/>
      <c r="G117" s="3" t="n"/>
      <c r="H117" s="3" t="n"/>
      <c r="I117" s="3" t="n"/>
      <c r="J117" s="4">
        <f>IF(AND(G117&lt;&gt;"已完成",G117&lt;&gt;"",H117&lt;&gt;"",H117&lt;TODAY()),"⚠️延期","")</f>
        <v/>
      </c>
      <c r="K117" s="5" t="n"/>
    </row>
    <row r="118">
      <c r="A118" s="3" t="n"/>
      <c r="B118" s="4">
        <f>IF(A118="","",CHOOSE(WEEKDAY(A118),"周日","周一","周二","周三","周四","周五","周六"))</f>
        <v/>
      </c>
      <c r="C118" s="3" t="n"/>
      <c r="D118" s="3" t="n"/>
      <c r="E118" s="3" t="n"/>
      <c r="F118" s="5" t="n"/>
      <c r="G118" s="3" t="n"/>
      <c r="H118" s="3" t="n"/>
      <c r="I118" s="3" t="n"/>
      <c r="J118" s="4">
        <f>IF(AND(G118&lt;&gt;"已完成",G118&lt;&gt;"",H118&lt;&gt;"",H118&lt;TODAY()),"⚠️延期","")</f>
        <v/>
      </c>
      <c r="K118" s="5" t="n"/>
    </row>
    <row r="119">
      <c r="A119" s="3" t="n"/>
      <c r="B119" s="4">
        <f>IF(A119="","",CHOOSE(WEEKDAY(A119),"周日","周一","周二","周三","周四","周五","周六"))</f>
        <v/>
      </c>
      <c r="C119" s="3" t="n"/>
      <c r="D119" s="3" t="n"/>
      <c r="E119" s="3" t="n"/>
      <c r="F119" s="5" t="n"/>
      <c r="G119" s="3" t="n"/>
      <c r="H119" s="3" t="n"/>
      <c r="I119" s="3" t="n"/>
      <c r="J119" s="4">
        <f>IF(AND(G119&lt;&gt;"已完成",G119&lt;&gt;"",H119&lt;&gt;"",H119&lt;TODAY()),"⚠️延期","")</f>
        <v/>
      </c>
      <c r="K119" s="5" t="n"/>
    </row>
    <row r="120">
      <c r="A120" s="3" t="n"/>
      <c r="B120" s="4">
        <f>IF(A120="","",CHOOSE(WEEKDAY(A120),"周日","周一","周二","周三","周四","周五","周六"))</f>
        <v/>
      </c>
      <c r="C120" s="3" t="n"/>
      <c r="D120" s="3" t="n"/>
      <c r="E120" s="3" t="n"/>
      <c r="F120" s="5" t="n"/>
      <c r="G120" s="3" t="n"/>
      <c r="H120" s="3" t="n"/>
      <c r="I120" s="3" t="n"/>
      <c r="J120" s="4">
        <f>IF(AND(G120&lt;&gt;"已完成",G120&lt;&gt;"",H120&lt;&gt;"",H120&lt;TODAY()),"⚠️延期","")</f>
        <v/>
      </c>
      <c r="K120" s="5" t="n"/>
    </row>
    <row r="121">
      <c r="A121" s="3" t="n"/>
      <c r="B121" s="4">
        <f>IF(A121="","",CHOOSE(WEEKDAY(A121),"周日","周一","周二","周三","周四","周五","周六"))</f>
        <v/>
      </c>
      <c r="C121" s="3" t="n"/>
      <c r="D121" s="3" t="n"/>
      <c r="E121" s="3" t="n"/>
      <c r="F121" s="5" t="n"/>
      <c r="G121" s="3" t="n"/>
      <c r="H121" s="3" t="n"/>
      <c r="I121" s="3" t="n"/>
      <c r="J121" s="4">
        <f>IF(AND(G121&lt;&gt;"已完成",G121&lt;&gt;"",H121&lt;&gt;"",H121&lt;TODAY()),"⚠️延期","")</f>
        <v/>
      </c>
      <c r="K121" s="5" t="n"/>
    </row>
    <row r="122">
      <c r="A122" s="3" t="n"/>
      <c r="B122" s="4">
        <f>IF(A122="","",CHOOSE(WEEKDAY(A122),"周日","周一","周二","周三","周四","周五","周六"))</f>
        <v/>
      </c>
      <c r="C122" s="3" t="n"/>
      <c r="D122" s="3" t="n"/>
      <c r="E122" s="3" t="n"/>
      <c r="F122" s="5" t="n"/>
      <c r="G122" s="3" t="n"/>
      <c r="H122" s="3" t="n"/>
      <c r="I122" s="3" t="n"/>
      <c r="J122" s="4">
        <f>IF(AND(G122&lt;&gt;"已完成",G122&lt;&gt;"",H122&lt;&gt;"",H122&lt;TODAY()),"⚠️延期","")</f>
        <v/>
      </c>
      <c r="K122" s="5" t="n"/>
    </row>
  </sheetData>
  <mergeCells count="1">
    <mergeCell ref="A1:K1"/>
  </mergeCells>
  <conditionalFormatting sqref="G3:G122">
    <cfRule type="cellIs" priority="1" operator="equal" dxfId="0">
      <formula>"未开始"</formula>
    </cfRule>
    <cfRule type="cellIs" priority="2" operator="equal" dxfId="1">
      <formula>"进行中"</formula>
    </cfRule>
    <cfRule type="cellIs" priority="3" operator="equal" dxfId="2">
      <formula>"已完成"</formula>
    </cfRule>
    <cfRule type="cellIs" priority="4" operator="equal" dxfId="3">
      <formula>"已延期"</formula>
    </cfRule>
    <cfRule type="cellIs" priority="5" operator="equal" dxfId="4">
      <formula>"搁置"</formula>
    </cfRule>
  </conditionalFormatting>
  <conditionalFormatting sqref="A3:K122">
    <cfRule type="expression" priority="6" dxfId="5">
      <formula>$J3="⚠️延期"</formula>
    </cfRule>
  </conditionalFormatting>
  <dataValidations count="4">
    <dataValidation sqref="C3:C122" showDropDown="0" showInputMessage="0" showErrorMessage="0" allowBlank="1" type="list">
      <formula1>=选项!$A$2:$A$5</formula1>
    </dataValidation>
    <dataValidation sqref="D3:D122" showDropDown="0" showInputMessage="0" showErrorMessage="0" allowBlank="1" type="list">
      <formula1>=选项!$B$2:$B$8</formula1>
    </dataValidation>
    <dataValidation sqref="E3:E122" showDropDown="0" showInputMessage="0" showErrorMessage="0" allowBlank="1" type="list">
      <formula1>=选项!$C$2:$C$6</formula1>
    </dataValidation>
    <dataValidation sqref="G3:G122" showDropDown="0" showInputMessage="0" showErrorMessage="0" allowBlank="1" type="list">
      <formula1>=选项!$D$2:$D$6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10" customWidth="1" min="5" max="5"/>
    <col width="12" customWidth="1" min="6" max="6"/>
  </cols>
  <sheetData>
    <row r="1">
      <c r="A1" s="6" t="inlineStr">
        <is>
          <t>Sakura · 工作进度看板（自动汇总）</t>
        </is>
      </c>
    </row>
    <row r="2">
      <c r="A2" s="7" t="inlineStr">
        <is>
          <t>任务清单填完自动更新；如未刷新按 F9 / 重开。今天：</t>
        </is>
      </c>
      <c r="E2" s="8">
        <f>TODAY()</f>
        <v/>
      </c>
    </row>
    <row r="4">
      <c r="A4" s="9" t="inlineStr">
        <is>
          <t>总任务数</t>
        </is>
      </c>
      <c r="B4" s="10">
        <f>COUNTA(任务清单!$F$3:$F$122)</f>
        <v/>
      </c>
    </row>
    <row r="5">
      <c r="A5" s="11" t="inlineStr">
        <is>
          <t>已完成</t>
        </is>
      </c>
      <c r="B5" s="10">
        <f>COUNTIF(任务清单!$G$3:$G$122,"已完成")</f>
        <v/>
      </c>
    </row>
    <row r="6">
      <c r="A6" s="11" t="inlineStr">
        <is>
          <t>进行中</t>
        </is>
      </c>
      <c r="B6" s="10">
        <f>COUNTIF(任务清单!$G$3:$G$122,"进行中")</f>
        <v/>
      </c>
    </row>
    <row r="7">
      <c r="A7" s="11" t="inlineStr">
        <is>
          <t>未开始</t>
        </is>
      </c>
      <c r="B7" s="10">
        <f>COUNTIF(任务清单!$G$3:$G$122,"未开始")</f>
        <v/>
      </c>
    </row>
    <row r="8">
      <c r="A8" s="11" t="inlineStr">
        <is>
          <t>已延期</t>
        </is>
      </c>
      <c r="B8" s="10">
        <f>COUNTIF(任务清单!$G$3:$G$122,"已延期")+COUNTIF(任务清单!$J$3:$J$122,"⚠️延期")</f>
        <v/>
      </c>
    </row>
    <row r="9">
      <c r="A9" s="11" t="inlineStr">
        <is>
          <t>搁置</t>
        </is>
      </c>
      <c r="B9" s="10">
        <f>COUNTIF(任务清单!$G$3:$G$122,"搁置")</f>
        <v/>
      </c>
    </row>
    <row r="10">
      <c r="A10" s="11" t="n"/>
      <c r="B10" s="10" t="n"/>
    </row>
    <row r="11">
      <c r="A11" s="9" t="inlineStr">
        <is>
          <t>总体完成率</t>
        </is>
      </c>
      <c r="B11" s="12">
        <f>IFERROR(B5/B4,0)</f>
        <v/>
      </c>
    </row>
    <row r="14">
      <c r="A14" s="13" t="inlineStr">
        <is>
          <t>按负责人 · 完成情况</t>
        </is>
      </c>
    </row>
    <row r="15">
      <c r="A15" s="14" t="inlineStr">
        <is>
          <t>负责人</t>
        </is>
      </c>
      <c r="B15" s="14" t="inlineStr">
        <is>
          <t>总数</t>
        </is>
      </c>
      <c r="C15" s="14" t="inlineStr">
        <is>
          <t>已完成</t>
        </is>
      </c>
      <c r="D15" s="14" t="inlineStr">
        <is>
          <t>进行中</t>
        </is>
      </c>
      <c r="E15" s="14" t="inlineStr">
        <is>
          <t>未完成</t>
        </is>
      </c>
      <c r="F15" s="14" t="inlineStr">
        <is>
          <t>完成率</t>
        </is>
      </c>
    </row>
    <row r="16">
      <c r="A16" s="15" t="inlineStr">
        <is>
          <t>小裴(财务)</t>
        </is>
      </c>
      <c r="B16" s="10">
        <f>COUNTIF(任务清单!$D$3:$D$122,"小裴(财务)")</f>
        <v/>
      </c>
      <c r="C16" s="10">
        <f>COUNTIFS(任务清单!$D$3:$D$122,"小裴(财务)",任务清单!$G$3:$G$122,"已完成")</f>
        <v/>
      </c>
      <c r="D16" s="10">
        <f>COUNTIFS(任务清单!$D$3:$D$122,"小裴(财务)",任务清单!$G$3:$G$122,"进行中")</f>
        <v/>
      </c>
      <c r="E16" s="10">
        <f>B16-C16</f>
        <v/>
      </c>
      <c r="F16" s="16">
        <f>IFERROR(C16/B16,"")</f>
        <v/>
      </c>
    </row>
    <row r="17">
      <c r="A17" s="15" t="inlineStr">
        <is>
          <t>咩咩(贸易)</t>
        </is>
      </c>
      <c r="B17" s="10">
        <f>COUNTIF(任务清单!$D$3:$D$122,"咩咩(贸易)")</f>
        <v/>
      </c>
      <c r="C17" s="10">
        <f>COUNTIFS(任务清单!$D$3:$D$122,"咩咩(贸易)",任务清单!$G$3:$G$122,"已完成")</f>
        <v/>
      </c>
      <c r="D17" s="10">
        <f>COUNTIFS(任务清单!$D$3:$D$122,"咩咩(贸易)",任务清单!$G$3:$G$122,"进行中")</f>
        <v/>
      </c>
      <c r="E17" s="10">
        <f>B17-C17</f>
        <v/>
      </c>
      <c r="F17" s="16">
        <f>IFERROR(C17/B17,"")</f>
        <v/>
      </c>
    </row>
    <row r="18">
      <c r="A18" s="15" t="inlineStr">
        <is>
          <t>张姐(供应链)</t>
        </is>
      </c>
      <c r="B18" s="10">
        <f>COUNTIF(任务清单!$D$3:$D$122,"张姐(供应链)")</f>
        <v/>
      </c>
      <c r="C18" s="10">
        <f>COUNTIFS(任务清单!$D$3:$D$122,"张姐(供应链)",任务清单!$G$3:$G$122,"已完成")</f>
        <v/>
      </c>
      <c r="D18" s="10">
        <f>COUNTIFS(任务清单!$D$3:$D$122,"张姐(供应链)",任务清单!$G$3:$G$122,"进行中")</f>
        <v/>
      </c>
      <c r="E18" s="10">
        <f>B18-C18</f>
        <v/>
      </c>
      <c r="F18" s="16">
        <f>IFERROR(C18/B18,"")</f>
        <v/>
      </c>
    </row>
    <row r="19">
      <c r="A19" s="15" t="inlineStr">
        <is>
          <t>毛毛(小红书)</t>
        </is>
      </c>
      <c r="B19" s="10">
        <f>COUNTIF(任务清单!$D$3:$D$122,"毛毛(小红书)")</f>
        <v/>
      </c>
      <c r="C19" s="10">
        <f>COUNTIFS(任务清单!$D$3:$D$122,"毛毛(小红书)",任务清单!$G$3:$G$122,"已完成")</f>
        <v/>
      </c>
      <c r="D19" s="10">
        <f>COUNTIFS(任务清单!$D$3:$D$122,"毛毛(小红书)",任务清单!$G$3:$G$122,"进行中")</f>
        <v/>
      </c>
      <c r="E19" s="10">
        <f>B19-C19</f>
        <v/>
      </c>
      <c r="F19" s="16">
        <f>IFERROR(C19/B19,"")</f>
        <v/>
      </c>
    </row>
    <row r="20">
      <c r="A20" s="15" t="inlineStr">
        <is>
          <t>Alice(小红书)</t>
        </is>
      </c>
      <c r="B20" s="10">
        <f>COUNTIF(任务清单!$D$3:$D$122,"Alice(小红书)")</f>
        <v/>
      </c>
      <c r="C20" s="10">
        <f>COUNTIFS(任务清单!$D$3:$D$122,"Alice(小红书)",任务清单!$G$3:$G$122,"已完成")</f>
        <v/>
      </c>
      <c r="D20" s="10">
        <f>COUNTIFS(任务清单!$D$3:$D$122,"Alice(小红书)",任务清单!$G$3:$G$122,"进行中")</f>
        <v/>
      </c>
      <c r="E20" s="10">
        <f>B20-C20</f>
        <v/>
      </c>
      <c r="F20" s="16">
        <f>IFERROR(C20/B20,"")</f>
        <v/>
      </c>
    </row>
    <row r="21">
      <c r="A21" s="15" t="inlineStr">
        <is>
          <t>柚子(小红书)</t>
        </is>
      </c>
      <c r="B21" s="10">
        <f>COUNTIF(任务清单!$D$3:$D$122,"柚子(小红书)")</f>
        <v/>
      </c>
      <c r="C21" s="10">
        <f>COUNTIFS(任务清单!$D$3:$D$122,"柚子(小红书)",任务清单!$G$3:$G$122,"已完成")</f>
        <v/>
      </c>
      <c r="D21" s="10">
        <f>COUNTIFS(任务清单!$D$3:$D$122,"柚子(小红书)",任务清单!$G$3:$G$122,"进行中")</f>
        <v/>
      </c>
      <c r="E21" s="10">
        <f>B21-C21</f>
        <v/>
      </c>
      <c r="F21" s="16">
        <f>IFERROR(C21/B21,"")</f>
        <v/>
      </c>
    </row>
    <row r="22">
      <c r="A22" s="15" t="inlineStr">
        <is>
          <t>其他</t>
        </is>
      </c>
      <c r="B22" s="10">
        <f>COUNTIF(任务清单!$D$3:$D$122,"其他")</f>
        <v/>
      </c>
      <c r="C22" s="10">
        <f>COUNTIFS(任务清单!$D$3:$D$122,"其他",任务清单!$G$3:$G$122,"已完成")</f>
        <v/>
      </c>
      <c r="D22" s="10">
        <f>COUNTIFS(任务清单!$D$3:$D$122,"其他",任务清单!$G$3:$G$122,"进行中")</f>
        <v/>
      </c>
      <c r="E22" s="10">
        <f>B22-C22</f>
        <v/>
      </c>
      <c r="F22" s="16">
        <f>IFERROR(C22/B22,"")</f>
        <v/>
      </c>
    </row>
    <row r="24">
      <c r="A24" s="13" t="inlineStr">
        <is>
          <t>按部门 · 完成情况</t>
        </is>
      </c>
    </row>
    <row r="25">
      <c r="A25" s="14" t="inlineStr">
        <is>
          <t>负责人</t>
        </is>
      </c>
      <c r="B25" s="14" t="inlineStr">
        <is>
          <t>总数</t>
        </is>
      </c>
      <c r="C25" s="14" t="inlineStr">
        <is>
          <t>已完成</t>
        </is>
      </c>
      <c r="D25" s="14" t="inlineStr">
        <is>
          <t>进行中</t>
        </is>
      </c>
      <c r="E25" s="14" t="inlineStr">
        <is>
          <t>未完成</t>
        </is>
      </c>
      <c r="F25" s="14" t="inlineStr">
        <is>
          <t>完成率</t>
        </is>
      </c>
    </row>
    <row r="26">
      <c r="A26" s="15" t="inlineStr">
        <is>
          <t>日本</t>
        </is>
      </c>
      <c r="B26" s="10">
        <f>COUNTIF(任务清单!$C$3:$C$122,"日本")</f>
        <v/>
      </c>
      <c r="C26" s="10">
        <f>COUNTIFS(任务清单!$C$3:$C$122,"日本",任务清单!$G$3:$G$122,"已完成")</f>
        <v/>
      </c>
      <c r="D26" s="10">
        <f>COUNTIFS(任务清单!$C$3:$C$122,"日本",任务清单!$G$3:$G$122,"进行中")</f>
        <v/>
      </c>
      <c r="E26" s="10">
        <f>B26-C26</f>
        <v/>
      </c>
      <c r="F26" s="16">
        <f>IFERROR(C26/B26,"")</f>
        <v/>
      </c>
    </row>
    <row r="27">
      <c r="A27" s="15" t="inlineStr">
        <is>
          <t>樱拓</t>
        </is>
      </c>
      <c r="B27" s="10">
        <f>COUNTIF(任务清单!$C$3:$C$122,"樱拓")</f>
        <v/>
      </c>
      <c r="C27" s="10">
        <f>COUNTIFS(任务清单!$C$3:$C$122,"樱拓",任务清单!$G$3:$G$122,"已完成")</f>
        <v/>
      </c>
      <c r="D27" s="10">
        <f>COUNTIFS(任务清单!$C$3:$C$122,"樱拓",任务清单!$G$3:$G$122,"进行中")</f>
        <v/>
      </c>
      <c r="E27" s="10">
        <f>B27-C27</f>
        <v/>
      </c>
      <c r="F27" s="16">
        <f>IFERROR(C27/B27,"")</f>
        <v/>
      </c>
    </row>
    <row r="28">
      <c r="A28" s="15" t="inlineStr">
        <is>
          <t>樱启</t>
        </is>
      </c>
      <c r="B28" s="10">
        <f>COUNTIF(任务清单!$C$3:$C$122,"樱启")</f>
        <v/>
      </c>
      <c r="C28" s="10">
        <f>COUNTIFS(任务清单!$C$3:$C$122,"樱启",任务清单!$G$3:$G$122,"已完成")</f>
        <v/>
      </c>
      <c r="D28" s="10">
        <f>COUNTIFS(任务清单!$C$3:$C$122,"樱启",任务清单!$G$3:$G$122,"进行中")</f>
        <v/>
      </c>
      <c r="E28" s="10">
        <f>B28-C28</f>
        <v/>
      </c>
      <c r="F28" s="16">
        <f>IFERROR(C28/B28,"")</f>
        <v/>
      </c>
    </row>
    <row r="29">
      <c r="A29" s="15" t="inlineStr">
        <is>
          <t>其他</t>
        </is>
      </c>
      <c r="B29" s="10">
        <f>COUNTIF(任务清单!$C$3:$C$122,"其他")</f>
        <v/>
      </c>
      <c r="C29" s="10">
        <f>COUNTIFS(任务清单!$C$3:$C$122,"其他",任务清单!$G$3:$G$122,"已完成")</f>
        <v/>
      </c>
      <c r="D29" s="10">
        <f>COUNTIFS(任务清单!$C$3:$C$122,"其他",任务清单!$G$3:$G$122,"进行中")</f>
        <v/>
      </c>
      <c r="E29" s="10">
        <f>B29-C29</f>
        <v/>
      </c>
      <c r="F29" s="16">
        <f>IFERROR(C29/B29,"")</f>
        <v/>
      </c>
    </row>
    <row r="31">
      <c r="A31" s="17" t="inlineStr">
        <is>
          <t>⚠️ 延期预警（数量）</t>
        </is>
      </c>
    </row>
    <row r="32">
      <c r="A32" s="18" t="inlineStr">
        <is>
          <t>当前延期任务数</t>
        </is>
      </c>
      <c r="B32" s="19">
        <f>COUNTIF(任务清单!$J$3:$J$122,"⚠️延期")+COUNTIF(任务清单!$G$3:$G$122,"已延期")</f>
        <v/>
      </c>
    </row>
    <row r="33">
      <c r="A33" s="7" t="inlineStr">
        <is>
          <t>→ 在「任务清单」按『是否延期』筛选 ⚠️延期 查看明细。</t>
        </is>
      </c>
    </row>
  </sheetData>
  <conditionalFormatting sqref="B11">
    <cfRule type="dataBar" priority="1">
      <dataBar showValue="1">
        <cfvo type="num" val="0"/>
        <cfvo type="num" val="1"/>
        <color rgb="0063BE7B"/>
      </dataBar>
    </cfRule>
  </conditionalFormatting>
  <conditionalFormatting sqref="B5:B9">
    <cfRule type="dataBar" priority="2">
      <dataBar showValue="1">
        <cfvo type="min"/>
        <cfvo type="max"/>
        <color rgb="008FAADC"/>
      </dataBar>
    </cfRule>
  </conditionalFormatting>
  <conditionalFormatting sqref="F16:F22">
    <cfRule type="dataBar" priority="3">
      <dataBar showValue="1">
        <cfvo type="num" val="0"/>
        <cfvo type="num" val="1"/>
        <color rgb="0063BE7B"/>
      </dataBar>
    </cfRule>
  </conditionalFormatting>
  <conditionalFormatting sqref="F26:F29">
    <cfRule type="dataBar" priority="4">
      <dataBar showValue="1">
        <cfvo type="num" val="0"/>
        <cfvo type="num" val="1"/>
        <color rgb="0063BE7B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76" customWidth="1" min="2" max="2"/>
  </cols>
  <sheetData>
    <row r="1" ht="18" customHeight="1">
      <c r="A1" s="20" t="inlineStr">
        <is>
          <t>工作进度管理 · 优化说明</t>
        </is>
      </c>
      <c r="B1" s="21" t="inlineStr"/>
    </row>
    <row r="2" ht="18" customHeight="1">
      <c r="A2" s="18" t="inlineStr">
        <is>
          <t>为什么改</t>
        </is>
      </c>
      <c r="B2" s="21" t="inlineStr">
        <is>
          <t>原表按『日期块』铺开，状态散落在几十个格子里，无法一眼看出完成率/谁拖了/有无延期。</t>
        </is>
      </c>
    </row>
    <row r="3" ht="18" customHeight="1">
      <c r="A3" s="18" t="inlineStr">
        <is>
          <t>新结构</t>
        </is>
      </c>
      <c r="B3" s="21" t="inlineStr">
        <is>
          <t>① 任务清单：一行一个任务，可筛选排序；② 进度看板：自动算完成率/按人/按部门/延期。</t>
        </is>
      </c>
    </row>
    <row r="4" ht="18" customHeight="1">
      <c r="A4" s="18" t="inlineStr"/>
      <c r="B4" s="21" t="inlineStr"/>
    </row>
    <row r="5" ht="18" customHeight="1">
      <c r="A5" s="18" t="inlineStr">
        <is>
          <t>任务清单 · 怎么填</t>
        </is>
      </c>
      <c r="B5" s="21" t="inlineStr">
        <is>
          <t>日期/部门/负责人/分类/状态都是下拉；工作内容手写；计划完成日建议都填(用于延期判断)。</t>
        </is>
      </c>
    </row>
    <row r="6" ht="30" customHeight="1">
      <c r="A6" s="18" t="inlineStr">
        <is>
          <t>状态自动上色</t>
        </is>
      </c>
      <c r="B6" s="21" t="inlineStr">
        <is>
          <t>已完成=绿 / 进行中=黄 / 未开始=灰 / 已延期=红 / 搁置=蓝灰。选完即变色，进度一眼可见。</t>
        </is>
      </c>
    </row>
    <row r="7" ht="18" customHeight="1">
      <c r="A7" s="18" t="inlineStr">
        <is>
          <t>延期自动预警</t>
        </is>
      </c>
      <c r="B7" s="21" t="inlineStr">
        <is>
          <t>状态非『已完成』且『计划完成日』已过 → 自动标 ⚠️延期，整行淡红。</t>
        </is>
      </c>
    </row>
    <row r="8" ht="18" customHeight="1">
      <c r="A8" s="18" t="inlineStr">
        <is>
          <t>进度看板</t>
        </is>
      </c>
      <c r="B8" s="21" t="inlineStr">
        <is>
          <t>总体完成率(带进度条)、各状态数量、按负责人/部门完成率(带进度条)、延期数——全自动。</t>
        </is>
      </c>
    </row>
    <row r="9" ht="18" customHeight="1">
      <c r="A9" s="18" t="inlineStr"/>
      <c r="B9" s="21" t="inlineStr"/>
    </row>
    <row r="10" ht="30" customHeight="1">
      <c r="A10" s="18" t="inlineStr">
        <is>
          <t>导入 Google Sheets</t>
        </is>
      </c>
      <c r="B10" s="21" t="inlineStr">
        <is>
          <t>文件→导入→上传本xlsx→『替换/新建表格』。下拉、颜色、进度条基本保留；如个别条件格式没跟过来，按本页重设一次即可。</t>
        </is>
      </c>
    </row>
    <row r="11" ht="18" customHeight="1">
      <c r="A11" s="18" t="inlineStr">
        <is>
          <t>筛选看单人</t>
        </is>
      </c>
      <c r="B11" s="21" t="inlineStr">
        <is>
          <t>任务清单选中表头→数据→创建筛选器→按『负责人』筛，即得某人全部任务与进度。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8" t="inlineStr">
        <is>
          <t>部门</t>
        </is>
      </c>
      <c r="B1" s="18" t="inlineStr">
        <is>
          <t>负责人</t>
        </is>
      </c>
      <c r="C1" s="18" t="inlineStr">
        <is>
          <t>分类</t>
        </is>
      </c>
      <c r="D1" s="18" t="inlineStr">
        <is>
          <t>状态</t>
        </is>
      </c>
    </row>
    <row r="2">
      <c r="A2" t="inlineStr">
        <is>
          <t>日本</t>
        </is>
      </c>
      <c r="B2" t="inlineStr">
        <is>
          <t>小裴(财务)</t>
        </is>
      </c>
      <c r="C2" t="inlineStr">
        <is>
          <t>财务</t>
        </is>
      </c>
      <c r="D2" t="inlineStr">
        <is>
          <t>未开始</t>
        </is>
      </c>
    </row>
    <row r="3">
      <c r="A3" t="inlineStr">
        <is>
          <t>樱拓</t>
        </is>
      </c>
      <c r="B3" t="inlineStr">
        <is>
          <t>咩咩(贸易)</t>
        </is>
      </c>
      <c r="C3" t="inlineStr">
        <is>
          <t>贸易</t>
        </is>
      </c>
      <c r="D3" t="inlineStr">
        <is>
          <t>进行中</t>
        </is>
      </c>
    </row>
    <row r="4">
      <c r="A4" t="inlineStr">
        <is>
          <t>樱启</t>
        </is>
      </c>
      <c r="B4" t="inlineStr">
        <is>
          <t>张姐(供应链)</t>
        </is>
      </c>
      <c r="C4" t="inlineStr">
        <is>
          <t>供应链</t>
        </is>
      </c>
      <c r="D4" t="inlineStr">
        <is>
          <t>已完成</t>
        </is>
      </c>
    </row>
    <row r="5">
      <c r="A5" t="inlineStr">
        <is>
          <t>其他</t>
        </is>
      </c>
      <c r="B5" t="inlineStr">
        <is>
          <t>毛毛(小红书)</t>
        </is>
      </c>
      <c r="C5" t="inlineStr">
        <is>
          <t>小红书</t>
        </is>
      </c>
      <c r="D5" t="inlineStr">
        <is>
          <t>已延期</t>
        </is>
      </c>
    </row>
    <row r="6">
      <c r="B6" t="inlineStr">
        <is>
          <t>Alice(小红书)</t>
        </is>
      </c>
      <c r="C6" t="inlineStr">
        <is>
          <t>行政/其他</t>
        </is>
      </c>
      <c r="D6" t="inlineStr">
        <is>
          <t>搁置</t>
        </is>
      </c>
    </row>
    <row r="7">
      <c r="B7" t="inlineStr">
        <is>
          <t>柚子(小红书)</t>
        </is>
      </c>
    </row>
    <row r="8">
      <c r="B8" t="inlineStr">
        <is>
          <t>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2026-08-05T05:07:15Z</dcterms:created>
  <dcterms:modified xmlns:dcterms="http://purl.org/dc/terms/" xmlns:xsi="http://www.w3.org/2001/XMLSchema-instance" xsi:type="dcterms:W3CDTF">2026-08-05T05:07:16Z</dcterms:modified>
</cp:coreProperties>
</file>