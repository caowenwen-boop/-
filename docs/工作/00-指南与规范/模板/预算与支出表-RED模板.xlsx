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汇总（8-12月）" sheetId="1" r:id="rId5"/>
    <sheet state="visible" name="2026-08" sheetId="2" r:id="rId6"/>
    <sheet state="visible" name="2026-09" sheetId="3" r:id="rId7"/>
    <sheet state="visible" name="2026-10" sheetId="4" r:id="rId8"/>
    <sheet state="visible" name="2026-11" sheetId="5" r:id="rId9"/>
    <sheet state="visible" name="2026-12" sheetId="6" r:id="rId10"/>
  </sheets>
  <definedNames/>
  <calcPr/>
</workbook>
</file>

<file path=xl/sharedStrings.xml><?xml version="1.0" encoding="utf-8"?>
<sst xmlns="http://schemas.openxmlformats.org/spreadsheetml/2006/main" count="499" uniqueCount="110">
  <si>
    <t>Quality 1st 面膜 · RED 预算与支出　2026-10</t>
  </si>
  <si>
    <t>Quality 1st 面膜 · RED 预算与支出　2026-08</t>
  </si>
  <si>
    <t>RED 预算·实绩 汇总（2026年8月〜12月）　※由各月页自动汇总，请勿编辑</t>
  </si>
  <si>
    <t>Quality 1st 面膜 · RED 预算与支出　2026-09</t>
  </si>
  <si>
    <t>【填写规则】本页放置「本月已付款」的支出。若实际投放在次月及以后，请在 B列★投放月 填写实际投放的月份。</t>
  </si>
  <si>
    <t>一、预算总览（自动汇总）</t>
  </si>
  <si>
    <t>按付款月＝该月实际支付的金额（联动预实对比表）／按投放月＝该月实际投放的广告（用于判断投放效率）</t>
  </si>
  <si>
    <t>费用类别</t>
  </si>
  <si>
    <t>预算（元）</t>
  </si>
  <si>
    <t>■ ① 实际支出【按付款月·元】</t>
  </si>
  <si>
    <t>实际支出（元）</t>
  </si>
  <si>
    <t>差额</t>
  </si>
  <si>
    <t>执行率</t>
  </si>
  <si>
    <t>预实对比表科目</t>
  </si>
  <si>
    <t>筆記+直播</t>
  </si>
  <si>
    <t>2026-08</t>
  </si>
  <si>
    <t>2026-09</t>
  </si>
  <si>
    <t>2026-10</t>
  </si>
  <si>
    <t>2026-11</t>
  </si>
  <si>
    <t>2026-12</t>
  </si>
  <si>
    <t>合计</t>
  </si>
  <si>
    <t>站外种草(Red)</t>
  </si>
  <si>
    <t>直播坑位费</t>
  </si>
  <si>
    <t>KOC圖文</t>
  </si>
  <si>
    <t>視頻筆記預算</t>
  </si>
  <si>
    <t>koc動画不报备</t>
  </si>
  <si>
    <t>样品费</t>
  </si>
  <si>
    <t>★无预算科目</t>
  </si>
  <si>
    <t>运费</t>
  </si>
  <si>
    <t>風險保證金</t>
  </si>
  <si>
    <t>小紅書專業號年審費用</t>
  </si>
  <si>
    <t>二、支出明细　【★付款日期 与 ★投放月 为必填项。金额＝数量×单价】</t>
  </si>
  <si>
    <t>★付款日期</t>
  </si>
  <si>
    <t>★投放月</t>
  </si>
  <si>
    <t>博主名称</t>
  </si>
  <si>
    <t>用途·合作条件</t>
  </si>
  <si>
    <t>直播产品</t>
  </si>
  <si>
    <t>金额（税入·元）</t>
  </si>
  <si>
    <t>支付方式</t>
  </si>
  <si>
    <t>付款主体</t>
  </si>
  <si>
    <t>销售额（元）</t>
  </si>
  <si>
    <t>投产比</t>
  </si>
  <si>
    <t>产出·笔记链接</t>
  </si>
  <si>
    <t>其中 站外种草(Red)＝联动预实对比表</t>
  </si>
  <si>
    <t>其中 无预算科目</t>
  </si>
  <si>
    <t>■ ② 预算【按付款月·元】</t>
  </si>
  <si>
    <t>较真儿的peny</t>
  </si>
  <si>
    <t>（笔记1w软植入）+20% 讲解1场+后</t>
  </si>
  <si>
    <t>金色, 黑银色</t>
  </si>
  <si>
    <t>对公转账</t>
  </si>
  <si>
    <t>Sakura</t>
  </si>
  <si>
    <t>欧淋莉</t>
  </si>
  <si>
    <t>20000保比roi为3</t>
  </si>
  <si>
    <t>如酱在日本</t>
  </si>
  <si>
    <t>框架，6场直播，线上佣金25%</t>
  </si>
  <si>
    <t>金色</t>
  </si>
  <si>
    <t>岸川在日本</t>
  </si>
  <si>
    <t>25000保比2500</t>
  </si>
  <si>
    <t>金色, 黑银色, 黑金色, 蓝色, 银色</t>
  </si>
  <si>
    <t>直付达人</t>
  </si>
  <si>
    <t>佳小蔓的逆龄日记</t>
  </si>
  <si>
    <t>1场直播+挂链上播</t>
  </si>
  <si>
    <t>黑银色, 金色</t>
  </si>
  <si>
    <t>一只小椰子</t>
  </si>
  <si>
    <t>视频笔记</t>
  </si>
  <si>
    <t>蒲公英充值</t>
  </si>
  <si>
    <t>■ ③ 执行率（①÷②）</t>
  </si>
  <si>
    <t>小冷月儿</t>
  </si>
  <si>
    <t>Q1</t>
  </si>
  <si>
    <t>大孟孟爱护肤</t>
  </si>
  <si>
    <t>菌菌睡不醒</t>
  </si>
  <si>
    <t>还得是花花大王</t>
  </si>
  <si>
    <t>一只美柚子</t>
  </si>
  <si>
    <t>芋泥奶酪毬</t>
  </si>
  <si>
    <t>一碟碎碎冰</t>
  </si>
  <si>
    <t>图文笔记/绑定小红星</t>
  </si>
  <si>
    <t>露露 Clover</t>
  </si>
  <si>
    <t>小鸟大王</t>
  </si>
  <si>
    <t>快樂逃跑了</t>
  </si>
  <si>
    <t>熙熙不稀稀</t>
  </si>
  <si>
    <t>■ ④ 按投放月【该月实际投放的广告·元】　※判断投放合理性看这里</t>
  </si>
  <si>
    <t>项目</t>
  </si>
  <si>
    <t>喝点小九</t>
  </si>
  <si>
    <t>投放金额（仅站外种草）</t>
  </si>
  <si>
    <t>拍单36包/天猫</t>
  </si>
  <si>
    <t>其他</t>
  </si>
  <si>
    <t>拍单6包黑/天猫</t>
  </si>
  <si>
    <t>黑金色</t>
  </si>
  <si>
    <t>拍单4/小红书</t>
  </si>
  <si>
    <t>拍单27/小红书</t>
  </si>
  <si>
    <t>蓝色</t>
  </si>
  <si>
    <t>拍单2/小红书</t>
  </si>
  <si>
    <t>银色</t>
  </si>
  <si>
    <t>笔记寄样/直播样品/直播抽奖/合同运费</t>
  </si>
  <si>
    <t>美金500</t>
  </si>
  <si>
    <t>主体公司支付</t>
  </si>
  <si>
    <t>支付宝支付</t>
  </si>
  <si>
    <t>Quality 1st 面膜 · RED 预算与支出　2026-11</t>
  </si>
  <si>
    <t>拍单5包/小红书</t>
  </si>
  <si>
    <t>残次品保税仓拍单出仓</t>
  </si>
  <si>
    <t>深蓝色</t>
  </si>
  <si>
    <t>Quality 1st 面膜 · RED 预算与支出　2026-12</t>
  </si>
  <si>
    <t>┗ 筆記+直播 ＋ 坑位费</t>
  </si>
  <si>
    <t>┗ KOC笔记类</t>
  </si>
  <si>
    <t>■ ⑤ 备注</t>
  </si>
  <si>
    <t>1) 数据录入在各月页（2026-08〜2026-12）进行。本页为自动汇总，请勿编辑。</t>
  </si>
  <si>
    <t>2) 明细行放在「实际付款的月份」页。若投放在次月及以后，在★投放月填写实际投放月。</t>
  </si>
  <si>
    <t>3) ①为按付款月口径＝预实对比表_FY27 的「RED种草」实绩（每日13:15自动同步）。</t>
  </si>
  <si>
    <t>4) ④为按投放月口径＝该月实际投放广告的效率。与①不一致属正常。</t>
  </si>
  <si>
    <t>5)「★无预算科目」（样品费·运费·風險保證金·年審費用）在FY27预算中无对应科目，不计入预实对比表。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</si>
</sst>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General"/>
    <numFmt numFmtId="165" formatCode="0.0%"/>
    <numFmt numFmtId="166" formatCode="yyyy-mm-dd"/>
    <numFmt numFmtId="167" formatCode="mm-dd"/>
  </numFmts>
  <fonts count="16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rgb="FFFFFFFF"/>
      <name val="Arial"/>
      <scheme val="minor"/>
    </font>
    <font>
      <sz val="10.0"/>
      <color rgb="FF000000"/>
      <name val="Calibri"/>
    </font>
    <font>
      <i/>
      <sz val="9.0"/>
      <color rgb="FF6B7582"/>
      <name val="Calibri"/>
    </font>
    <font>
      <b/>
      <sz val="11.0"/>
      <color rgb="FF000000"/>
      <name val="Calibri"/>
    </font>
    <font>
      <sz val="11.0"/>
      <color theme="1"/>
      <name val="Calibri"/>
    </font>
    <font>
      <i/>
      <sz val="9.0"/>
      <color rgb="FF6B7582"/>
      <name val="Arial"/>
      <scheme val="minor"/>
    </font>
    <font>
      <b/>
      <sz val="9.0"/>
      <color rgb="FFFFFFFF"/>
      <name val="Calibri"/>
    </font>
    <font/>
    <font>
      <b/>
      <sz val="11.0"/>
      <color rgb="FF000000"/>
      <name val="Arial"/>
      <scheme val="minor"/>
    </font>
    <font>
      <b/>
      <sz val="9.0"/>
      <color rgb="FFFFFFFF"/>
      <name val="Arial"/>
      <scheme val="minor"/>
    </font>
    <font>
      <b/>
      <sz val="10.0"/>
      <color rgb="FF000000"/>
      <name val="Calibri"/>
    </font>
    <font>
      <b/>
      <sz val="10.0"/>
      <color rgb="FF000000"/>
      <name val="Arial"/>
      <scheme val="minor"/>
    </font>
    <font>
      <sz val="9.0"/>
      <color rgb="FF66707C"/>
      <name val="Arial"/>
      <scheme val="minor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13349"/>
        <bgColor rgb="FF213349"/>
      </patternFill>
    </fill>
    <fill>
      <patternFill patternType="solid">
        <fgColor rgb="FFFFFFFF"/>
        <bgColor rgb="FFFFFFFF"/>
      </patternFill>
    </fill>
    <fill>
      <patternFill patternType="solid">
        <fgColor rgb="FFEDEDEF"/>
        <bgColor rgb="FFEDEDEF"/>
      </patternFill>
    </fill>
    <fill>
      <patternFill patternType="solid">
        <fgColor rgb="FFFFF2E0"/>
        <bgColor rgb="FFFFF2E0"/>
      </patternFill>
    </fill>
    <fill>
      <patternFill patternType="solid">
        <fgColor rgb="FFEFF4F9"/>
        <bgColor rgb="FFEFF4F9"/>
      </patternFill>
    </fill>
    <fill>
      <patternFill patternType="solid">
        <fgColor rgb="FFDDEAF9"/>
        <bgColor rgb="FFDDEAF9"/>
      </patternFill>
    </fill>
  </fills>
  <borders count="5">
    <border/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vertical="center"/>
    </xf>
    <xf borderId="0" fillId="2" fontId="2" numFmtId="164" xfId="0" applyAlignment="1" applyFill="1" applyFont="1" applyNumberFormat="1">
      <alignment readingOrder="0"/>
    </xf>
    <xf borderId="0" fillId="3" fontId="3" numFmtId="164" xfId="0" applyAlignment="1" applyFill="1" applyFont="1" applyNumberFormat="1">
      <alignment vertical="center"/>
    </xf>
    <xf borderId="0" fillId="2" fontId="2" numFmtId="164" xfId="0" applyFill="1" applyFont="1" applyNumberFormat="1"/>
    <xf borderId="0" fillId="3" fontId="4" numFmtId="164" xfId="0" applyAlignment="1" applyFill="1" applyFont="1" applyNumberFormat="1">
      <alignment readingOrder="0" shrinkToFit="0" vertical="center" wrapText="1"/>
    </xf>
    <xf borderId="0" fillId="3" fontId="0" numFmtId="164" xfId="0" applyFill="1" applyFont="1" applyNumberFormat="1"/>
    <xf borderId="0" fillId="4" fontId="5" numFmtId="164" xfId="0" applyAlignment="1" applyFill="1" applyFont="1" applyNumberFormat="1">
      <alignment horizontal="left" readingOrder="0" shrinkToFit="0" vertical="center" wrapText="1"/>
    </xf>
    <xf borderId="0" fillId="0" fontId="6" numFmtId="0" xfId="0" applyAlignment="1" applyFont="1">
      <alignment vertical="center"/>
    </xf>
    <xf borderId="0" fillId="3" fontId="7" numFmtId="164" xfId="0" applyAlignment="1" applyFill="1" applyFont="1" applyNumberFormat="1">
      <alignment readingOrder="0"/>
    </xf>
    <xf borderId="0" fillId="3" fontId="7" numFmtId="164" xfId="0" applyFill="1" applyFont="1" applyNumberFormat="1"/>
    <xf borderId="1" fillId="2" fontId="8" numFmtId="49" xfId="0" applyAlignment="1" applyBorder="1" applyFill="1" applyFont="1" applyNumberFormat="1">
      <alignment horizontal="center" readingOrder="0" shrinkToFit="0" vertical="center" wrapText="1"/>
    </xf>
    <xf borderId="2" fillId="0" fontId="9" numFmtId="0" xfId="0" applyBorder="1" applyFont="1"/>
    <xf borderId="3" fillId="0" fontId="9" numFmtId="0" xfId="0" applyBorder="1" applyFont="1"/>
    <xf borderId="1" fillId="2" fontId="8" numFmtId="4" xfId="0" applyAlignment="1" applyBorder="1" applyFill="1" applyFont="1" applyNumberFormat="1">
      <alignment horizontal="center" readingOrder="0" shrinkToFit="0" vertical="center" wrapText="1"/>
    </xf>
    <xf borderId="0" fillId="4" fontId="10" numFmtId="164" xfId="0" applyAlignment="1" applyFill="1" applyFont="1" applyNumberFormat="1">
      <alignment readingOrder="0"/>
    </xf>
    <xf borderId="0" fillId="4" fontId="10" numFmtId="164" xfId="0" applyFill="1" applyFont="1" applyNumberFormat="1"/>
    <xf borderId="4" fillId="2" fontId="8" numFmtId="4" xfId="0" applyAlignment="1" applyBorder="1" applyFill="1" applyFont="1" applyNumberFormat="1">
      <alignment horizontal="center" readingOrder="0" shrinkToFit="0" vertical="center" wrapText="1"/>
    </xf>
    <xf borderId="4" fillId="2" fontId="8" numFmtId="165" xfId="0" applyAlignment="1" applyBorder="1" applyFill="1" applyFont="1" applyNumberFormat="1">
      <alignment horizontal="center" readingOrder="0" shrinkToFit="0" vertical="center" wrapText="1"/>
    </xf>
    <xf borderId="4" fillId="2" fontId="11" numFmtId="49" xfId="0" applyAlignment="1" applyBorder="1" applyFill="1" applyFont="1" applyNumberFormat="1">
      <alignment horizontal="center" readingOrder="0"/>
    </xf>
    <xf borderId="1" fillId="3" fontId="3" numFmtId="164" xfId="0" applyAlignment="1" applyBorder="1" applyFill="1" applyFont="1" applyNumberFormat="1">
      <alignment horizontal="left" readingOrder="0" shrinkToFit="0" vertical="center" wrapText="1"/>
    </xf>
    <xf borderId="4" fillId="2" fontId="11" numFmtId="49" xfId="0" applyAlignment="1" applyBorder="1" applyFill="1" applyFont="1" applyNumberFormat="1">
      <alignment horizontal="center"/>
    </xf>
    <xf borderId="1" fillId="3" fontId="3" numFmtId="4" xfId="0" applyAlignment="1" applyBorder="1" applyFill="1" applyFont="1" applyNumberFormat="1">
      <alignment horizontal="center" readingOrder="0" vertical="center"/>
    </xf>
    <xf borderId="4" fillId="3" fontId="0" numFmtId="164" xfId="0" applyAlignment="1" applyBorder="1" applyFill="1" applyFont="1" applyNumberFormat="1">
      <alignment readingOrder="0"/>
    </xf>
    <xf borderId="4" fillId="3" fontId="0" numFmtId="4" xfId="0" applyBorder="1" applyFill="1" applyFont="1" applyNumberFormat="1"/>
    <xf borderId="4" fillId="3" fontId="3" numFmtId="4" xfId="0" applyAlignment="1" applyBorder="1" applyFill="1" applyFont="1" applyNumberFormat="1">
      <alignment horizontal="center" readingOrder="0" vertical="center"/>
    </xf>
    <xf borderId="4" fillId="3" fontId="3" numFmtId="165" xfId="0" applyAlignment="1" applyBorder="1" applyFill="1" applyFont="1" applyNumberFormat="1">
      <alignment horizontal="center" vertical="center"/>
    </xf>
    <xf borderId="4" fillId="3" fontId="0" numFmtId="164" xfId="0" applyBorder="1" applyFill="1" applyFont="1" applyNumberFormat="1"/>
    <xf borderId="1" fillId="3" fontId="3" numFmtId="164" xfId="0" applyAlignment="1" applyBorder="1" applyFill="1" applyFont="1" applyNumberFormat="1">
      <alignment horizontal="center" readingOrder="0" vertical="center"/>
    </xf>
    <xf borderId="1" fillId="5" fontId="3" numFmtId="164" xfId="0" applyAlignment="1" applyBorder="1" applyFill="1" applyFont="1" applyNumberFormat="1">
      <alignment horizontal="left" readingOrder="0" shrinkToFit="0" vertical="center" wrapText="1"/>
    </xf>
    <xf borderId="1" fillId="5" fontId="3" numFmtId="4" xfId="0" applyAlignment="1" applyBorder="1" applyFill="1" applyFont="1" applyNumberFormat="1">
      <alignment horizontal="center" readingOrder="0" vertical="center"/>
    </xf>
    <xf borderId="4" fillId="5" fontId="3" numFmtId="4" xfId="0" applyAlignment="1" applyBorder="1" applyFill="1" applyFont="1" applyNumberFormat="1">
      <alignment horizontal="center" readingOrder="0" vertical="center"/>
    </xf>
    <xf borderId="4" fillId="5" fontId="3" numFmtId="165" xfId="0" applyAlignment="1" applyBorder="1" applyFill="1" applyFont="1" applyNumberFormat="1">
      <alignment horizontal="center" vertical="center"/>
    </xf>
    <xf borderId="1" fillId="5" fontId="3" numFmtId="164" xfId="0" applyAlignment="1" applyBorder="1" applyFill="1" applyFont="1" applyNumberFormat="1">
      <alignment horizontal="center" readingOrder="0" vertical="center"/>
    </xf>
    <xf borderId="4" fillId="5" fontId="0" numFmtId="164" xfId="0" applyAlignment="1" applyBorder="1" applyFill="1" applyFont="1" applyNumberFormat="1">
      <alignment readingOrder="0"/>
    </xf>
    <xf borderId="4" fillId="5" fontId="0" numFmtId="4" xfId="0" applyBorder="1" applyFill="1" applyFont="1" applyNumberFormat="1"/>
    <xf borderId="4" fillId="5" fontId="0" numFmtId="164" xfId="0" applyBorder="1" applyFill="1" applyFont="1" applyNumberFormat="1"/>
    <xf borderId="1" fillId="6" fontId="12" numFmtId="164" xfId="0" applyAlignment="1" applyBorder="1" applyFill="1" applyFont="1" applyNumberFormat="1">
      <alignment horizontal="left" readingOrder="0" vertical="center"/>
    </xf>
    <xf borderId="1" fillId="6" fontId="12" numFmtId="4" xfId="0" applyAlignment="1" applyBorder="1" applyFill="1" applyFont="1" applyNumberFormat="1">
      <alignment horizontal="center" vertical="center"/>
    </xf>
    <xf borderId="4" fillId="6" fontId="12" numFmtId="4" xfId="0" applyAlignment="1" applyBorder="1" applyFill="1" applyFont="1" applyNumberFormat="1">
      <alignment horizontal="center" vertical="center"/>
    </xf>
    <xf borderId="4" fillId="6" fontId="12" numFmtId="165" xfId="0" applyAlignment="1" applyBorder="1" applyFill="1" applyFont="1" applyNumberFormat="1">
      <alignment horizontal="center" vertical="center"/>
    </xf>
    <xf borderId="1" fillId="6" fontId="12" numFmtId="164" xfId="0" applyAlignment="1" applyBorder="1" applyFill="1" applyFont="1" applyNumberFormat="1">
      <alignment horizontal="center" vertical="center"/>
    </xf>
    <xf borderId="0" fillId="3" fontId="3" numFmtId="164" xfId="0" applyAlignment="1" applyFill="1" applyFont="1" applyNumberFormat="1">
      <alignment horizontal="center" vertical="center"/>
    </xf>
    <xf borderId="0" fillId="4" fontId="5" numFmtId="164" xfId="0" applyAlignment="1" applyFill="1" applyFont="1" applyNumberFormat="1">
      <alignment readingOrder="0" shrinkToFit="0" vertical="center" wrapText="1"/>
    </xf>
    <xf borderId="4" fillId="2" fontId="8" numFmtId="49" xfId="0" applyAlignment="1" applyBorder="1" applyFill="1" applyFont="1" applyNumberFormat="1">
      <alignment horizontal="center" readingOrder="0" shrinkToFit="0" vertical="center" wrapText="1"/>
    </xf>
    <xf borderId="4" fillId="3" fontId="3" numFmtId="166" xfId="0" applyAlignment="1" applyBorder="1" applyFill="1" applyFont="1" applyNumberFormat="1">
      <alignment vertical="center"/>
    </xf>
    <xf borderId="4" fillId="3" fontId="3" numFmtId="49" xfId="0" applyAlignment="1" applyBorder="1" applyFill="1" applyFont="1" applyNumberFormat="1">
      <alignment readingOrder="0" vertical="center"/>
    </xf>
    <xf borderId="4" fillId="6" fontId="13" numFmtId="164" xfId="0" applyAlignment="1" applyBorder="1" applyFill="1" applyFont="1" applyNumberFormat="1">
      <alignment readingOrder="0"/>
    </xf>
    <xf borderId="4" fillId="3" fontId="3" numFmtId="164" xfId="0" applyAlignment="1" applyBorder="1" applyFill="1" applyFont="1" applyNumberFormat="1">
      <alignment readingOrder="0" vertical="center"/>
    </xf>
    <xf borderId="4" fillId="3" fontId="3" numFmtId="164" xfId="0" applyAlignment="1" applyBorder="1" applyFill="1" applyFont="1" applyNumberFormat="1">
      <alignment horizontal="center" readingOrder="0" vertical="center"/>
    </xf>
    <xf borderId="4" fillId="6" fontId="13" numFmtId="4" xfId="0" applyBorder="1" applyFill="1" applyFont="1" applyNumberFormat="1"/>
    <xf borderId="4" fillId="3" fontId="3" numFmtId="4" xfId="0" applyAlignment="1" applyBorder="1" applyFill="1" applyFont="1" applyNumberFormat="1">
      <alignment readingOrder="0" vertical="center"/>
    </xf>
    <xf borderId="4" fillId="6" fontId="13" numFmtId="164" xfId="0" applyBorder="1" applyFill="1" applyFont="1" applyNumberFormat="1"/>
    <xf borderId="4" fillId="7" fontId="13" numFmtId="164" xfId="0" applyAlignment="1" applyBorder="1" applyFill="1" applyFont="1" applyNumberFormat="1">
      <alignment readingOrder="0"/>
    </xf>
    <xf borderId="4" fillId="3" fontId="3" numFmtId="2" xfId="0" applyAlignment="1" applyBorder="1" applyFill="1" applyFont="1" applyNumberFormat="1">
      <alignment vertical="center"/>
    </xf>
    <xf borderId="4" fillId="3" fontId="3" numFmtId="164" xfId="0" applyAlignment="1" applyBorder="1" applyFill="1" applyFont="1" applyNumberFormat="1">
      <alignment vertical="center"/>
    </xf>
    <xf borderId="4" fillId="7" fontId="13" numFmtId="4" xfId="0" applyBorder="1" applyFill="1" applyFont="1" applyNumberFormat="1"/>
    <xf borderId="4" fillId="3" fontId="3" numFmtId="4" xfId="0" applyAlignment="1" applyBorder="1" applyFill="1" applyFont="1" applyNumberFormat="1">
      <alignment vertical="center"/>
    </xf>
    <xf borderId="4" fillId="7" fontId="13" numFmtId="164" xfId="0" applyBorder="1" applyFill="1" applyFont="1" applyNumberFormat="1"/>
    <xf borderId="0" fillId="3" fontId="0" numFmtId="4" xfId="0" applyFill="1" applyFont="1" applyNumberFormat="1"/>
    <xf borderId="0" fillId="4" fontId="10" numFmtId="4" xfId="0" applyFill="1" applyFont="1" applyNumberFormat="1"/>
    <xf borderId="4" fillId="3" fontId="3" numFmtId="49" xfId="0" applyAlignment="1" applyBorder="1" applyFill="1" applyFont="1" applyNumberFormat="1">
      <alignment vertical="center"/>
    </xf>
    <xf borderId="4" fillId="3" fontId="3" numFmtId="164" xfId="0" applyAlignment="1" applyBorder="1" applyFill="1" applyFont="1" applyNumberFormat="1">
      <alignment horizontal="center" vertical="center"/>
    </xf>
    <xf borderId="4" fillId="3" fontId="0" numFmtId="165" xfId="0" applyBorder="1" applyFill="1" applyFont="1" applyNumberFormat="1"/>
    <xf borderId="4" fillId="6" fontId="12" numFmtId="164" xfId="0" applyAlignment="1" applyBorder="1" applyFill="1" applyFont="1" applyNumberFormat="1">
      <alignment readingOrder="0" vertical="center"/>
    </xf>
    <xf borderId="4" fillId="6" fontId="12" numFmtId="164" xfId="0" applyAlignment="1" applyBorder="1" applyFill="1" applyFont="1" applyNumberFormat="1">
      <alignment vertical="center"/>
    </xf>
    <xf borderId="4" fillId="6" fontId="12" numFmtId="4" xfId="0" applyAlignment="1" applyBorder="1" applyFill="1" applyFont="1" applyNumberFormat="1">
      <alignment vertical="center"/>
    </xf>
    <xf borderId="4" fillId="6" fontId="12" numFmtId="164" xfId="0" applyAlignment="1" applyBorder="1" applyFill="1" applyFont="1" applyNumberFormat="1">
      <alignment horizontal="center" vertical="center"/>
    </xf>
    <xf borderId="4" fillId="6" fontId="12" numFmtId="2" xfId="0" applyAlignment="1" applyBorder="1" applyFill="1" applyFont="1" applyNumberFormat="1">
      <alignment vertical="center"/>
    </xf>
    <xf borderId="0" fillId="0" fontId="6" numFmtId="167" xfId="0" applyAlignment="1" applyFont="1" applyNumberFormat="1">
      <alignment vertical="center"/>
    </xf>
    <xf borderId="0" fillId="0" fontId="6" numFmtId="3" xfId="0" applyAlignment="1" applyFont="1" applyNumberFormat="1">
      <alignment vertical="center"/>
    </xf>
    <xf borderId="0" fillId="0" fontId="6" numFmtId="3" xfId="0" applyAlignment="1" applyFont="1" applyNumberFormat="1">
      <alignment horizontal="center" vertical="center"/>
    </xf>
    <xf borderId="4" fillId="7" fontId="13" numFmtId="2" xfId="0" applyBorder="1" applyFill="1" applyFont="1" applyNumberFormat="1"/>
    <xf borderId="0" fillId="3" fontId="14" numFmtId="164" xfId="0" applyAlignment="1" applyFill="1" applyFont="1" applyNumberFormat="1">
      <alignment readingOrder="0"/>
    </xf>
    <xf borderId="0" fillId="3" fontId="14" numFmtId="164" xfId="0" applyFill="1" applyFont="1" applyNumberFormat="1"/>
    <xf borderId="0" fillId="0" fontId="6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2">
    <dxf>
      <font>
        <b/>
      </font>
      <fill>
        <patternFill patternType="solid">
          <fgColor rgb="FFCCE0F7"/>
          <bgColor rgb="FFCCE0F7"/>
        </patternFill>
      </fill>
      <border/>
    </dxf>
    <dxf>
      <font>
        <b/>
      </font>
      <fill>
        <patternFill patternType="solid">
          <fgColor rgb="FFD6EDD6"/>
          <bgColor rgb="FFD6ED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8.88"/>
    <col customWidth="1" min="2" max="7" width="14.88"/>
    <col customWidth="1" min="8" max="8" width="17.63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  <c r="J1" s="6"/>
      <c r="K1" s="6"/>
      <c r="L1" s="6"/>
      <c r="M1" s="6"/>
      <c r="N1" s="6"/>
    </row>
    <row r="2">
      <c r="A2" s="9" t="s">
        <v>6</v>
      </c>
      <c r="B2" s="10"/>
      <c r="C2" s="10"/>
      <c r="D2" s="10"/>
      <c r="E2" s="10"/>
      <c r="F2" s="10"/>
      <c r="G2" s="10"/>
      <c r="H2" s="10"/>
      <c r="I2" s="10"/>
      <c r="J2" s="6"/>
      <c r="K2" s="6"/>
      <c r="L2" s="6"/>
      <c r="M2" s="6"/>
      <c r="N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>
      <c r="A4" s="15" t="s">
        <v>9</v>
      </c>
      <c r="B4" s="16"/>
      <c r="C4" s="16"/>
      <c r="D4" s="16"/>
      <c r="E4" s="16"/>
      <c r="F4" s="16"/>
      <c r="G4" s="16"/>
      <c r="H4" s="16"/>
      <c r="I4" s="16"/>
      <c r="J4" s="6"/>
      <c r="K4" s="6"/>
      <c r="L4" s="6"/>
      <c r="M4" s="6"/>
      <c r="N4" s="6"/>
    </row>
    <row r="5">
      <c r="A5" s="19" t="s">
        <v>7</v>
      </c>
      <c r="B5" s="19" t="s">
        <v>15</v>
      </c>
      <c r="C5" s="19" t="s">
        <v>16</v>
      </c>
      <c r="D5" s="19" t="s">
        <v>17</v>
      </c>
      <c r="E5" s="19" t="s">
        <v>18</v>
      </c>
      <c r="F5" s="19" t="s">
        <v>19</v>
      </c>
      <c r="G5" s="19" t="s">
        <v>20</v>
      </c>
      <c r="H5" s="19" t="s">
        <v>13</v>
      </c>
      <c r="I5" s="21"/>
      <c r="J5" s="6"/>
      <c r="K5" s="6"/>
      <c r="L5" s="6"/>
      <c r="M5" s="6"/>
      <c r="N5" s="6"/>
    </row>
    <row r="6">
      <c r="A6" s="23" t="s">
        <v>14</v>
      </c>
      <c r="B6" s="24">
        <f>'2026-08'!F5</f>
        <v>81430</v>
      </c>
      <c r="C6" s="24">
        <f>'2026-09'!F5</f>
        <v>0</v>
      </c>
      <c r="D6" s="24">
        <f>'2026-10'!F5</f>
        <v>0</v>
      </c>
      <c r="E6" s="24">
        <f>'2026-11'!F5</f>
        <v>0</v>
      </c>
      <c r="F6" s="24">
        <f>'2026-12'!F5</f>
        <v>0</v>
      </c>
      <c r="G6" s="24">
        <f t="shared" ref="G6:G14" si="1">SUM(B6:F6)</f>
        <v>81430</v>
      </c>
      <c r="H6" s="23" t="s">
        <v>21</v>
      </c>
      <c r="I6" s="27"/>
      <c r="J6" s="6"/>
      <c r="K6" s="6"/>
      <c r="L6" s="6"/>
      <c r="M6" s="6"/>
      <c r="N6" s="6"/>
    </row>
    <row r="7">
      <c r="A7" s="23" t="s">
        <v>22</v>
      </c>
      <c r="B7" s="24">
        <f>'2026-08'!F6</f>
        <v>12332</v>
      </c>
      <c r="C7" s="24">
        <f>'2026-09'!F6</f>
        <v>0</v>
      </c>
      <c r="D7" s="24">
        <f>'2026-10'!F6</f>
        <v>0</v>
      </c>
      <c r="E7" s="24">
        <f>'2026-11'!F6</f>
        <v>0</v>
      </c>
      <c r="F7" s="24">
        <f>'2026-12'!F6</f>
        <v>0</v>
      </c>
      <c r="G7" s="24">
        <f t="shared" si="1"/>
        <v>12332</v>
      </c>
      <c r="H7" s="23" t="s">
        <v>21</v>
      </c>
      <c r="I7" s="27"/>
      <c r="J7" s="6"/>
      <c r="K7" s="6"/>
      <c r="L7" s="6"/>
      <c r="M7" s="6"/>
      <c r="N7" s="6"/>
    </row>
    <row r="8">
      <c r="A8" s="23" t="s">
        <v>23</v>
      </c>
      <c r="B8" s="24">
        <f>'2026-08'!F7</f>
        <v>5367.76</v>
      </c>
      <c r="C8" s="24">
        <f>'2026-09'!F7</f>
        <v>0</v>
      </c>
      <c r="D8" s="24">
        <f>'2026-10'!F7</f>
        <v>0</v>
      </c>
      <c r="E8" s="24">
        <f>'2026-11'!F7</f>
        <v>0</v>
      </c>
      <c r="F8" s="24">
        <f>'2026-12'!F7</f>
        <v>0</v>
      </c>
      <c r="G8" s="24">
        <f t="shared" si="1"/>
        <v>5367.76</v>
      </c>
      <c r="H8" s="23" t="s">
        <v>21</v>
      </c>
      <c r="I8" s="27"/>
      <c r="J8" s="6"/>
      <c r="K8" s="6"/>
      <c r="L8" s="6"/>
      <c r="M8" s="6"/>
      <c r="N8" s="6"/>
    </row>
    <row r="9">
      <c r="A9" s="23" t="s">
        <v>24</v>
      </c>
      <c r="B9" s="24">
        <f>'2026-08'!F8</f>
        <v>10010</v>
      </c>
      <c r="C9" s="24">
        <f>'2026-09'!F8</f>
        <v>0</v>
      </c>
      <c r="D9" s="24">
        <f>'2026-10'!F8</f>
        <v>0</v>
      </c>
      <c r="E9" s="24">
        <f>'2026-11'!F8</f>
        <v>0</v>
      </c>
      <c r="F9" s="24">
        <f>'2026-12'!F8</f>
        <v>0</v>
      </c>
      <c r="G9" s="24">
        <f t="shared" si="1"/>
        <v>10010</v>
      </c>
      <c r="H9" s="23" t="s">
        <v>21</v>
      </c>
      <c r="I9" s="27"/>
      <c r="J9" s="6"/>
      <c r="K9" s="6"/>
      <c r="L9" s="6"/>
      <c r="M9" s="6"/>
      <c r="N9" s="6"/>
    </row>
    <row r="10">
      <c r="A10" s="23" t="s">
        <v>25</v>
      </c>
      <c r="B10" s="24">
        <f>'2026-08'!F9</f>
        <v>1150</v>
      </c>
      <c r="C10" s="24">
        <f>'2026-09'!F9</f>
        <v>0</v>
      </c>
      <c r="D10" s="24">
        <f>'2026-10'!F9</f>
        <v>0</v>
      </c>
      <c r="E10" s="24">
        <f>'2026-11'!F9</f>
        <v>0</v>
      </c>
      <c r="F10" s="24">
        <f>'2026-12'!F9</f>
        <v>0</v>
      </c>
      <c r="G10" s="24">
        <f t="shared" si="1"/>
        <v>1150</v>
      </c>
      <c r="H10" s="23" t="s">
        <v>21</v>
      </c>
      <c r="I10" s="27"/>
      <c r="J10" s="6"/>
      <c r="K10" s="6"/>
      <c r="L10" s="6"/>
      <c r="M10" s="6"/>
      <c r="N10" s="6"/>
    </row>
    <row r="11">
      <c r="A11" s="34" t="s">
        <v>26</v>
      </c>
      <c r="B11" s="35">
        <f>'2026-08'!F10</f>
        <v>3643.8</v>
      </c>
      <c r="C11" s="35">
        <f>'2026-09'!F10</f>
        <v>0</v>
      </c>
      <c r="D11" s="35">
        <f>'2026-10'!F10</f>
        <v>0</v>
      </c>
      <c r="E11" s="35">
        <f>'2026-11'!F10</f>
        <v>0</v>
      </c>
      <c r="F11" s="35">
        <f>'2026-12'!F10</f>
        <v>0</v>
      </c>
      <c r="G11" s="35">
        <f t="shared" si="1"/>
        <v>3643.8</v>
      </c>
      <c r="H11" s="34" t="s">
        <v>27</v>
      </c>
      <c r="I11" s="36"/>
      <c r="J11" s="6"/>
      <c r="K11" s="6"/>
      <c r="L11" s="6"/>
      <c r="M11" s="6"/>
      <c r="N11" s="6"/>
    </row>
    <row r="12">
      <c r="A12" s="34" t="s">
        <v>28</v>
      </c>
      <c r="B12" s="35">
        <f>'2026-08'!F11</f>
        <v>762.3</v>
      </c>
      <c r="C12" s="35">
        <f>'2026-09'!F11</f>
        <v>0</v>
      </c>
      <c r="D12" s="35">
        <f>'2026-10'!F11</f>
        <v>0</v>
      </c>
      <c r="E12" s="35">
        <f>'2026-11'!F11</f>
        <v>0</v>
      </c>
      <c r="F12" s="35">
        <f>'2026-12'!F11</f>
        <v>0</v>
      </c>
      <c r="G12" s="35">
        <f t="shared" si="1"/>
        <v>762.3</v>
      </c>
      <c r="H12" s="34" t="s">
        <v>27</v>
      </c>
      <c r="I12" s="36"/>
      <c r="J12" s="6"/>
      <c r="K12" s="6"/>
      <c r="L12" s="6"/>
      <c r="M12" s="6"/>
      <c r="N12" s="6"/>
    </row>
    <row r="13">
      <c r="A13" s="34" t="s">
        <v>29</v>
      </c>
      <c r="B13" s="35">
        <f>'2026-08'!F12</f>
        <v>3370</v>
      </c>
      <c r="C13" s="35">
        <f>'2026-09'!F12</f>
        <v>0</v>
      </c>
      <c r="D13" s="35">
        <f>'2026-10'!F12</f>
        <v>0</v>
      </c>
      <c r="E13" s="35">
        <f>'2026-11'!F12</f>
        <v>0</v>
      </c>
      <c r="F13" s="35">
        <f>'2026-12'!F12</f>
        <v>0</v>
      </c>
      <c r="G13" s="35">
        <f t="shared" si="1"/>
        <v>3370</v>
      </c>
      <c r="H13" s="34" t="s">
        <v>27</v>
      </c>
      <c r="I13" s="36"/>
      <c r="J13" s="6"/>
      <c r="K13" s="6"/>
      <c r="L13" s="6"/>
      <c r="M13" s="6"/>
      <c r="N13" s="6"/>
    </row>
    <row r="14">
      <c r="A14" s="34" t="s">
        <v>30</v>
      </c>
      <c r="B14" s="35">
        <f>'2026-08'!F13</f>
        <v>600</v>
      </c>
      <c r="C14" s="35">
        <f>'2026-09'!F13</f>
        <v>0</v>
      </c>
      <c r="D14" s="35">
        <f>'2026-10'!F13</f>
        <v>0</v>
      </c>
      <c r="E14" s="35">
        <f>'2026-11'!F13</f>
        <v>0</v>
      </c>
      <c r="F14" s="35">
        <f>'2026-12'!F13</f>
        <v>0</v>
      </c>
      <c r="G14" s="35">
        <f t="shared" si="1"/>
        <v>600</v>
      </c>
      <c r="H14" s="34" t="s">
        <v>27</v>
      </c>
      <c r="I14" s="36"/>
      <c r="J14" s="6"/>
      <c r="K14" s="6"/>
      <c r="L14" s="6"/>
      <c r="M14" s="6"/>
      <c r="N14" s="6"/>
    </row>
    <row r="15">
      <c r="A15" s="47" t="s">
        <v>20</v>
      </c>
      <c r="B15" s="50">
        <f t="shared" ref="B15:G15" si="2">SUM(B6:B14)</f>
        <v>118665.86</v>
      </c>
      <c r="C15" s="50">
        <f t="shared" si="2"/>
        <v>0</v>
      </c>
      <c r="D15" s="50">
        <f t="shared" si="2"/>
        <v>0</v>
      </c>
      <c r="E15" s="50">
        <f t="shared" si="2"/>
        <v>0</v>
      </c>
      <c r="F15" s="50">
        <f t="shared" si="2"/>
        <v>0</v>
      </c>
      <c r="G15" s="50">
        <f t="shared" si="2"/>
        <v>118665.86</v>
      </c>
      <c r="H15" s="52"/>
      <c r="I15" s="52"/>
      <c r="J15" s="6"/>
      <c r="K15" s="6"/>
      <c r="L15" s="6"/>
      <c r="M15" s="6"/>
      <c r="N15" s="6"/>
    </row>
    <row r="16">
      <c r="A16" s="53" t="s">
        <v>43</v>
      </c>
      <c r="B16" s="56">
        <f t="shared" ref="B16:F16" si="3">SUMIF($H$6:$H$14,"站外种草(Red)",B$6:B$14)</f>
        <v>110289.76</v>
      </c>
      <c r="C16" s="56">
        <f t="shared" si="3"/>
        <v>0</v>
      </c>
      <c r="D16" s="56">
        <f t="shared" si="3"/>
        <v>0</v>
      </c>
      <c r="E16" s="56">
        <f t="shared" si="3"/>
        <v>0</v>
      </c>
      <c r="F16" s="56">
        <f t="shared" si="3"/>
        <v>0</v>
      </c>
      <c r="G16" s="56">
        <f t="shared" ref="G16:G17" si="5">SUM(B16:F16)</f>
        <v>110289.76</v>
      </c>
      <c r="H16" s="58"/>
      <c r="I16" s="58"/>
      <c r="J16" s="6"/>
      <c r="K16" s="6"/>
      <c r="L16" s="6"/>
      <c r="M16" s="6"/>
      <c r="N16" s="6"/>
    </row>
    <row r="17">
      <c r="A17" s="34" t="s">
        <v>44</v>
      </c>
      <c r="B17" s="35">
        <f t="shared" ref="B17:F17" si="4">SUMIF($H$6:$H$14,"★无预算科目",B$6:B$14)</f>
        <v>8376.1</v>
      </c>
      <c r="C17" s="35">
        <f t="shared" si="4"/>
        <v>0</v>
      </c>
      <c r="D17" s="35">
        <f t="shared" si="4"/>
        <v>0</v>
      </c>
      <c r="E17" s="35">
        <f t="shared" si="4"/>
        <v>0</v>
      </c>
      <c r="F17" s="35">
        <f t="shared" si="4"/>
        <v>0</v>
      </c>
      <c r="G17" s="35">
        <f t="shared" si="5"/>
        <v>8376.1</v>
      </c>
      <c r="H17" s="36"/>
      <c r="I17" s="36"/>
      <c r="J17" s="6"/>
      <c r="K17" s="6"/>
      <c r="L17" s="6"/>
      <c r="M17" s="6"/>
      <c r="N17" s="6"/>
    </row>
    <row r="18">
      <c r="A18" s="6"/>
      <c r="B18" s="59"/>
      <c r="C18" s="59"/>
      <c r="D18" s="59"/>
      <c r="E18" s="59"/>
      <c r="F18" s="59"/>
      <c r="G18" s="59"/>
      <c r="H18" s="6"/>
      <c r="I18" s="6"/>
      <c r="J18" s="6"/>
      <c r="K18" s="6"/>
      <c r="L18" s="6"/>
      <c r="M18" s="6"/>
      <c r="N18" s="6"/>
    </row>
    <row r="19">
      <c r="A19" s="15" t="s">
        <v>45</v>
      </c>
      <c r="B19" s="60"/>
      <c r="C19" s="60"/>
      <c r="D19" s="60"/>
      <c r="E19" s="60"/>
      <c r="F19" s="60"/>
      <c r="G19" s="60"/>
      <c r="H19" s="16"/>
      <c r="I19" s="16"/>
      <c r="J19" s="6"/>
      <c r="K19" s="6"/>
      <c r="L19" s="6"/>
      <c r="M19" s="6"/>
      <c r="N19" s="6"/>
    </row>
    <row r="20">
      <c r="A20" s="19" t="s">
        <v>7</v>
      </c>
      <c r="B20" s="19" t="s">
        <v>15</v>
      </c>
      <c r="C20" s="19" t="s">
        <v>16</v>
      </c>
      <c r="D20" s="19" t="s">
        <v>17</v>
      </c>
      <c r="E20" s="19" t="s">
        <v>18</v>
      </c>
      <c r="F20" s="19" t="s">
        <v>19</v>
      </c>
      <c r="G20" s="19" t="s">
        <v>20</v>
      </c>
      <c r="H20" s="19" t="s">
        <v>13</v>
      </c>
      <c r="I20" s="21"/>
      <c r="J20" s="6"/>
      <c r="K20" s="6"/>
      <c r="L20" s="6"/>
      <c r="M20" s="6"/>
      <c r="N20" s="6"/>
    </row>
    <row r="21">
      <c r="A21" s="23" t="s">
        <v>14</v>
      </c>
      <c r="B21" s="24">
        <f>'2026-08'!D5</f>
        <v>99600</v>
      </c>
      <c r="C21" s="24" t="str">
        <f>'2026-09'!D5</f>
        <v/>
      </c>
      <c r="D21" s="24" t="str">
        <f>'2026-10'!D5</f>
        <v/>
      </c>
      <c r="E21" s="24" t="str">
        <f>'2026-11'!D5</f>
        <v/>
      </c>
      <c r="F21" s="24" t="str">
        <f>'2026-12'!D5</f>
        <v/>
      </c>
      <c r="G21" s="24">
        <f t="shared" ref="G21:G29" si="6">SUM(B21:F21)</f>
        <v>99600</v>
      </c>
      <c r="H21" s="23" t="s">
        <v>21</v>
      </c>
      <c r="I21" s="27"/>
      <c r="J21" s="6"/>
      <c r="K21" s="6"/>
      <c r="L21" s="6"/>
      <c r="M21" s="6"/>
      <c r="N21" s="6"/>
    </row>
    <row r="22">
      <c r="A22" s="23" t="s">
        <v>22</v>
      </c>
      <c r="B22" s="24">
        <f>'2026-08'!D6</f>
        <v>15000</v>
      </c>
      <c r="C22" s="24" t="str">
        <f>'2026-09'!D6</f>
        <v/>
      </c>
      <c r="D22" s="24" t="str">
        <f>'2026-10'!D6</f>
        <v/>
      </c>
      <c r="E22" s="24" t="str">
        <f>'2026-11'!D6</f>
        <v/>
      </c>
      <c r="F22" s="24" t="str">
        <f>'2026-12'!D6</f>
        <v/>
      </c>
      <c r="G22" s="24">
        <f t="shared" si="6"/>
        <v>15000</v>
      </c>
      <c r="H22" s="23" t="s">
        <v>21</v>
      </c>
      <c r="I22" s="27"/>
      <c r="J22" s="6"/>
      <c r="K22" s="6"/>
      <c r="L22" s="6"/>
      <c r="M22" s="6"/>
      <c r="N22" s="6"/>
    </row>
    <row r="23">
      <c r="A23" s="23" t="s">
        <v>23</v>
      </c>
      <c r="B23" s="24">
        <f>'2026-08'!D7</f>
        <v>26250</v>
      </c>
      <c r="C23" s="24" t="str">
        <f>'2026-09'!D7</f>
        <v/>
      </c>
      <c r="D23" s="24" t="str">
        <f>'2026-10'!D7</f>
        <v/>
      </c>
      <c r="E23" s="24" t="str">
        <f>'2026-11'!D7</f>
        <v/>
      </c>
      <c r="F23" s="24" t="str">
        <f>'2026-12'!D7</f>
        <v/>
      </c>
      <c r="G23" s="24">
        <f t="shared" si="6"/>
        <v>26250</v>
      </c>
      <c r="H23" s="23" t="s">
        <v>21</v>
      </c>
      <c r="I23" s="27"/>
      <c r="J23" s="6"/>
      <c r="K23" s="6"/>
      <c r="L23" s="6"/>
      <c r="M23" s="6"/>
      <c r="N23" s="6"/>
    </row>
    <row r="24">
      <c r="A24" s="23" t="s">
        <v>24</v>
      </c>
      <c r="B24" s="24">
        <f>'2026-08'!D8</f>
        <v>1500</v>
      </c>
      <c r="C24" s="24" t="str">
        <f>'2026-09'!D8</f>
        <v/>
      </c>
      <c r="D24" s="24" t="str">
        <f>'2026-10'!D8</f>
        <v/>
      </c>
      <c r="E24" s="24" t="str">
        <f>'2026-11'!D8</f>
        <v/>
      </c>
      <c r="F24" s="24" t="str">
        <f>'2026-12'!D8</f>
        <v/>
      </c>
      <c r="G24" s="24">
        <f t="shared" si="6"/>
        <v>1500</v>
      </c>
      <c r="H24" s="23" t="s">
        <v>21</v>
      </c>
      <c r="I24" s="27"/>
      <c r="J24" s="6"/>
      <c r="K24" s="6"/>
      <c r="L24" s="6"/>
      <c r="M24" s="6"/>
      <c r="N24" s="6"/>
    </row>
    <row r="25">
      <c r="A25" s="23" t="s">
        <v>25</v>
      </c>
      <c r="B25" s="24">
        <f>'2026-08'!D9</f>
        <v>7500</v>
      </c>
      <c r="C25" s="24" t="str">
        <f>'2026-09'!D9</f>
        <v/>
      </c>
      <c r="D25" s="24" t="str">
        <f>'2026-10'!D9</f>
        <v/>
      </c>
      <c r="E25" s="24" t="str">
        <f>'2026-11'!D9</f>
        <v/>
      </c>
      <c r="F25" s="24" t="str">
        <f>'2026-12'!D9</f>
        <v/>
      </c>
      <c r="G25" s="24">
        <f t="shared" si="6"/>
        <v>7500</v>
      </c>
      <c r="H25" s="23" t="s">
        <v>21</v>
      </c>
      <c r="I25" s="27"/>
      <c r="J25" s="6"/>
      <c r="K25" s="6"/>
      <c r="L25" s="6"/>
      <c r="M25" s="6"/>
      <c r="N25" s="6"/>
    </row>
    <row r="26">
      <c r="A26" s="34" t="s">
        <v>26</v>
      </c>
      <c r="B26" s="35">
        <f>'2026-08'!D10</f>
        <v>3500</v>
      </c>
      <c r="C26" s="35" t="str">
        <f>'2026-09'!D10</f>
        <v/>
      </c>
      <c r="D26" s="35" t="str">
        <f>'2026-10'!D10</f>
        <v/>
      </c>
      <c r="E26" s="35" t="str">
        <f>'2026-11'!D10</f>
        <v/>
      </c>
      <c r="F26" s="35" t="str">
        <f>'2026-12'!D10</f>
        <v/>
      </c>
      <c r="G26" s="35">
        <f t="shared" si="6"/>
        <v>3500</v>
      </c>
      <c r="H26" s="34" t="s">
        <v>27</v>
      </c>
      <c r="I26" s="36"/>
      <c r="J26" s="6"/>
      <c r="K26" s="6"/>
      <c r="L26" s="6"/>
      <c r="M26" s="6"/>
      <c r="N26" s="6"/>
    </row>
    <row r="27">
      <c r="A27" s="34" t="s">
        <v>28</v>
      </c>
      <c r="B27" s="35">
        <f>'2026-08'!D11</f>
        <v>1000</v>
      </c>
      <c r="C27" s="35" t="str">
        <f>'2026-09'!D11</f>
        <v/>
      </c>
      <c r="D27" s="35" t="str">
        <f>'2026-10'!D11</f>
        <v/>
      </c>
      <c r="E27" s="35" t="str">
        <f>'2026-11'!D11</f>
        <v/>
      </c>
      <c r="F27" s="35" t="str">
        <f>'2026-12'!D11</f>
        <v/>
      </c>
      <c r="G27" s="35">
        <f t="shared" si="6"/>
        <v>1000</v>
      </c>
      <c r="H27" s="34" t="s">
        <v>27</v>
      </c>
      <c r="I27" s="36"/>
      <c r="J27" s="6"/>
      <c r="K27" s="6"/>
      <c r="L27" s="6"/>
      <c r="M27" s="6"/>
      <c r="N27" s="6"/>
    </row>
    <row r="28">
      <c r="A28" s="34" t="s">
        <v>29</v>
      </c>
      <c r="B28" s="35">
        <f>'2026-08'!D12</f>
        <v>3400</v>
      </c>
      <c r="C28" s="35" t="str">
        <f>'2026-09'!D12</f>
        <v/>
      </c>
      <c r="D28" s="35" t="str">
        <f>'2026-10'!D12</f>
        <v/>
      </c>
      <c r="E28" s="35" t="str">
        <f>'2026-11'!D12</f>
        <v/>
      </c>
      <c r="F28" s="35" t="str">
        <f>'2026-12'!D12</f>
        <v/>
      </c>
      <c r="G28" s="35">
        <f t="shared" si="6"/>
        <v>3400</v>
      </c>
      <c r="H28" s="34" t="s">
        <v>27</v>
      </c>
      <c r="I28" s="36"/>
      <c r="J28" s="6"/>
      <c r="K28" s="6"/>
      <c r="L28" s="6"/>
      <c r="M28" s="6"/>
      <c r="N28" s="6"/>
    </row>
    <row r="29">
      <c r="A29" s="34" t="s">
        <v>30</v>
      </c>
      <c r="B29" s="35">
        <f>'2026-08'!D13</f>
        <v>600</v>
      </c>
      <c r="C29" s="35" t="str">
        <f>'2026-09'!D13</f>
        <v/>
      </c>
      <c r="D29" s="35" t="str">
        <f>'2026-10'!D13</f>
        <v/>
      </c>
      <c r="E29" s="35" t="str">
        <f>'2026-11'!D13</f>
        <v/>
      </c>
      <c r="F29" s="35" t="str">
        <f>'2026-12'!D13</f>
        <v/>
      </c>
      <c r="G29" s="35">
        <f t="shared" si="6"/>
        <v>600</v>
      </c>
      <c r="H29" s="34" t="s">
        <v>27</v>
      </c>
      <c r="I29" s="36"/>
      <c r="J29" s="6"/>
      <c r="K29" s="6"/>
      <c r="L29" s="6"/>
      <c r="M29" s="6"/>
      <c r="N29" s="6"/>
    </row>
    <row r="30">
      <c r="A30" s="47" t="s">
        <v>20</v>
      </c>
      <c r="B30" s="50">
        <f t="shared" ref="B30:G30" si="7">SUM(B21:B29)</f>
        <v>158350</v>
      </c>
      <c r="C30" s="50">
        <f t="shared" si="7"/>
        <v>0</v>
      </c>
      <c r="D30" s="50">
        <f t="shared" si="7"/>
        <v>0</v>
      </c>
      <c r="E30" s="50">
        <f t="shared" si="7"/>
        <v>0</v>
      </c>
      <c r="F30" s="50">
        <f t="shared" si="7"/>
        <v>0</v>
      </c>
      <c r="G30" s="50">
        <f t="shared" si="7"/>
        <v>158350</v>
      </c>
      <c r="H30" s="52"/>
      <c r="I30" s="52"/>
      <c r="J30" s="6"/>
      <c r="K30" s="6"/>
      <c r="L30" s="6"/>
      <c r="M30" s="6"/>
      <c r="N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>
      <c r="A32" s="15" t="s">
        <v>66</v>
      </c>
      <c r="B32" s="16"/>
      <c r="C32" s="16"/>
      <c r="D32" s="16"/>
      <c r="E32" s="16"/>
      <c r="F32" s="16"/>
      <c r="G32" s="16"/>
      <c r="H32" s="16"/>
      <c r="I32" s="16"/>
      <c r="J32" s="6"/>
      <c r="K32" s="6"/>
      <c r="L32" s="6"/>
      <c r="M32" s="6"/>
      <c r="N32" s="6"/>
    </row>
    <row r="33">
      <c r="A33" s="19" t="s">
        <v>7</v>
      </c>
      <c r="B33" s="19" t="s">
        <v>15</v>
      </c>
      <c r="C33" s="19" t="s">
        <v>16</v>
      </c>
      <c r="D33" s="19" t="s">
        <v>17</v>
      </c>
      <c r="E33" s="19" t="s">
        <v>18</v>
      </c>
      <c r="F33" s="19" t="s">
        <v>19</v>
      </c>
      <c r="G33" s="19" t="s">
        <v>20</v>
      </c>
      <c r="H33" s="21"/>
      <c r="I33" s="21"/>
      <c r="J33" s="6"/>
      <c r="K33" s="6"/>
      <c r="L33" s="6"/>
      <c r="M33" s="6"/>
      <c r="N33" s="6"/>
    </row>
    <row r="34">
      <c r="A34" s="23" t="s">
        <v>14</v>
      </c>
      <c r="B34" s="63">
        <f t="shared" ref="B34:G34" si="8">IFERROR(IF(N(B21)=0,"",B6/B21),"")</f>
        <v>0.8175702811</v>
      </c>
      <c r="C34" s="63" t="str">
        <f t="shared" si="8"/>
        <v/>
      </c>
      <c r="D34" s="63" t="str">
        <f t="shared" si="8"/>
        <v/>
      </c>
      <c r="E34" s="63" t="str">
        <f t="shared" si="8"/>
        <v/>
      </c>
      <c r="F34" s="63" t="str">
        <f t="shared" si="8"/>
        <v/>
      </c>
      <c r="G34" s="63">
        <f t="shared" si="8"/>
        <v>0.8175702811</v>
      </c>
      <c r="H34" s="27"/>
      <c r="I34" s="27"/>
      <c r="J34" s="6"/>
      <c r="K34" s="6"/>
      <c r="L34" s="6"/>
      <c r="M34" s="6"/>
      <c r="N34" s="6"/>
    </row>
    <row r="35">
      <c r="A35" s="23" t="s">
        <v>22</v>
      </c>
      <c r="B35" s="63">
        <f t="shared" ref="B35:G35" si="9">IFERROR(IF(N(B22)=0,"",B7/B22),"")</f>
        <v>0.8221333333</v>
      </c>
      <c r="C35" s="63" t="str">
        <f t="shared" si="9"/>
        <v/>
      </c>
      <c r="D35" s="63" t="str">
        <f t="shared" si="9"/>
        <v/>
      </c>
      <c r="E35" s="63" t="str">
        <f t="shared" si="9"/>
        <v/>
      </c>
      <c r="F35" s="63" t="str">
        <f t="shared" si="9"/>
        <v/>
      </c>
      <c r="G35" s="63">
        <f t="shared" si="9"/>
        <v>0.8221333333</v>
      </c>
      <c r="H35" s="27"/>
      <c r="I35" s="27"/>
      <c r="J35" s="6"/>
      <c r="K35" s="6"/>
      <c r="L35" s="6"/>
      <c r="M35" s="6"/>
      <c r="N35" s="6"/>
    </row>
    <row r="36">
      <c r="A36" s="23" t="s">
        <v>23</v>
      </c>
      <c r="B36" s="63">
        <f t="shared" ref="B36:G36" si="10">IFERROR(IF(N(B23)=0,"",B8/B23),"")</f>
        <v>0.2044860952</v>
      </c>
      <c r="C36" s="63" t="str">
        <f t="shared" si="10"/>
        <v/>
      </c>
      <c r="D36" s="63" t="str">
        <f t="shared" si="10"/>
        <v/>
      </c>
      <c r="E36" s="63" t="str">
        <f t="shared" si="10"/>
        <v/>
      </c>
      <c r="F36" s="63" t="str">
        <f t="shared" si="10"/>
        <v/>
      </c>
      <c r="G36" s="63">
        <f t="shared" si="10"/>
        <v>0.2044860952</v>
      </c>
      <c r="H36" s="27"/>
      <c r="I36" s="27"/>
      <c r="J36" s="6"/>
      <c r="K36" s="6"/>
      <c r="L36" s="6"/>
      <c r="M36" s="6"/>
      <c r="N36" s="6"/>
    </row>
    <row r="37">
      <c r="A37" s="23" t="s">
        <v>24</v>
      </c>
      <c r="B37" s="63">
        <f t="shared" ref="B37:G37" si="11">IFERROR(IF(N(B24)=0,"",B9/B24),"")</f>
        <v>6.673333333</v>
      </c>
      <c r="C37" s="63" t="str">
        <f t="shared" si="11"/>
        <v/>
      </c>
      <c r="D37" s="63" t="str">
        <f t="shared" si="11"/>
        <v/>
      </c>
      <c r="E37" s="63" t="str">
        <f t="shared" si="11"/>
        <v/>
      </c>
      <c r="F37" s="63" t="str">
        <f t="shared" si="11"/>
        <v/>
      </c>
      <c r="G37" s="63">
        <f t="shared" si="11"/>
        <v>6.673333333</v>
      </c>
      <c r="H37" s="27"/>
      <c r="I37" s="27"/>
      <c r="J37" s="6"/>
      <c r="K37" s="6"/>
      <c r="L37" s="6"/>
      <c r="M37" s="6"/>
      <c r="N37" s="6"/>
    </row>
    <row r="38">
      <c r="A38" s="23" t="s">
        <v>25</v>
      </c>
      <c r="B38" s="63">
        <f t="shared" ref="B38:G38" si="12">IFERROR(IF(N(B25)=0,"",B10/B25),"")</f>
        <v>0.1533333333</v>
      </c>
      <c r="C38" s="63" t="str">
        <f t="shared" si="12"/>
        <v/>
      </c>
      <c r="D38" s="63" t="str">
        <f t="shared" si="12"/>
        <v/>
      </c>
      <c r="E38" s="63" t="str">
        <f t="shared" si="12"/>
        <v/>
      </c>
      <c r="F38" s="63" t="str">
        <f t="shared" si="12"/>
        <v/>
      </c>
      <c r="G38" s="63">
        <f t="shared" si="12"/>
        <v>0.1533333333</v>
      </c>
      <c r="H38" s="27"/>
      <c r="I38" s="27"/>
      <c r="J38" s="6"/>
      <c r="K38" s="6"/>
      <c r="L38" s="6"/>
      <c r="M38" s="6"/>
      <c r="N38" s="6"/>
    </row>
    <row r="39">
      <c r="A39" s="23" t="s">
        <v>26</v>
      </c>
      <c r="B39" s="63">
        <f t="shared" ref="B39:G39" si="13">IFERROR(IF(N(B26)=0,"",B11/B26),"")</f>
        <v>1.041085714</v>
      </c>
      <c r="C39" s="63" t="str">
        <f t="shared" si="13"/>
        <v/>
      </c>
      <c r="D39" s="63" t="str">
        <f t="shared" si="13"/>
        <v/>
      </c>
      <c r="E39" s="63" t="str">
        <f t="shared" si="13"/>
        <v/>
      </c>
      <c r="F39" s="63" t="str">
        <f t="shared" si="13"/>
        <v/>
      </c>
      <c r="G39" s="63">
        <f t="shared" si="13"/>
        <v>1.041085714</v>
      </c>
      <c r="H39" s="27"/>
      <c r="I39" s="27"/>
      <c r="J39" s="6"/>
      <c r="K39" s="6"/>
      <c r="L39" s="6"/>
      <c r="M39" s="6"/>
      <c r="N39" s="6"/>
    </row>
    <row r="40">
      <c r="A40" s="23" t="s">
        <v>28</v>
      </c>
      <c r="B40" s="63">
        <f t="shared" ref="B40:G40" si="14">IFERROR(IF(N(B27)=0,"",B12/B27),"")</f>
        <v>0.7623</v>
      </c>
      <c r="C40" s="63" t="str">
        <f t="shared" si="14"/>
        <v/>
      </c>
      <c r="D40" s="63" t="str">
        <f t="shared" si="14"/>
        <v/>
      </c>
      <c r="E40" s="63" t="str">
        <f t="shared" si="14"/>
        <v/>
      </c>
      <c r="F40" s="63" t="str">
        <f t="shared" si="14"/>
        <v/>
      </c>
      <c r="G40" s="63">
        <f t="shared" si="14"/>
        <v>0.7623</v>
      </c>
      <c r="H40" s="27"/>
      <c r="I40" s="27"/>
      <c r="J40" s="6"/>
      <c r="K40" s="6"/>
      <c r="L40" s="6"/>
      <c r="M40" s="6"/>
      <c r="N40" s="6"/>
    </row>
    <row r="41">
      <c r="A41" s="23" t="s">
        <v>29</v>
      </c>
      <c r="B41" s="63">
        <f t="shared" ref="B41:G41" si="15">IFERROR(IF(N(B28)=0,"",B13/B28),"")</f>
        <v>0.9911764706</v>
      </c>
      <c r="C41" s="63" t="str">
        <f t="shared" si="15"/>
        <v/>
      </c>
      <c r="D41" s="63" t="str">
        <f t="shared" si="15"/>
        <v/>
      </c>
      <c r="E41" s="63" t="str">
        <f t="shared" si="15"/>
        <v/>
      </c>
      <c r="F41" s="63" t="str">
        <f t="shared" si="15"/>
        <v/>
      </c>
      <c r="G41" s="63">
        <f t="shared" si="15"/>
        <v>0.9911764706</v>
      </c>
      <c r="H41" s="27"/>
      <c r="I41" s="27"/>
      <c r="J41" s="6"/>
      <c r="K41" s="6"/>
      <c r="L41" s="6"/>
      <c r="M41" s="6"/>
      <c r="N41" s="6"/>
    </row>
    <row r="42">
      <c r="A42" s="23" t="s">
        <v>30</v>
      </c>
      <c r="B42" s="63">
        <f t="shared" ref="B42:G42" si="16">IFERROR(IF(N(B29)=0,"",B14/B29),"")</f>
        <v>1</v>
      </c>
      <c r="C42" s="63" t="str">
        <f t="shared" si="16"/>
        <v/>
      </c>
      <c r="D42" s="63" t="str">
        <f t="shared" si="16"/>
        <v/>
      </c>
      <c r="E42" s="63" t="str">
        <f t="shared" si="16"/>
        <v/>
      </c>
      <c r="F42" s="63" t="str">
        <f t="shared" si="16"/>
        <v/>
      </c>
      <c r="G42" s="63">
        <f t="shared" si="16"/>
        <v>1</v>
      </c>
      <c r="H42" s="27"/>
      <c r="I42" s="27"/>
      <c r="J42" s="6"/>
      <c r="K42" s="6"/>
      <c r="L42" s="6"/>
      <c r="M42" s="6"/>
      <c r="N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>
      <c r="A44" s="15" t="s">
        <v>80</v>
      </c>
      <c r="B44" s="16"/>
      <c r="C44" s="16"/>
      <c r="D44" s="16"/>
      <c r="E44" s="16"/>
      <c r="F44" s="16"/>
      <c r="G44" s="16"/>
      <c r="H44" s="16"/>
      <c r="I44" s="16"/>
      <c r="J44" s="6"/>
      <c r="K44" s="6"/>
      <c r="L44" s="6"/>
      <c r="M44" s="6"/>
      <c r="N44" s="6"/>
    </row>
    <row r="45">
      <c r="A45" s="19" t="s">
        <v>81</v>
      </c>
      <c r="B45" s="19" t="s">
        <v>15</v>
      </c>
      <c r="C45" s="19" t="s">
        <v>16</v>
      </c>
      <c r="D45" s="19" t="s">
        <v>17</v>
      </c>
      <c r="E45" s="19" t="s">
        <v>18</v>
      </c>
      <c r="F45" s="19" t="s">
        <v>19</v>
      </c>
      <c r="G45" s="19" t="s">
        <v>20</v>
      </c>
      <c r="H45" s="21"/>
      <c r="I45" s="21"/>
      <c r="J45" s="6"/>
      <c r="K45" s="6"/>
      <c r="L45" s="6"/>
      <c r="M45" s="6"/>
      <c r="N45" s="6"/>
    </row>
    <row r="46">
      <c r="A46" s="23" t="s">
        <v>83</v>
      </c>
      <c r="B46" s="24">
        <f>SUMIFS('2026-08'!$G$18:$G$77,'2026-08'!$B$18:$B$77,"2026-08",'2026-08'!$C$18:$C$77,"筆記+直播")+SUMIFS('2026-08'!$G$18:$G$77,'2026-08'!$B$18:$B$77,"2026-08",'2026-08'!$C$18:$C$77,"直播坑位费")+SUMIFS('2026-08'!$G$18:$G$77,'2026-08'!$B$18:$B$77,"2026-08",'2026-08'!$C$18:$C$77,"KOC圖文")+SUMIFS('2026-08'!$G$18:$G$77,'2026-08'!$B$18:$B$77,"2026-08",'2026-08'!$C$18:$C$77,"視頻筆記預算")+SUMIFS('2026-08'!$G$18:$G$77,'2026-08'!$B$18:$B$77,"2026-08",'2026-08'!$C$18:$C$77,"koc動画不报备")+SUMIFS('2026-09'!$G$18:$G$77,'2026-09'!$B$18:$B$77,"2026-08",'2026-09'!$C$18:$C$77,"筆記+直播")+SUMIFS('2026-09'!$G$18:$G$77,'2026-09'!$B$18:$B$77,"2026-08",'2026-09'!$C$18:$C$77,"直播坑位费")+SUMIFS('2026-09'!$G$18:$G$77,'2026-09'!$B$18:$B$77,"2026-08",'2026-09'!$C$18:$C$77,"KOC圖文")+SUMIFS('2026-09'!$G$18:$G$77,'2026-09'!$B$18:$B$77,"2026-08",'2026-09'!$C$18:$C$77,"視頻筆記預算")+SUMIFS('2026-09'!$G$18:$G$77,'2026-09'!$B$18:$B$77,"2026-08",'2026-09'!$C$18:$C$77,"koc動画不报备")+SUMIFS('2026-10'!$G$18:$G$77,'2026-10'!$B$18:$B$77,"2026-08",'2026-10'!$C$18:$C$77,"筆記+直播")+SUMIFS('2026-10'!$G$18:$G$77,'2026-10'!$B$18:$B$77,"2026-08",'2026-10'!$C$18:$C$77,"直播坑位费")+SUMIFS('2026-10'!$G$18:$G$77,'2026-10'!$B$18:$B$77,"2026-08",'2026-10'!$C$18:$C$77,"KOC圖文")+SUMIFS('2026-10'!$G$18:$G$77,'2026-10'!$B$18:$B$77,"2026-08",'2026-10'!$C$18:$C$77,"視頻筆記預算")+SUMIFS('2026-10'!$G$18:$G$77,'2026-10'!$B$18:$B$77,"2026-08",'2026-10'!$C$18:$C$77,"koc動画不报备")+SUMIFS('2026-11'!$G$18:$G$77,'2026-11'!$B$18:$B$77,"2026-08",'2026-11'!$C$18:$C$77,"筆記+直播")+SUMIFS('2026-11'!$G$18:$G$77,'2026-11'!$B$18:$B$77,"2026-08",'2026-11'!$C$18:$C$77,"直播坑位费")+SUMIFS('2026-11'!$G$18:$G$77,'2026-11'!$B$18:$B$77,"2026-08",'2026-11'!$C$18:$C$77,"KOC圖文")+SUMIFS('2026-11'!$G$18:$G$77,'2026-11'!$B$18:$B$77,"2026-08",'2026-11'!$C$18:$C$77,"視頻筆記預算")+SUMIFS('2026-11'!$G$18:$G$77,'2026-11'!$B$18:$B$77,"2026-08",'2026-11'!$C$18:$C$77,"koc動画不报备")+SUMIFS('2026-12'!$G$18:$G$77,'2026-12'!$B$18:$B$77,"2026-08",'2026-12'!$C$18:$C$77,"筆記+直播")+SUMIFS('2026-12'!$G$18:$G$77,'2026-12'!$B$18:$B$77,"2026-08",'2026-12'!$C$18:$C$77,"直播坑位费")+SUMIFS('2026-12'!$G$18:$G$77,'2026-12'!$B$18:$B$77,"2026-08",'2026-12'!$C$18:$C$77,"KOC圖文")+SUMIFS('2026-12'!$G$18:$G$77,'2026-12'!$B$18:$B$77,"2026-08",'2026-12'!$C$18:$C$77,"視頻筆記預算")+SUMIFS('2026-12'!$G$18:$G$77,'2026-12'!$B$18:$B$77,"2026-08",'2026-12'!$C$18:$C$77,"koc動画不报备")</f>
        <v>110289.76</v>
      </c>
      <c r="C46" s="24">
        <f>SUMIFS('2026-08'!$G$18:$G$77,'2026-08'!$B$18:$B$77,"2026-09",'2026-08'!$C$18:$C$77,"筆記+直播")+SUMIFS('2026-08'!$G$18:$G$77,'2026-08'!$B$18:$B$77,"2026-09",'2026-08'!$C$18:$C$77,"直播坑位费")+SUMIFS('2026-08'!$G$18:$G$77,'2026-08'!$B$18:$B$77,"2026-09",'2026-08'!$C$18:$C$77,"KOC圖文")+SUMIFS('2026-08'!$G$18:$G$77,'2026-08'!$B$18:$B$77,"2026-09",'2026-08'!$C$18:$C$77,"視頻筆記預算")+SUMIFS('2026-08'!$G$18:$G$77,'2026-08'!$B$18:$B$77,"2026-09",'2026-08'!$C$18:$C$77,"koc動画不报备")+SUMIFS('2026-09'!$G$18:$G$77,'2026-09'!$B$18:$B$77,"2026-09",'2026-09'!$C$18:$C$77,"筆記+直播")+SUMIFS('2026-09'!$G$18:$G$77,'2026-09'!$B$18:$B$77,"2026-09",'2026-09'!$C$18:$C$77,"直播坑位费")+SUMIFS('2026-09'!$G$18:$G$77,'2026-09'!$B$18:$B$77,"2026-09",'2026-09'!$C$18:$C$77,"KOC圖文")+SUMIFS('2026-09'!$G$18:$G$77,'2026-09'!$B$18:$B$77,"2026-09",'2026-09'!$C$18:$C$77,"視頻筆記預算")+SUMIFS('2026-09'!$G$18:$G$77,'2026-09'!$B$18:$B$77,"2026-09",'2026-09'!$C$18:$C$77,"koc動画不报备")+SUMIFS('2026-10'!$G$18:$G$77,'2026-10'!$B$18:$B$77,"2026-09",'2026-10'!$C$18:$C$77,"筆記+直播")+SUMIFS('2026-10'!$G$18:$G$77,'2026-10'!$B$18:$B$77,"2026-09",'2026-10'!$C$18:$C$77,"直播坑位费")+SUMIFS('2026-10'!$G$18:$G$77,'2026-10'!$B$18:$B$77,"2026-09",'2026-10'!$C$18:$C$77,"KOC圖文")+SUMIFS('2026-10'!$G$18:$G$77,'2026-10'!$B$18:$B$77,"2026-09",'2026-10'!$C$18:$C$77,"視頻筆記預算")+SUMIFS('2026-10'!$G$18:$G$77,'2026-10'!$B$18:$B$77,"2026-09",'2026-10'!$C$18:$C$77,"koc動画不报备")+SUMIFS('2026-11'!$G$18:$G$77,'2026-11'!$B$18:$B$77,"2026-09",'2026-11'!$C$18:$C$77,"筆記+直播")+SUMIFS('2026-11'!$G$18:$G$77,'2026-11'!$B$18:$B$77,"2026-09",'2026-11'!$C$18:$C$77,"直播坑位费")+SUMIFS('2026-11'!$G$18:$G$77,'2026-11'!$B$18:$B$77,"2026-09",'2026-11'!$C$18:$C$77,"KOC圖文")+SUMIFS('2026-11'!$G$18:$G$77,'2026-11'!$B$18:$B$77,"2026-09",'2026-11'!$C$18:$C$77,"視頻筆記預算")+SUMIFS('2026-11'!$G$18:$G$77,'2026-11'!$B$18:$B$77,"2026-09",'2026-11'!$C$18:$C$77,"koc動画不报备")+SUMIFS('2026-12'!$G$18:$G$77,'2026-12'!$B$18:$B$77,"2026-09",'2026-12'!$C$18:$C$77,"筆記+直播")+SUMIFS('2026-12'!$G$18:$G$77,'2026-12'!$B$18:$B$77,"2026-09",'2026-12'!$C$18:$C$77,"直播坑位费")+SUMIFS('2026-12'!$G$18:$G$77,'2026-12'!$B$18:$B$77,"2026-09",'2026-12'!$C$18:$C$77,"KOC圖文")+SUMIFS('2026-12'!$G$18:$G$77,'2026-12'!$B$18:$B$77,"2026-09",'2026-12'!$C$18:$C$77,"視頻筆記預算")+SUMIFS('2026-12'!$G$18:$G$77,'2026-12'!$B$18:$B$77,"2026-09",'2026-12'!$C$18:$C$77,"koc動画不报备")</f>
        <v>0</v>
      </c>
      <c r="D46" s="24">
        <f>SUMIFS('2026-08'!$G$18:$G$77,'2026-08'!$B$18:$B$77,"2026-10",'2026-08'!$C$18:$C$77,"筆記+直播")+SUMIFS('2026-08'!$G$18:$G$77,'2026-08'!$B$18:$B$77,"2026-10",'2026-08'!$C$18:$C$77,"直播坑位费")+SUMIFS('2026-08'!$G$18:$G$77,'2026-08'!$B$18:$B$77,"2026-10",'2026-08'!$C$18:$C$77,"KOC圖文")+SUMIFS('2026-08'!$G$18:$G$77,'2026-08'!$B$18:$B$77,"2026-10",'2026-08'!$C$18:$C$77,"視頻筆記預算")+SUMIFS('2026-08'!$G$18:$G$77,'2026-08'!$B$18:$B$77,"2026-10",'2026-08'!$C$18:$C$77,"koc動画不报备")+SUMIFS('2026-09'!$G$18:$G$77,'2026-09'!$B$18:$B$77,"2026-10",'2026-09'!$C$18:$C$77,"筆記+直播")+SUMIFS('2026-09'!$G$18:$G$77,'2026-09'!$B$18:$B$77,"2026-10",'2026-09'!$C$18:$C$77,"直播坑位费")+SUMIFS('2026-09'!$G$18:$G$77,'2026-09'!$B$18:$B$77,"2026-10",'2026-09'!$C$18:$C$77,"KOC圖文")+SUMIFS('2026-09'!$G$18:$G$77,'2026-09'!$B$18:$B$77,"2026-10",'2026-09'!$C$18:$C$77,"視頻筆記預算")+SUMIFS('2026-09'!$G$18:$G$77,'2026-09'!$B$18:$B$77,"2026-10",'2026-09'!$C$18:$C$77,"koc動画不报备")+SUMIFS('2026-10'!$G$18:$G$77,'2026-10'!$B$18:$B$77,"2026-10",'2026-10'!$C$18:$C$77,"筆記+直播")+SUMIFS('2026-10'!$G$18:$G$77,'2026-10'!$B$18:$B$77,"2026-10",'2026-10'!$C$18:$C$77,"直播坑位费")+SUMIFS('2026-10'!$G$18:$G$77,'2026-10'!$B$18:$B$77,"2026-10",'2026-10'!$C$18:$C$77,"KOC圖文")+SUMIFS('2026-10'!$G$18:$G$77,'2026-10'!$B$18:$B$77,"2026-10",'2026-10'!$C$18:$C$77,"視頻筆記預算")+SUMIFS('2026-10'!$G$18:$G$77,'2026-10'!$B$18:$B$77,"2026-10",'2026-10'!$C$18:$C$77,"koc動画不报备")+SUMIFS('2026-11'!$G$18:$G$77,'2026-11'!$B$18:$B$77,"2026-10",'2026-11'!$C$18:$C$77,"筆記+直播")+SUMIFS('2026-11'!$G$18:$G$77,'2026-11'!$B$18:$B$77,"2026-10",'2026-11'!$C$18:$C$77,"直播坑位费")+SUMIFS('2026-11'!$G$18:$G$77,'2026-11'!$B$18:$B$77,"2026-10",'2026-11'!$C$18:$C$77,"KOC圖文")+SUMIFS('2026-11'!$G$18:$G$77,'2026-11'!$B$18:$B$77,"2026-10",'2026-11'!$C$18:$C$77,"視頻筆記預算")+SUMIFS('2026-11'!$G$18:$G$77,'2026-11'!$B$18:$B$77,"2026-10",'2026-11'!$C$18:$C$77,"koc動画不报备")+SUMIFS('2026-12'!$G$18:$G$77,'2026-12'!$B$18:$B$77,"2026-10",'2026-12'!$C$18:$C$77,"筆記+直播")+SUMIFS('2026-12'!$G$18:$G$77,'2026-12'!$B$18:$B$77,"2026-10",'2026-12'!$C$18:$C$77,"直播坑位费")+SUMIFS('2026-12'!$G$18:$G$77,'2026-12'!$B$18:$B$77,"2026-10",'2026-12'!$C$18:$C$77,"KOC圖文")+SUMIFS('2026-12'!$G$18:$G$77,'2026-12'!$B$18:$B$77,"2026-10",'2026-12'!$C$18:$C$77,"視頻筆記預算")+SUMIFS('2026-12'!$G$18:$G$77,'2026-12'!$B$18:$B$77,"2026-10",'2026-12'!$C$18:$C$77,"koc動画不报备")</f>
        <v>0</v>
      </c>
      <c r="E46" s="24">
        <f>SUMIFS('2026-08'!$G$18:$G$77,'2026-08'!$B$18:$B$77,"2026-11",'2026-08'!$C$18:$C$77,"筆記+直播")+SUMIFS('2026-08'!$G$18:$G$77,'2026-08'!$B$18:$B$77,"2026-11",'2026-08'!$C$18:$C$77,"直播坑位费")+SUMIFS('2026-08'!$G$18:$G$77,'2026-08'!$B$18:$B$77,"2026-11",'2026-08'!$C$18:$C$77,"KOC圖文")+SUMIFS('2026-08'!$G$18:$G$77,'2026-08'!$B$18:$B$77,"2026-11",'2026-08'!$C$18:$C$77,"視頻筆記預算")+SUMIFS('2026-08'!$G$18:$G$77,'2026-08'!$B$18:$B$77,"2026-11",'2026-08'!$C$18:$C$77,"koc動画不报备")+SUMIFS('2026-09'!$G$18:$G$77,'2026-09'!$B$18:$B$77,"2026-11",'2026-09'!$C$18:$C$77,"筆記+直播")+SUMIFS('2026-09'!$G$18:$G$77,'2026-09'!$B$18:$B$77,"2026-11",'2026-09'!$C$18:$C$77,"直播坑位费")+SUMIFS('2026-09'!$G$18:$G$77,'2026-09'!$B$18:$B$77,"2026-11",'2026-09'!$C$18:$C$77,"KOC圖文")+SUMIFS('2026-09'!$G$18:$G$77,'2026-09'!$B$18:$B$77,"2026-11",'2026-09'!$C$18:$C$77,"視頻筆記預算")+SUMIFS('2026-09'!$G$18:$G$77,'2026-09'!$B$18:$B$77,"2026-11",'2026-09'!$C$18:$C$77,"koc動画不报备")+SUMIFS('2026-10'!$G$18:$G$77,'2026-10'!$B$18:$B$77,"2026-11",'2026-10'!$C$18:$C$77,"筆記+直播")+SUMIFS('2026-10'!$G$18:$G$77,'2026-10'!$B$18:$B$77,"2026-11",'2026-10'!$C$18:$C$77,"直播坑位费")+SUMIFS('2026-10'!$G$18:$G$77,'2026-10'!$B$18:$B$77,"2026-11",'2026-10'!$C$18:$C$77,"KOC圖文")+SUMIFS('2026-10'!$G$18:$G$77,'2026-10'!$B$18:$B$77,"2026-11",'2026-10'!$C$18:$C$77,"視頻筆記預算")+SUMIFS('2026-10'!$G$18:$G$77,'2026-10'!$B$18:$B$77,"2026-11",'2026-10'!$C$18:$C$77,"koc動画不报备")+SUMIFS('2026-11'!$G$18:$G$77,'2026-11'!$B$18:$B$77,"2026-11",'2026-11'!$C$18:$C$77,"筆記+直播")+SUMIFS('2026-11'!$G$18:$G$77,'2026-11'!$B$18:$B$77,"2026-11",'2026-11'!$C$18:$C$77,"直播坑位费")+SUMIFS('2026-11'!$G$18:$G$77,'2026-11'!$B$18:$B$77,"2026-11",'2026-11'!$C$18:$C$77,"KOC圖文")+SUMIFS('2026-11'!$G$18:$G$77,'2026-11'!$B$18:$B$77,"2026-11",'2026-11'!$C$18:$C$77,"視頻筆記預算")+SUMIFS('2026-11'!$G$18:$G$77,'2026-11'!$B$18:$B$77,"2026-11",'2026-11'!$C$18:$C$77,"koc動画不报备")+SUMIFS('2026-12'!$G$18:$G$77,'2026-12'!$B$18:$B$77,"2026-11",'2026-12'!$C$18:$C$77,"筆記+直播")+SUMIFS('2026-12'!$G$18:$G$77,'2026-12'!$B$18:$B$77,"2026-11",'2026-12'!$C$18:$C$77,"直播坑位费")+SUMIFS('2026-12'!$G$18:$G$77,'2026-12'!$B$18:$B$77,"2026-11",'2026-12'!$C$18:$C$77,"KOC圖文")+SUMIFS('2026-12'!$G$18:$G$77,'2026-12'!$B$18:$B$77,"2026-11",'2026-12'!$C$18:$C$77,"視頻筆記預算")+SUMIFS('2026-12'!$G$18:$G$77,'2026-12'!$B$18:$B$77,"2026-11",'2026-12'!$C$18:$C$77,"koc動画不报备")</f>
        <v>0</v>
      </c>
      <c r="F46" s="24">
        <f>SUMIFS('2026-08'!$G$18:$G$77,'2026-08'!$B$18:$B$77,"2026-12",'2026-08'!$C$18:$C$77,"筆記+直播")+SUMIFS('2026-08'!$G$18:$G$77,'2026-08'!$B$18:$B$77,"2026-12",'2026-08'!$C$18:$C$77,"直播坑位费")+SUMIFS('2026-08'!$G$18:$G$77,'2026-08'!$B$18:$B$77,"2026-12",'2026-08'!$C$18:$C$77,"KOC圖文")+SUMIFS('2026-08'!$G$18:$G$77,'2026-08'!$B$18:$B$77,"2026-12",'2026-08'!$C$18:$C$77,"視頻筆記預算")+SUMIFS('2026-08'!$G$18:$G$77,'2026-08'!$B$18:$B$77,"2026-12",'2026-08'!$C$18:$C$77,"koc動画不报备")+SUMIFS('2026-09'!$G$18:$G$77,'2026-09'!$B$18:$B$77,"2026-12",'2026-09'!$C$18:$C$77,"筆記+直播")+SUMIFS('2026-09'!$G$18:$G$77,'2026-09'!$B$18:$B$77,"2026-12",'2026-09'!$C$18:$C$77,"直播坑位费")+SUMIFS('2026-09'!$G$18:$G$77,'2026-09'!$B$18:$B$77,"2026-12",'2026-09'!$C$18:$C$77,"KOC圖文")+SUMIFS('2026-09'!$G$18:$G$77,'2026-09'!$B$18:$B$77,"2026-12",'2026-09'!$C$18:$C$77,"視頻筆記預算")+SUMIFS('2026-09'!$G$18:$G$77,'2026-09'!$B$18:$B$77,"2026-12",'2026-09'!$C$18:$C$77,"koc動画不报备")+SUMIFS('2026-10'!$G$18:$G$77,'2026-10'!$B$18:$B$77,"2026-12",'2026-10'!$C$18:$C$77,"筆記+直播")+SUMIFS('2026-10'!$G$18:$G$77,'2026-10'!$B$18:$B$77,"2026-12",'2026-10'!$C$18:$C$77,"直播坑位费")+SUMIFS('2026-10'!$G$18:$G$77,'2026-10'!$B$18:$B$77,"2026-12",'2026-10'!$C$18:$C$77,"KOC圖文")+SUMIFS('2026-10'!$G$18:$G$77,'2026-10'!$B$18:$B$77,"2026-12",'2026-10'!$C$18:$C$77,"視頻筆記預算")+SUMIFS('2026-10'!$G$18:$G$77,'2026-10'!$B$18:$B$77,"2026-12",'2026-10'!$C$18:$C$77,"koc動画不报备")+SUMIFS('2026-11'!$G$18:$G$77,'2026-11'!$B$18:$B$77,"2026-12",'2026-11'!$C$18:$C$77,"筆記+直播")+SUMIFS('2026-11'!$G$18:$G$77,'2026-11'!$B$18:$B$77,"2026-12",'2026-11'!$C$18:$C$77,"直播坑位费")+SUMIFS('2026-11'!$G$18:$G$77,'2026-11'!$B$18:$B$77,"2026-12",'2026-11'!$C$18:$C$77,"KOC圖文")+SUMIFS('2026-11'!$G$18:$G$77,'2026-11'!$B$18:$B$77,"2026-12",'2026-11'!$C$18:$C$77,"視頻筆記預算")+SUMIFS('2026-11'!$G$18:$G$77,'2026-11'!$B$18:$B$77,"2026-12",'2026-11'!$C$18:$C$77,"koc動画不报备")+SUMIFS('2026-12'!$G$18:$G$77,'2026-12'!$B$18:$B$77,"2026-12",'2026-12'!$C$18:$C$77,"筆記+直播")+SUMIFS('2026-12'!$G$18:$G$77,'2026-12'!$B$18:$B$77,"2026-12",'2026-12'!$C$18:$C$77,"直播坑位费")+SUMIFS('2026-12'!$G$18:$G$77,'2026-12'!$B$18:$B$77,"2026-12",'2026-12'!$C$18:$C$77,"KOC圖文")+SUMIFS('2026-12'!$G$18:$G$77,'2026-12'!$B$18:$B$77,"2026-12",'2026-12'!$C$18:$C$77,"視頻筆記預算")+SUMIFS('2026-12'!$G$18:$G$77,'2026-12'!$B$18:$B$77,"2026-12",'2026-12'!$C$18:$C$77,"koc動画不报备")</f>
        <v>0</v>
      </c>
      <c r="G46" s="24">
        <f t="shared" ref="G46:G49" si="17">SUM(B46:F46)</f>
        <v>110289.76</v>
      </c>
      <c r="H46" s="27"/>
      <c r="I46" s="27"/>
      <c r="J46" s="6"/>
      <c r="K46" s="6"/>
      <c r="L46" s="6"/>
      <c r="M46" s="6"/>
      <c r="N46" s="6"/>
    </row>
    <row r="47">
      <c r="A47" s="23" t="s">
        <v>102</v>
      </c>
      <c r="B47" s="24">
        <f>SUMIFS('2026-08'!$G$18:$G$77,'2026-08'!$B$18:$B$77,"2026-08",'2026-08'!$C$18:$C$77,"筆記+直播")+SUMIFS('2026-08'!$G$18:$G$77,'2026-08'!$B$18:$B$77,"2026-08",'2026-08'!$C$18:$C$77,"直播坑位费")+SUMIFS('2026-09'!$G$18:$G$77,'2026-09'!$B$18:$B$77,"2026-08",'2026-09'!$C$18:$C$77,"筆記+直播")+SUMIFS('2026-09'!$G$18:$G$77,'2026-09'!$B$18:$B$77,"2026-08",'2026-09'!$C$18:$C$77,"直播坑位费")+SUMIFS('2026-10'!$G$18:$G$77,'2026-10'!$B$18:$B$77,"2026-08",'2026-10'!$C$18:$C$77,"筆記+直播")+SUMIFS('2026-10'!$G$18:$G$77,'2026-10'!$B$18:$B$77,"2026-08",'2026-10'!$C$18:$C$77,"直播坑位费")+SUMIFS('2026-11'!$G$18:$G$77,'2026-11'!$B$18:$B$77,"2026-08",'2026-11'!$C$18:$C$77,"筆記+直播")+SUMIFS('2026-11'!$G$18:$G$77,'2026-11'!$B$18:$B$77,"2026-08",'2026-11'!$C$18:$C$77,"直播坑位费")+SUMIFS('2026-12'!$G$18:$G$77,'2026-12'!$B$18:$B$77,"2026-08",'2026-12'!$C$18:$C$77,"筆記+直播")+SUMIFS('2026-12'!$G$18:$G$77,'2026-12'!$B$18:$B$77,"2026-08",'2026-12'!$C$18:$C$77,"直播坑位费")</f>
        <v>93762</v>
      </c>
      <c r="C47" s="24">
        <f>SUMIFS('2026-08'!$G$18:$G$77,'2026-08'!$B$18:$B$77,"2026-09",'2026-08'!$C$18:$C$77,"筆記+直播")+SUMIFS('2026-08'!$G$18:$G$77,'2026-08'!$B$18:$B$77,"2026-09",'2026-08'!$C$18:$C$77,"直播坑位费")+SUMIFS('2026-09'!$G$18:$G$77,'2026-09'!$B$18:$B$77,"2026-09",'2026-09'!$C$18:$C$77,"筆記+直播")+SUMIFS('2026-09'!$G$18:$G$77,'2026-09'!$B$18:$B$77,"2026-09",'2026-09'!$C$18:$C$77,"直播坑位费")+SUMIFS('2026-10'!$G$18:$G$77,'2026-10'!$B$18:$B$77,"2026-09",'2026-10'!$C$18:$C$77,"筆記+直播")+SUMIFS('2026-10'!$G$18:$G$77,'2026-10'!$B$18:$B$77,"2026-09",'2026-10'!$C$18:$C$77,"直播坑位费")+SUMIFS('2026-11'!$G$18:$G$77,'2026-11'!$B$18:$B$77,"2026-09",'2026-11'!$C$18:$C$77,"筆記+直播")+SUMIFS('2026-11'!$G$18:$G$77,'2026-11'!$B$18:$B$77,"2026-09",'2026-11'!$C$18:$C$77,"直播坑位费")+SUMIFS('2026-12'!$G$18:$G$77,'2026-12'!$B$18:$B$77,"2026-09",'2026-12'!$C$18:$C$77,"筆記+直播")+SUMIFS('2026-12'!$G$18:$G$77,'2026-12'!$B$18:$B$77,"2026-09",'2026-12'!$C$18:$C$77,"直播坑位费")</f>
        <v>0</v>
      </c>
      <c r="D47" s="24">
        <f>SUMIFS('2026-08'!$G$18:$G$77,'2026-08'!$B$18:$B$77,"2026-10",'2026-08'!$C$18:$C$77,"筆記+直播")+SUMIFS('2026-08'!$G$18:$G$77,'2026-08'!$B$18:$B$77,"2026-10",'2026-08'!$C$18:$C$77,"直播坑位费")+SUMIFS('2026-09'!$G$18:$G$77,'2026-09'!$B$18:$B$77,"2026-10",'2026-09'!$C$18:$C$77,"筆記+直播")+SUMIFS('2026-09'!$G$18:$G$77,'2026-09'!$B$18:$B$77,"2026-10",'2026-09'!$C$18:$C$77,"直播坑位费")+SUMIFS('2026-10'!$G$18:$G$77,'2026-10'!$B$18:$B$77,"2026-10",'2026-10'!$C$18:$C$77,"筆記+直播")+SUMIFS('2026-10'!$G$18:$G$77,'2026-10'!$B$18:$B$77,"2026-10",'2026-10'!$C$18:$C$77,"直播坑位费")+SUMIFS('2026-11'!$G$18:$G$77,'2026-11'!$B$18:$B$77,"2026-10",'2026-11'!$C$18:$C$77,"筆記+直播")+SUMIFS('2026-11'!$G$18:$G$77,'2026-11'!$B$18:$B$77,"2026-10",'2026-11'!$C$18:$C$77,"直播坑位费")+SUMIFS('2026-12'!$G$18:$G$77,'2026-12'!$B$18:$B$77,"2026-10",'2026-12'!$C$18:$C$77,"筆記+直播")+SUMIFS('2026-12'!$G$18:$G$77,'2026-12'!$B$18:$B$77,"2026-10",'2026-12'!$C$18:$C$77,"直播坑位费")</f>
        <v>0</v>
      </c>
      <c r="E47" s="24">
        <f>SUMIFS('2026-08'!$G$18:$G$77,'2026-08'!$B$18:$B$77,"2026-11",'2026-08'!$C$18:$C$77,"筆記+直播")+SUMIFS('2026-08'!$G$18:$G$77,'2026-08'!$B$18:$B$77,"2026-11",'2026-08'!$C$18:$C$77,"直播坑位费")+SUMIFS('2026-09'!$G$18:$G$77,'2026-09'!$B$18:$B$77,"2026-11",'2026-09'!$C$18:$C$77,"筆記+直播")+SUMIFS('2026-09'!$G$18:$G$77,'2026-09'!$B$18:$B$77,"2026-11",'2026-09'!$C$18:$C$77,"直播坑位费")+SUMIFS('2026-10'!$G$18:$G$77,'2026-10'!$B$18:$B$77,"2026-11",'2026-10'!$C$18:$C$77,"筆記+直播")+SUMIFS('2026-10'!$G$18:$G$77,'2026-10'!$B$18:$B$77,"2026-11",'2026-10'!$C$18:$C$77,"直播坑位费")+SUMIFS('2026-11'!$G$18:$G$77,'2026-11'!$B$18:$B$77,"2026-11",'2026-11'!$C$18:$C$77,"筆記+直播")+SUMIFS('2026-11'!$G$18:$G$77,'2026-11'!$B$18:$B$77,"2026-11",'2026-11'!$C$18:$C$77,"直播坑位费")+SUMIFS('2026-12'!$G$18:$G$77,'2026-12'!$B$18:$B$77,"2026-11",'2026-12'!$C$18:$C$77,"筆記+直播")+SUMIFS('2026-12'!$G$18:$G$77,'2026-12'!$B$18:$B$77,"2026-11",'2026-12'!$C$18:$C$77,"直播坑位费")</f>
        <v>0</v>
      </c>
      <c r="F47" s="24">
        <f>SUMIFS('2026-08'!$G$18:$G$77,'2026-08'!$B$18:$B$77,"2026-12",'2026-08'!$C$18:$C$77,"筆記+直播")+SUMIFS('2026-08'!$G$18:$G$77,'2026-08'!$B$18:$B$77,"2026-12",'2026-08'!$C$18:$C$77,"直播坑位费")+SUMIFS('2026-09'!$G$18:$G$77,'2026-09'!$B$18:$B$77,"2026-12",'2026-09'!$C$18:$C$77,"筆記+直播")+SUMIFS('2026-09'!$G$18:$G$77,'2026-09'!$B$18:$B$77,"2026-12",'2026-09'!$C$18:$C$77,"直播坑位费")+SUMIFS('2026-10'!$G$18:$G$77,'2026-10'!$B$18:$B$77,"2026-12",'2026-10'!$C$18:$C$77,"筆記+直播")+SUMIFS('2026-10'!$G$18:$G$77,'2026-10'!$B$18:$B$77,"2026-12",'2026-10'!$C$18:$C$77,"直播坑位费")+SUMIFS('2026-11'!$G$18:$G$77,'2026-11'!$B$18:$B$77,"2026-12",'2026-11'!$C$18:$C$77,"筆記+直播")+SUMIFS('2026-11'!$G$18:$G$77,'2026-11'!$B$18:$B$77,"2026-12",'2026-11'!$C$18:$C$77,"直播坑位费")+SUMIFS('2026-12'!$G$18:$G$77,'2026-12'!$B$18:$B$77,"2026-12",'2026-12'!$C$18:$C$77,"筆記+直播")+SUMIFS('2026-12'!$G$18:$G$77,'2026-12'!$B$18:$B$77,"2026-12",'2026-12'!$C$18:$C$77,"直播坑位费")</f>
        <v>0</v>
      </c>
      <c r="G47" s="24">
        <f t="shared" si="17"/>
        <v>93762</v>
      </c>
      <c r="H47" s="27"/>
      <c r="I47" s="27"/>
      <c r="J47" s="6"/>
      <c r="K47" s="6"/>
      <c r="L47" s="6"/>
      <c r="M47" s="6"/>
      <c r="N47" s="6"/>
    </row>
    <row r="48">
      <c r="A48" s="23" t="s">
        <v>103</v>
      </c>
      <c r="B48" s="24">
        <f>SUMIFS('2026-08'!$G$18:$G$77,'2026-08'!$B$18:$B$77,"2026-08",'2026-08'!$C$18:$C$77,"KOC圖文")+SUMIFS('2026-08'!$G$18:$G$77,'2026-08'!$B$18:$B$77,"2026-08",'2026-08'!$C$18:$C$77,"視頻筆記預算")+SUMIFS('2026-08'!$G$18:$G$77,'2026-08'!$B$18:$B$77,"2026-08",'2026-08'!$C$18:$C$77,"koc動画不报备")+SUMIFS('2026-09'!$G$18:$G$77,'2026-09'!$B$18:$B$77,"2026-08",'2026-09'!$C$18:$C$77,"KOC圖文")+SUMIFS('2026-09'!$G$18:$G$77,'2026-09'!$B$18:$B$77,"2026-08",'2026-09'!$C$18:$C$77,"視頻筆記預算")+SUMIFS('2026-09'!$G$18:$G$77,'2026-09'!$B$18:$B$77,"2026-08",'2026-09'!$C$18:$C$77,"koc動画不报备")+SUMIFS('2026-10'!$G$18:$G$77,'2026-10'!$B$18:$B$77,"2026-08",'2026-10'!$C$18:$C$77,"KOC圖文")+SUMIFS('2026-10'!$G$18:$G$77,'2026-10'!$B$18:$B$77,"2026-08",'2026-10'!$C$18:$C$77,"視頻筆記預算")+SUMIFS('2026-10'!$G$18:$G$77,'2026-10'!$B$18:$B$77,"2026-08",'2026-10'!$C$18:$C$77,"koc動画不报备")+SUMIFS('2026-11'!$G$18:$G$77,'2026-11'!$B$18:$B$77,"2026-08",'2026-11'!$C$18:$C$77,"KOC圖文")+SUMIFS('2026-11'!$G$18:$G$77,'2026-11'!$B$18:$B$77,"2026-08",'2026-11'!$C$18:$C$77,"視頻筆記預算")+SUMIFS('2026-11'!$G$18:$G$77,'2026-11'!$B$18:$B$77,"2026-08",'2026-11'!$C$18:$C$77,"koc動画不报备")+SUMIFS('2026-12'!$G$18:$G$77,'2026-12'!$B$18:$B$77,"2026-08",'2026-12'!$C$18:$C$77,"KOC圖文")+SUMIFS('2026-12'!$G$18:$G$77,'2026-12'!$B$18:$B$77,"2026-08",'2026-12'!$C$18:$C$77,"視頻筆記預算")+SUMIFS('2026-12'!$G$18:$G$77,'2026-12'!$B$18:$B$77,"2026-08",'2026-12'!$C$18:$C$77,"koc動画不报备")</f>
        <v>16527.76</v>
      </c>
      <c r="C48" s="24">
        <f>SUMIFS('2026-08'!$G$18:$G$77,'2026-08'!$B$18:$B$77,"2026-09",'2026-08'!$C$18:$C$77,"KOC圖文")+SUMIFS('2026-08'!$G$18:$G$77,'2026-08'!$B$18:$B$77,"2026-09",'2026-08'!$C$18:$C$77,"視頻筆記預算")+SUMIFS('2026-08'!$G$18:$G$77,'2026-08'!$B$18:$B$77,"2026-09",'2026-08'!$C$18:$C$77,"koc動画不报备")+SUMIFS('2026-09'!$G$18:$G$77,'2026-09'!$B$18:$B$77,"2026-09",'2026-09'!$C$18:$C$77,"KOC圖文")+SUMIFS('2026-09'!$G$18:$G$77,'2026-09'!$B$18:$B$77,"2026-09",'2026-09'!$C$18:$C$77,"視頻筆記預算")+SUMIFS('2026-09'!$G$18:$G$77,'2026-09'!$B$18:$B$77,"2026-09",'2026-09'!$C$18:$C$77,"koc動画不报备")+SUMIFS('2026-10'!$G$18:$G$77,'2026-10'!$B$18:$B$77,"2026-09",'2026-10'!$C$18:$C$77,"KOC圖文")+SUMIFS('2026-10'!$G$18:$G$77,'2026-10'!$B$18:$B$77,"2026-09",'2026-10'!$C$18:$C$77,"視頻筆記預算")+SUMIFS('2026-10'!$G$18:$G$77,'2026-10'!$B$18:$B$77,"2026-09",'2026-10'!$C$18:$C$77,"koc動画不报备")+SUMIFS('2026-11'!$G$18:$G$77,'2026-11'!$B$18:$B$77,"2026-09",'2026-11'!$C$18:$C$77,"KOC圖文")+SUMIFS('2026-11'!$G$18:$G$77,'2026-11'!$B$18:$B$77,"2026-09",'2026-11'!$C$18:$C$77,"視頻筆記預算")+SUMIFS('2026-11'!$G$18:$G$77,'2026-11'!$B$18:$B$77,"2026-09",'2026-11'!$C$18:$C$77,"koc動画不报备")+SUMIFS('2026-12'!$G$18:$G$77,'2026-12'!$B$18:$B$77,"2026-09",'2026-12'!$C$18:$C$77,"KOC圖文")+SUMIFS('2026-12'!$G$18:$G$77,'2026-12'!$B$18:$B$77,"2026-09",'2026-12'!$C$18:$C$77,"視頻筆記預算")+SUMIFS('2026-12'!$G$18:$G$77,'2026-12'!$B$18:$B$77,"2026-09",'2026-12'!$C$18:$C$77,"koc動画不报备")</f>
        <v>0</v>
      </c>
      <c r="D48" s="24">
        <f>SUMIFS('2026-08'!$G$18:$G$77,'2026-08'!$B$18:$B$77,"2026-10",'2026-08'!$C$18:$C$77,"KOC圖文")+SUMIFS('2026-08'!$G$18:$G$77,'2026-08'!$B$18:$B$77,"2026-10",'2026-08'!$C$18:$C$77,"視頻筆記預算")+SUMIFS('2026-08'!$G$18:$G$77,'2026-08'!$B$18:$B$77,"2026-10",'2026-08'!$C$18:$C$77,"koc動画不报备")+SUMIFS('2026-09'!$G$18:$G$77,'2026-09'!$B$18:$B$77,"2026-10",'2026-09'!$C$18:$C$77,"KOC圖文")+SUMIFS('2026-09'!$G$18:$G$77,'2026-09'!$B$18:$B$77,"2026-10",'2026-09'!$C$18:$C$77,"視頻筆記預算")+SUMIFS('2026-09'!$G$18:$G$77,'2026-09'!$B$18:$B$77,"2026-10",'2026-09'!$C$18:$C$77,"koc動画不报备")+SUMIFS('2026-10'!$G$18:$G$77,'2026-10'!$B$18:$B$77,"2026-10",'2026-10'!$C$18:$C$77,"KOC圖文")+SUMIFS('2026-10'!$G$18:$G$77,'2026-10'!$B$18:$B$77,"2026-10",'2026-10'!$C$18:$C$77,"視頻筆記預算")+SUMIFS('2026-10'!$G$18:$G$77,'2026-10'!$B$18:$B$77,"2026-10",'2026-10'!$C$18:$C$77,"koc動画不报备")+SUMIFS('2026-11'!$G$18:$G$77,'2026-11'!$B$18:$B$77,"2026-10",'2026-11'!$C$18:$C$77,"KOC圖文")+SUMIFS('2026-11'!$G$18:$G$77,'2026-11'!$B$18:$B$77,"2026-10",'2026-11'!$C$18:$C$77,"視頻筆記預算")+SUMIFS('2026-11'!$G$18:$G$77,'2026-11'!$B$18:$B$77,"2026-10",'2026-11'!$C$18:$C$77,"koc動画不报备")+SUMIFS('2026-12'!$G$18:$G$77,'2026-12'!$B$18:$B$77,"2026-10",'2026-12'!$C$18:$C$77,"KOC圖文")+SUMIFS('2026-12'!$G$18:$G$77,'2026-12'!$B$18:$B$77,"2026-10",'2026-12'!$C$18:$C$77,"視頻筆記預算")+SUMIFS('2026-12'!$G$18:$G$77,'2026-12'!$B$18:$B$77,"2026-10",'2026-12'!$C$18:$C$77,"koc動画不报备")</f>
        <v>0</v>
      </c>
      <c r="E48" s="24">
        <f>SUMIFS('2026-08'!$G$18:$G$77,'2026-08'!$B$18:$B$77,"2026-11",'2026-08'!$C$18:$C$77,"KOC圖文")+SUMIFS('2026-08'!$G$18:$G$77,'2026-08'!$B$18:$B$77,"2026-11",'2026-08'!$C$18:$C$77,"視頻筆記預算")+SUMIFS('2026-08'!$G$18:$G$77,'2026-08'!$B$18:$B$77,"2026-11",'2026-08'!$C$18:$C$77,"koc動画不报备")+SUMIFS('2026-09'!$G$18:$G$77,'2026-09'!$B$18:$B$77,"2026-11",'2026-09'!$C$18:$C$77,"KOC圖文")+SUMIFS('2026-09'!$G$18:$G$77,'2026-09'!$B$18:$B$77,"2026-11",'2026-09'!$C$18:$C$77,"視頻筆記預算")+SUMIFS('2026-09'!$G$18:$G$77,'2026-09'!$B$18:$B$77,"2026-11",'2026-09'!$C$18:$C$77,"koc動画不报备")+SUMIFS('2026-10'!$G$18:$G$77,'2026-10'!$B$18:$B$77,"2026-11",'2026-10'!$C$18:$C$77,"KOC圖文")+SUMIFS('2026-10'!$G$18:$G$77,'2026-10'!$B$18:$B$77,"2026-11",'2026-10'!$C$18:$C$77,"視頻筆記預算")+SUMIFS('2026-10'!$G$18:$G$77,'2026-10'!$B$18:$B$77,"2026-11",'2026-10'!$C$18:$C$77,"koc動画不报备")+SUMIFS('2026-11'!$G$18:$G$77,'2026-11'!$B$18:$B$77,"2026-11",'2026-11'!$C$18:$C$77,"KOC圖文")+SUMIFS('2026-11'!$G$18:$G$77,'2026-11'!$B$18:$B$77,"2026-11",'2026-11'!$C$18:$C$77,"視頻筆記預算")+SUMIFS('2026-11'!$G$18:$G$77,'2026-11'!$B$18:$B$77,"2026-11",'2026-11'!$C$18:$C$77,"koc動画不报备")+SUMIFS('2026-12'!$G$18:$G$77,'2026-12'!$B$18:$B$77,"2026-11",'2026-12'!$C$18:$C$77,"KOC圖文")+SUMIFS('2026-12'!$G$18:$G$77,'2026-12'!$B$18:$B$77,"2026-11",'2026-12'!$C$18:$C$77,"視頻筆記預算")+SUMIFS('2026-12'!$G$18:$G$77,'2026-12'!$B$18:$B$77,"2026-11",'2026-12'!$C$18:$C$77,"koc動画不报备")</f>
        <v>0</v>
      </c>
      <c r="F48" s="24">
        <f>SUMIFS('2026-08'!$G$18:$G$77,'2026-08'!$B$18:$B$77,"2026-12",'2026-08'!$C$18:$C$77,"KOC圖文")+SUMIFS('2026-08'!$G$18:$G$77,'2026-08'!$B$18:$B$77,"2026-12",'2026-08'!$C$18:$C$77,"視頻筆記預算")+SUMIFS('2026-08'!$G$18:$G$77,'2026-08'!$B$18:$B$77,"2026-12",'2026-08'!$C$18:$C$77,"koc動画不报备")+SUMIFS('2026-09'!$G$18:$G$77,'2026-09'!$B$18:$B$77,"2026-12",'2026-09'!$C$18:$C$77,"KOC圖文")+SUMIFS('2026-09'!$G$18:$G$77,'2026-09'!$B$18:$B$77,"2026-12",'2026-09'!$C$18:$C$77,"視頻筆記預算")+SUMIFS('2026-09'!$G$18:$G$77,'2026-09'!$B$18:$B$77,"2026-12",'2026-09'!$C$18:$C$77,"koc動画不报备")+SUMIFS('2026-10'!$G$18:$G$77,'2026-10'!$B$18:$B$77,"2026-12",'2026-10'!$C$18:$C$77,"KOC圖文")+SUMIFS('2026-10'!$G$18:$G$77,'2026-10'!$B$18:$B$77,"2026-12",'2026-10'!$C$18:$C$77,"視頻筆記預算")+SUMIFS('2026-10'!$G$18:$G$77,'2026-10'!$B$18:$B$77,"2026-12",'2026-10'!$C$18:$C$77,"koc動画不报备")+SUMIFS('2026-11'!$G$18:$G$77,'2026-11'!$B$18:$B$77,"2026-12",'2026-11'!$C$18:$C$77,"KOC圖文")+SUMIFS('2026-11'!$G$18:$G$77,'2026-11'!$B$18:$B$77,"2026-12",'2026-11'!$C$18:$C$77,"視頻筆記預算")+SUMIFS('2026-11'!$G$18:$G$77,'2026-11'!$B$18:$B$77,"2026-12",'2026-11'!$C$18:$C$77,"koc動画不报备")+SUMIFS('2026-12'!$G$18:$G$77,'2026-12'!$B$18:$B$77,"2026-12",'2026-12'!$C$18:$C$77,"KOC圖文")+SUMIFS('2026-12'!$G$18:$G$77,'2026-12'!$B$18:$B$77,"2026-12",'2026-12'!$C$18:$C$77,"視頻筆記預算")+SUMIFS('2026-12'!$G$18:$G$77,'2026-12'!$B$18:$B$77,"2026-12",'2026-12'!$C$18:$C$77,"koc動画不报备")</f>
        <v>0</v>
      </c>
      <c r="G48" s="24">
        <f t="shared" si="17"/>
        <v>16527.76</v>
      </c>
      <c r="H48" s="27"/>
      <c r="I48" s="27"/>
      <c r="J48" s="6"/>
      <c r="K48" s="6"/>
      <c r="L48" s="6"/>
      <c r="M48" s="6"/>
      <c r="N48" s="6"/>
    </row>
    <row r="49">
      <c r="A49" s="23" t="s">
        <v>40</v>
      </c>
      <c r="B49" s="24">
        <f>SUMIFS('2026-08'!$J$18:$J$77,'2026-08'!$B$18:$B$77,"2026-08")+SUMIFS('2026-09'!$J$18:$J$77,'2026-09'!$B$18:$B$77,"2026-08")+SUMIFS('2026-10'!$J$18:$J$77,'2026-10'!$B$18:$B$77,"2026-08")+SUMIFS('2026-11'!$J$18:$J$77,'2026-11'!$B$18:$B$77,"2026-08")+SUMIFS('2026-12'!$J$18:$J$77,'2026-12'!$B$18:$B$77,"2026-08")</f>
        <v>28475</v>
      </c>
      <c r="C49" s="24">
        <f>SUMIFS('2026-08'!$J$18:$J$77,'2026-08'!$B$18:$B$77,"2026-09")+SUMIFS('2026-09'!$J$18:$J$77,'2026-09'!$B$18:$B$77,"2026-09")+SUMIFS('2026-10'!$J$18:$J$77,'2026-10'!$B$18:$B$77,"2026-09")+SUMIFS('2026-11'!$J$18:$J$77,'2026-11'!$B$18:$B$77,"2026-09")+SUMIFS('2026-12'!$J$18:$J$77,'2026-12'!$B$18:$B$77,"2026-09")</f>
        <v>0</v>
      </c>
      <c r="D49" s="24">
        <f>SUMIFS('2026-08'!$J$18:$J$77,'2026-08'!$B$18:$B$77,"2026-10")+SUMIFS('2026-09'!$J$18:$J$77,'2026-09'!$B$18:$B$77,"2026-10")+SUMIFS('2026-10'!$J$18:$J$77,'2026-10'!$B$18:$B$77,"2026-10")+SUMIFS('2026-11'!$J$18:$J$77,'2026-11'!$B$18:$B$77,"2026-10")+SUMIFS('2026-12'!$J$18:$J$77,'2026-12'!$B$18:$B$77,"2026-10")</f>
        <v>0</v>
      </c>
      <c r="E49" s="24">
        <f>SUMIFS('2026-08'!$J$18:$J$77,'2026-08'!$B$18:$B$77,"2026-11")+SUMIFS('2026-09'!$J$18:$J$77,'2026-09'!$B$18:$B$77,"2026-11")+SUMIFS('2026-10'!$J$18:$J$77,'2026-10'!$B$18:$B$77,"2026-11")+SUMIFS('2026-11'!$J$18:$J$77,'2026-11'!$B$18:$B$77,"2026-11")+SUMIFS('2026-12'!$J$18:$J$77,'2026-12'!$B$18:$B$77,"2026-11")</f>
        <v>0</v>
      </c>
      <c r="F49" s="24">
        <f>SUMIFS('2026-08'!$J$18:$J$77,'2026-08'!$B$18:$B$77,"2026-12")+SUMIFS('2026-09'!$J$18:$J$77,'2026-09'!$B$18:$B$77,"2026-12")+SUMIFS('2026-10'!$J$18:$J$77,'2026-10'!$B$18:$B$77,"2026-12")+SUMIFS('2026-11'!$J$18:$J$77,'2026-11'!$B$18:$B$77,"2026-12")+SUMIFS('2026-12'!$J$18:$J$77,'2026-12'!$B$18:$B$77,"2026-12")</f>
        <v>0</v>
      </c>
      <c r="G49" s="24">
        <f t="shared" si="17"/>
        <v>28475</v>
      </c>
      <c r="H49" s="27"/>
      <c r="I49" s="27"/>
      <c r="J49" s="6"/>
      <c r="K49" s="6"/>
      <c r="L49" s="6"/>
      <c r="M49" s="6"/>
      <c r="N49" s="6"/>
    </row>
    <row r="50">
      <c r="A50" s="53" t="s">
        <v>41</v>
      </c>
      <c r="B50" s="72">
        <f t="shared" ref="B50:F50" si="18">IFERROR(IF(N(B46)=0,"",B49/B46),"")</f>
        <v>0.258183534</v>
      </c>
      <c r="C50" s="72" t="str">
        <f t="shared" si="18"/>
        <v/>
      </c>
      <c r="D50" s="72" t="str">
        <f t="shared" si="18"/>
        <v/>
      </c>
      <c r="E50" s="72" t="str">
        <f t="shared" si="18"/>
        <v/>
      </c>
      <c r="F50" s="72" t="str">
        <f t="shared" si="18"/>
        <v/>
      </c>
      <c r="G50" s="72">
        <f>IFERROR(G49/G46,"")</f>
        <v>0.258183534</v>
      </c>
      <c r="H50" s="58"/>
      <c r="I50" s="58"/>
      <c r="J50" s="6"/>
      <c r="K50" s="6"/>
      <c r="L50" s="6"/>
      <c r="M50" s="6"/>
      <c r="N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>
      <c r="A52" s="15" t="s">
        <v>104</v>
      </c>
      <c r="B52" s="16"/>
      <c r="C52" s="16"/>
      <c r="D52" s="16"/>
      <c r="E52" s="16"/>
      <c r="F52" s="16"/>
      <c r="G52" s="16"/>
      <c r="H52" s="16"/>
      <c r="I52" s="16"/>
      <c r="J52" s="6"/>
      <c r="K52" s="6"/>
      <c r="L52" s="6"/>
      <c r="M52" s="6"/>
      <c r="N52" s="6"/>
    </row>
    <row r="53">
      <c r="A53" s="73" t="s">
        <v>105</v>
      </c>
      <c r="B53" s="74"/>
      <c r="C53" s="74"/>
      <c r="D53" s="74"/>
      <c r="E53" s="74"/>
      <c r="F53" s="74"/>
      <c r="G53" s="74"/>
      <c r="H53" s="74"/>
      <c r="I53" s="74"/>
      <c r="J53" s="6"/>
      <c r="K53" s="6"/>
      <c r="L53" s="6"/>
      <c r="M53" s="6"/>
      <c r="N53" s="6"/>
    </row>
    <row r="54">
      <c r="A54" s="73" t="s">
        <v>106</v>
      </c>
      <c r="B54" s="74"/>
      <c r="C54" s="74"/>
      <c r="D54" s="74"/>
      <c r="E54" s="74"/>
      <c r="F54" s="74"/>
      <c r="G54" s="74"/>
      <c r="H54" s="74"/>
      <c r="I54" s="74"/>
      <c r="J54" s="6"/>
      <c r="K54" s="6"/>
      <c r="L54" s="6"/>
      <c r="M54" s="6"/>
      <c r="N54" s="6"/>
    </row>
    <row r="55">
      <c r="A55" s="73" t="s">
        <v>107</v>
      </c>
      <c r="B55" s="74"/>
      <c r="C55" s="74"/>
      <c r="D55" s="74"/>
      <c r="E55" s="74"/>
      <c r="F55" s="74"/>
      <c r="G55" s="74"/>
      <c r="H55" s="74"/>
      <c r="I55" s="74"/>
      <c r="J55" s="6"/>
      <c r="K55" s="6"/>
      <c r="L55" s="6"/>
      <c r="M55" s="6"/>
      <c r="N55" s="6"/>
    </row>
    <row r="56">
      <c r="A56" s="73" t="s">
        <v>108</v>
      </c>
      <c r="B56" s="74"/>
      <c r="C56" s="74"/>
      <c r="D56" s="74"/>
      <c r="E56" s="74"/>
      <c r="F56" s="74"/>
      <c r="G56" s="74"/>
      <c r="H56" s="74"/>
      <c r="I56" s="74"/>
      <c r="J56" s="6"/>
      <c r="K56" s="6"/>
      <c r="L56" s="6"/>
      <c r="M56" s="6"/>
      <c r="N56" s="6"/>
    </row>
    <row r="57">
      <c r="A57" s="73" t="s">
        <v>109</v>
      </c>
      <c r="B57" s="74"/>
      <c r="C57" s="74"/>
      <c r="D57" s="74"/>
      <c r="E57" s="74"/>
      <c r="F57" s="74"/>
      <c r="G57" s="74"/>
      <c r="H57" s="74"/>
      <c r="I57" s="74"/>
      <c r="J57" s="6"/>
      <c r="K57" s="6"/>
      <c r="L57" s="6"/>
      <c r="M57" s="6"/>
      <c r="N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25"/>
    <col customWidth="1" min="2" max="2" width="11.63"/>
    <col customWidth="1" min="3" max="3" width="21.63"/>
    <col customWidth="1" min="4" max="4" width="18.63"/>
    <col customWidth="1" min="5" max="5" width="25.75"/>
    <col customWidth="1" min="6" max="6" width="17.63"/>
    <col customWidth="1" min="7" max="7" width="15.38"/>
    <col customWidth="1" min="8" max="8" width="14.88"/>
    <col customWidth="1" min="9" max="9" width="12.63"/>
    <col customWidth="1" min="10" max="10" width="14.13"/>
    <col customWidth="1" min="11" max="11" width="10.63"/>
    <col customWidth="1" min="12" max="12" width="23.88"/>
  </cols>
  <sheetData>
    <row r="1">
      <c r="A1" s="1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8"/>
    </row>
    <row r="2">
      <c r="A2" s="5" t="s">
        <v>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8"/>
    </row>
    <row r="3">
      <c r="A3" s="7" t="s">
        <v>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8"/>
    </row>
    <row r="4">
      <c r="A4" s="11" t="s">
        <v>7</v>
      </c>
      <c r="B4" s="12"/>
      <c r="C4" s="13"/>
      <c r="D4" s="14" t="s">
        <v>8</v>
      </c>
      <c r="E4" s="13"/>
      <c r="F4" s="14" t="s">
        <v>10</v>
      </c>
      <c r="G4" s="13"/>
      <c r="H4" s="17" t="s">
        <v>11</v>
      </c>
      <c r="I4" s="18" t="s">
        <v>12</v>
      </c>
      <c r="J4" s="11" t="s">
        <v>13</v>
      </c>
      <c r="K4" s="12"/>
      <c r="L4" s="1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8"/>
    </row>
    <row r="5">
      <c r="A5" s="20" t="s">
        <v>14</v>
      </c>
      <c r="B5" s="12"/>
      <c r="C5" s="13"/>
      <c r="D5" s="22">
        <v>99600.0</v>
      </c>
      <c r="E5" s="13"/>
      <c r="F5" s="22">
        <f t="shared" ref="F5:F13" si="1">SUMIF($C$18:$C$77,$A5,$G$18:$G$77)</f>
        <v>81430</v>
      </c>
      <c r="G5" s="13"/>
      <c r="H5" s="25">
        <f t="shared" ref="H5:H14" si="2">IF(N(D5)=0,"",D5-F5)</f>
        <v>18170</v>
      </c>
      <c r="I5" s="26">
        <f t="shared" ref="I5:I14" si="3">IF(N(D5)=0,"",F5/D5)</f>
        <v>0.8175702811</v>
      </c>
      <c r="J5" s="28" t="s">
        <v>21</v>
      </c>
      <c r="K5" s="12"/>
      <c r="L5" s="1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8"/>
    </row>
    <row r="6">
      <c r="A6" s="20" t="s">
        <v>22</v>
      </c>
      <c r="B6" s="12"/>
      <c r="C6" s="13"/>
      <c r="D6" s="22">
        <v>15000.0</v>
      </c>
      <c r="E6" s="13"/>
      <c r="F6" s="22">
        <f t="shared" si="1"/>
        <v>12332</v>
      </c>
      <c r="G6" s="13"/>
      <c r="H6" s="25">
        <f t="shared" si="2"/>
        <v>2668</v>
      </c>
      <c r="I6" s="26">
        <f t="shared" si="3"/>
        <v>0.8221333333</v>
      </c>
      <c r="J6" s="28" t="s">
        <v>21</v>
      </c>
      <c r="K6" s="12"/>
      <c r="L6" s="1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8"/>
    </row>
    <row r="7">
      <c r="A7" s="20" t="s">
        <v>23</v>
      </c>
      <c r="B7" s="12"/>
      <c r="C7" s="13"/>
      <c r="D7" s="22">
        <v>26250.0</v>
      </c>
      <c r="E7" s="13"/>
      <c r="F7" s="22">
        <f t="shared" si="1"/>
        <v>5367.76</v>
      </c>
      <c r="G7" s="13"/>
      <c r="H7" s="25">
        <f t="shared" si="2"/>
        <v>20882.24</v>
      </c>
      <c r="I7" s="26">
        <f t="shared" si="3"/>
        <v>0.2044860952</v>
      </c>
      <c r="J7" s="28" t="s">
        <v>21</v>
      </c>
      <c r="K7" s="12"/>
      <c r="L7" s="1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8"/>
    </row>
    <row r="8">
      <c r="A8" s="20" t="s">
        <v>24</v>
      </c>
      <c r="B8" s="12"/>
      <c r="C8" s="13"/>
      <c r="D8" s="22">
        <v>1500.0</v>
      </c>
      <c r="E8" s="13"/>
      <c r="F8" s="22">
        <f t="shared" si="1"/>
        <v>10010</v>
      </c>
      <c r="G8" s="13"/>
      <c r="H8" s="25">
        <f t="shared" si="2"/>
        <v>-8510</v>
      </c>
      <c r="I8" s="26">
        <f t="shared" si="3"/>
        <v>6.673333333</v>
      </c>
      <c r="J8" s="28" t="s">
        <v>21</v>
      </c>
      <c r="K8" s="12"/>
      <c r="L8" s="1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8"/>
    </row>
    <row r="9">
      <c r="A9" s="20" t="s">
        <v>25</v>
      </c>
      <c r="B9" s="12"/>
      <c r="C9" s="13"/>
      <c r="D9" s="22">
        <v>7500.0</v>
      </c>
      <c r="E9" s="13"/>
      <c r="F9" s="22">
        <f t="shared" si="1"/>
        <v>1150</v>
      </c>
      <c r="G9" s="13"/>
      <c r="H9" s="25">
        <f t="shared" si="2"/>
        <v>6350</v>
      </c>
      <c r="I9" s="26">
        <f t="shared" si="3"/>
        <v>0.1533333333</v>
      </c>
      <c r="J9" s="28" t="s">
        <v>21</v>
      </c>
      <c r="K9" s="12"/>
      <c r="L9" s="1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8"/>
    </row>
    <row r="10">
      <c r="A10" s="29" t="s">
        <v>26</v>
      </c>
      <c r="B10" s="12"/>
      <c r="C10" s="13"/>
      <c r="D10" s="30">
        <v>3500.0</v>
      </c>
      <c r="E10" s="13"/>
      <c r="F10" s="30">
        <f t="shared" si="1"/>
        <v>3643.8</v>
      </c>
      <c r="G10" s="13"/>
      <c r="H10" s="31">
        <f t="shared" si="2"/>
        <v>-143.8</v>
      </c>
      <c r="I10" s="32">
        <f t="shared" si="3"/>
        <v>1.041085714</v>
      </c>
      <c r="J10" s="33" t="s">
        <v>27</v>
      </c>
      <c r="K10" s="12"/>
      <c r="L10" s="1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8"/>
    </row>
    <row r="11">
      <c r="A11" s="29" t="s">
        <v>28</v>
      </c>
      <c r="B11" s="12"/>
      <c r="C11" s="13"/>
      <c r="D11" s="30">
        <v>1000.0</v>
      </c>
      <c r="E11" s="13"/>
      <c r="F11" s="30">
        <f t="shared" si="1"/>
        <v>762.3</v>
      </c>
      <c r="G11" s="13"/>
      <c r="H11" s="31">
        <f t="shared" si="2"/>
        <v>237.7</v>
      </c>
      <c r="I11" s="32">
        <f t="shared" si="3"/>
        <v>0.7623</v>
      </c>
      <c r="J11" s="33" t="s">
        <v>27</v>
      </c>
      <c r="K11" s="12"/>
      <c r="L11" s="1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8"/>
    </row>
    <row r="12">
      <c r="A12" s="29" t="s">
        <v>29</v>
      </c>
      <c r="B12" s="12"/>
      <c r="C12" s="13"/>
      <c r="D12" s="30">
        <v>3400.0</v>
      </c>
      <c r="E12" s="13"/>
      <c r="F12" s="30">
        <f t="shared" si="1"/>
        <v>3370</v>
      </c>
      <c r="G12" s="13"/>
      <c r="H12" s="31">
        <f t="shared" si="2"/>
        <v>30</v>
      </c>
      <c r="I12" s="32">
        <f t="shared" si="3"/>
        <v>0.9911764706</v>
      </c>
      <c r="J12" s="33" t="s">
        <v>27</v>
      </c>
      <c r="K12" s="12"/>
      <c r="L12" s="1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8"/>
    </row>
    <row r="13">
      <c r="A13" s="29" t="s">
        <v>30</v>
      </c>
      <c r="B13" s="12"/>
      <c r="C13" s="13"/>
      <c r="D13" s="30">
        <v>600.0</v>
      </c>
      <c r="E13" s="13"/>
      <c r="F13" s="30">
        <f t="shared" si="1"/>
        <v>600</v>
      </c>
      <c r="G13" s="13"/>
      <c r="H13" s="31">
        <f t="shared" si="2"/>
        <v>0</v>
      </c>
      <c r="I13" s="32">
        <f t="shared" si="3"/>
        <v>1</v>
      </c>
      <c r="J13" s="33" t="s">
        <v>27</v>
      </c>
      <c r="K13" s="12"/>
      <c r="L13" s="1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8"/>
    </row>
    <row r="14">
      <c r="A14" s="37" t="s">
        <v>20</v>
      </c>
      <c r="B14" s="12"/>
      <c r="C14" s="13"/>
      <c r="D14" s="38">
        <f>SUM(D5:D13)</f>
        <v>158350</v>
      </c>
      <c r="E14" s="13"/>
      <c r="F14" s="38">
        <f>SUM(F5:F13)</f>
        <v>118665.86</v>
      </c>
      <c r="G14" s="13"/>
      <c r="H14" s="39">
        <f t="shared" si="2"/>
        <v>39684.14</v>
      </c>
      <c r="I14" s="40">
        <f t="shared" si="3"/>
        <v>0.7493897063</v>
      </c>
      <c r="J14" s="41"/>
      <c r="K14" s="12"/>
      <c r="L14" s="1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8"/>
    </row>
    <row r="15">
      <c r="A15" s="3"/>
      <c r="B15" s="3"/>
      <c r="C15" s="3"/>
      <c r="D15" s="3"/>
      <c r="E15" s="3"/>
      <c r="F15" s="3"/>
      <c r="G15" s="3"/>
      <c r="H15" s="4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8"/>
    </row>
    <row r="16">
      <c r="A16" s="43" t="s">
        <v>31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8"/>
    </row>
    <row r="17">
      <c r="A17" s="44" t="s">
        <v>32</v>
      </c>
      <c r="B17" s="44" t="s">
        <v>33</v>
      </c>
      <c r="C17" s="44" t="s">
        <v>7</v>
      </c>
      <c r="D17" s="44" t="s">
        <v>34</v>
      </c>
      <c r="E17" s="44" t="s">
        <v>35</v>
      </c>
      <c r="F17" s="44" t="s">
        <v>36</v>
      </c>
      <c r="G17" s="44" t="s">
        <v>37</v>
      </c>
      <c r="H17" s="44" t="s">
        <v>38</v>
      </c>
      <c r="I17" s="44" t="s">
        <v>39</v>
      </c>
      <c r="J17" s="44" t="s">
        <v>40</v>
      </c>
      <c r="K17" s="44" t="s">
        <v>41</v>
      </c>
      <c r="L17" s="44" t="s">
        <v>42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8"/>
    </row>
    <row r="18">
      <c r="A18" s="45"/>
      <c r="B18" s="46" t="s">
        <v>15</v>
      </c>
      <c r="C18" s="48" t="s">
        <v>14</v>
      </c>
      <c r="D18" s="49" t="s">
        <v>46</v>
      </c>
      <c r="E18" s="48" t="s">
        <v>47</v>
      </c>
      <c r="F18" s="48" t="s">
        <v>48</v>
      </c>
      <c r="G18" s="51">
        <v>3030.0</v>
      </c>
      <c r="H18" s="49" t="s">
        <v>49</v>
      </c>
      <c r="I18" s="48" t="s">
        <v>50</v>
      </c>
      <c r="J18" s="51">
        <v>11825.0</v>
      </c>
      <c r="K18" s="54">
        <f t="shared" ref="K18:K77" si="4">IF(OR(N($J18)=0,N($G18)=0),"",$J18/$G18)</f>
        <v>3.902640264</v>
      </c>
      <c r="L18" s="5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8"/>
    </row>
    <row r="19">
      <c r="A19" s="45"/>
      <c r="B19" s="46" t="s">
        <v>15</v>
      </c>
      <c r="C19" s="48" t="s">
        <v>14</v>
      </c>
      <c r="D19" s="49" t="s">
        <v>51</v>
      </c>
      <c r="E19" s="48" t="s">
        <v>52</v>
      </c>
      <c r="F19" s="48" t="s">
        <v>48</v>
      </c>
      <c r="G19" s="51">
        <v>23320.0</v>
      </c>
      <c r="H19" s="49" t="s">
        <v>49</v>
      </c>
      <c r="I19" s="48" t="s">
        <v>50</v>
      </c>
      <c r="J19" s="57"/>
      <c r="K19" s="54" t="str">
        <f t="shared" si="4"/>
        <v/>
      </c>
      <c r="L19" s="5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8"/>
    </row>
    <row r="20">
      <c r="A20" s="45"/>
      <c r="B20" s="46" t="s">
        <v>15</v>
      </c>
      <c r="C20" s="48" t="s">
        <v>14</v>
      </c>
      <c r="D20" s="49" t="s">
        <v>53</v>
      </c>
      <c r="E20" s="48" t="s">
        <v>54</v>
      </c>
      <c r="F20" s="48" t="s">
        <v>55</v>
      </c>
      <c r="G20" s="51">
        <v>55080.0</v>
      </c>
      <c r="H20" s="49" t="s">
        <v>49</v>
      </c>
      <c r="I20" s="48" t="s">
        <v>50</v>
      </c>
      <c r="J20" s="51">
        <v>12350.0</v>
      </c>
      <c r="K20" s="54">
        <f t="shared" si="4"/>
        <v>0.2242193174</v>
      </c>
      <c r="L20" s="5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8"/>
    </row>
    <row r="21">
      <c r="A21" s="45"/>
      <c r="B21" s="46" t="s">
        <v>15</v>
      </c>
      <c r="C21" s="48" t="s">
        <v>22</v>
      </c>
      <c r="D21" s="49" t="s">
        <v>56</v>
      </c>
      <c r="E21" s="48" t="s">
        <v>57</v>
      </c>
      <c r="F21" s="48" t="s">
        <v>58</v>
      </c>
      <c r="G21" s="51">
        <v>10000.0</v>
      </c>
      <c r="H21" s="49" t="s">
        <v>59</v>
      </c>
      <c r="I21" s="48" t="s">
        <v>50</v>
      </c>
      <c r="J21" s="57"/>
      <c r="K21" s="54" t="str">
        <f t="shared" si="4"/>
        <v/>
      </c>
      <c r="L21" s="5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8"/>
    </row>
    <row r="22">
      <c r="A22" s="45"/>
      <c r="B22" s="46" t="s">
        <v>15</v>
      </c>
      <c r="C22" s="48" t="s">
        <v>22</v>
      </c>
      <c r="D22" s="49" t="s">
        <v>60</v>
      </c>
      <c r="E22" s="48" t="s">
        <v>61</v>
      </c>
      <c r="F22" s="48" t="s">
        <v>62</v>
      </c>
      <c r="G22" s="51">
        <v>2332.0</v>
      </c>
      <c r="H22" s="49" t="s">
        <v>49</v>
      </c>
      <c r="I22" s="48" t="s">
        <v>50</v>
      </c>
      <c r="J22" s="51">
        <v>4300.0</v>
      </c>
      <c r="K22" s="54">
        <f t="shared" si="4"/>
        <v>1.843910806</v>
      </c>
      <c r="L22" s="5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8"/>
    </row>
    <row r="23">
      <c r="A23" s="45"/>
      <c r="B23" s="46" t="s">
        <v>15</v>
      </c>
      <c r="C23" s="48" t="s">
        <v>24</v>
      </c>
      <c r="D23" s="49" t="s">
        <v>63</v>
      </c>
      <c r="E23" s="48" t="s">
        <v>64</v>
      </c>
      <c r="F23" s="48" t="s">
        <v>55</v>
      </c>
      <c r="G23" s="51">
        <v>1320.0</v>
      </c>
      <c r="H23" s="49" t="s">
        <v>65</v>
      </c>
      <c r="I23" s="48" t="s">
        <v>50</v>
      </c>
      <c r="J23" s="57"/>
      <c r="K23" s="54" t="str">
        <f t="shared" si="4"/>
        <v/>
      </c>
      <c r="L23" s="5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8"/>
    </row>
    <row r="24">
      <c r="A24" s="45"/>
      <c r="B24" s="46" t="s">
        <v>15</v>
      </c>
      <c r="C24" s="48" t="s">
        <v>24</v>
      </c>
      <c r="D24" s="49" t="s">
        <v>67</v>
      </c>
      <c r="E24" s="48" t="s">
        <v>64</v>
      </c>
      <c r="F24" s="48" t="s">
        <v>55</v>
      </c>
      <c r="G24" s="51">
        <v>1870.0</v>
      </c>
      <c r="H24" s="49" t="s">
        <v>65</v>
      </c>
      <c r="I24" s="48" t="s">
        <v>68</v>
      </c>
      <c r="J24" s="57"/>
      <c r="K24" s="54" t="str">
        <f t="shared" si="4"/>
        <v/>
      </c>
      <c r="L24" s="5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8"/>
    </row>
    <row r="25">
      <c r="A25" s="45"/>
      <c r="B25" s="46" t="s">
        <v>15</v>
      </c>
      <c r="C25" s="48" t="s">
        <v>24</v>
      </c>
      <c r="D25" s="49" t="s">
        <v>69</v>
      </c>
      <c r="E25" s="48" t="s">
        <v>64</v>
      </c>
      <c r="F25" s="48" t="s">
        <v>55</v>
      </c>
      <c r="G25" s="51">
        <v>660.0</v>
      </c>
      <c r="H25" s="49" t="s">
        <v>65</v>
      </c>
      <c r="I25" s="48" t="s">
        <v>68</v>
      </c>
      <c r="J25" s="57"/>
      <c r="K25" s="54" t="str">
        <f t="shared" si="4"/>
        <v/>
      </c>
      <c r="L25" s="5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8"/>
    </row>
    <row r="26">
      <c r="A26" s="45"/>
      <c r="B26" s="46" t="s">
        <v>15</v>
      </c>
      <c r="C26" s="48" t="s">
        <v>24</v>
      </c>
      <c r="D26" s="49" t="s">
        <v>70</v>
      </c>
      <c r="E26" s="48" t="s">
        <v>64</v>
      </c>
      <c r="F26" s="48" t="s">
        <v>55</v>
      </c>
      <c r="G26" s="51">
        <v>2090.0</v>
      </c>
      <c r="H26" s="49" t="s">
        <v>65</v>
      </c>
      <c r="I26" s="48" t="s">
        <v>68</v>
      </c>
      <c r="J26" s="57"/>
      <c r="K26" s="54" t="str">
        <f t="shared" si="4"/>
        <v/>
      </c>
      <c r="L26" s="5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8"/>
    </row>
    <row r="27">
      <c r="A27" s="45"/>
      <c r="B27" s="46" t="s">
        <v>15</v>
      </c>
      <c r="C27" s="48" t="s">
        <v>24</v>
      </c>
      <c r="D27" s="49" t="s">
        <v>71</v>
      </c>
      <c r="E27" s="48" t="s">
        <v>64</v>
      </c>
      <c r="F27" s="48" t="s">
        <v>55</v>
      </c>
      <c r="G27" s="51">
        <v>1650.0</v>
      </c>
      <c r="H27" s="49" t="s">
        <v>65</v>
      </c>
      <c r="I27" s="48" t="s">
        <v>68</v>
      </c>
      <c r="J27" s="57"/>
      <c r="K27" s="54" t="str">
        <f t="shared" si="4"/>
        <v/>
      </c>
      <c r="L27" s="5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8"/>
    </row>
    <row r="28">
      <c r="A28" s="45"/>
      <c r="B28" s="46" t="s">
        <v>15</v>
      </c>
      <c r="C28" s="48" t="s">
        <v>24</v>
      </c>
      <c r="D28" s="49" t="s">
        <v>72</v>
      </c>
      <c r="E28" s="48" t="s">
        <v>64</v>
      </c>
      <c r="F28" s="48" t="s">
        <v>55</v>
      </c>
      <c r="G28" s="51">
        <v>1320.0</v>
      </c>
      <c r="H28" s="49" t="s">
        <v>65</v>
      </c>
      <c r="I28" s="48" t="s">
        <v>68</v>
      </c>
      <c r="J28" s="57"/>
      <c r="K28" s="54" t="str">
        <f t="shared" si="4"/>
        <v/>
      </c>
      <c r="L28" s="5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8"/>
    </row>
    <row r="29">
      <c r="A29" s="45"/>
      <c r="B29" s="46" t="s">
        <v>15</v>
      </c>
      <c r="C29" s="48" t="s">
        <v>24</v>
      </c>
      <c r="D29" s="49" t="s">
        <v>73</v>
      </c>
      <c r="E29" s="48" t="s">
        <v>64</v>
      </c>
      <c r="F29" s="48" t="s">
        <v>55</v>
      </c>
      <c r="G29" s="51">
        <v>1100.0</v>
      </c>
      <c r="H29" s="49" t="s">
        <v>65</v>
      </c>
      <c r="I29" s="48" t="s">
        <v>68</v>
      </c>
      <c r="J29" s="57"/>
      <c r="K29" s="54" t="str">
        <f t="shared" si="4"/>
        <v/>
      </c>
      <c r="L29" s="5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8"/>
    </row>
    <row r="30">
      <c r="A30" s="45"/>
      <c r="B30" s="46" t="s">
        <v>15</v>
      </c>
      <c r="C30" s="48" t="s">
        <v>23</v>
      </c>
      <c r="D30" s="49" t="s">
        <v>74</v>
      </c>
      <c r="E30" s="48" t="s">
        <v>75</v>
      </c>
      <c r="F30" s="48" t="s">
        <v>55</v>
      </c>
      <c r="G30" s="51">
        <v>820.4</v>
      </c>
      <c r="H30" s="49" t="s">
        <v>49</v>
      </c>
      <c r="I30" s="48" t="s">
        <v>50</v>
      </c>
      <c r="J30" s="51"/>
      <c r="K30" s="54" t="str">
        <f t="shared" si="4"/>
        <v/>
      </c>
      <c r="L30" s="5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8"/>
    </row>
    <row r="31">
      <c r="A31" s="45"/>
      <c r="B31" s="46" t="s">
        <v>15</v>
      </c>
      <c r="C31" s="48" t="s">
        <v>23</v>
      </c>
      <c r="D31" s="49" t="s">
        <v>76</v>
      </c>
      <c r="E31" s="48" t="s">
        <v>75</v>
      </c>
      <c r="F31" s="48" t="s">
        <v>55</v>
      </c>
      <c r="G31" s="51">
        <v>937.6</v>
      </c>
      <c r="H31" s="49" t="s">
        <v>49</v>
      </c>
      <c r="I31" s="48" t="s">
        <v>50</v>
      </c>
      <c r="J31" s="51"/>
      <c r="K31" s="54" t="str">
        <f t="shared" si="4"/>
        <v/>
      </c>
      <c r="L31" s="5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8"/>
    </row>
    <row r="32">
      <c r="A32" s="45"/>
      <c r="B32" s="46" t="s">
        <v>15</v>
      </c>
      <c r="C32" s="48" t="s">
        <v>23</v>
      </c>
      <c r="D32" s="49" t="s">
        <v>77</v>
      </c>
      <c r="E32" s="48" t="s">
        <v>75</v>
      </c>
      <c r="F32" s="48" t="s">
        <v>55</v>
      </c>
      <c r="G32" s="51">
        <v>1172.0</v>
      </c>
      <c r="H32" s="49" t="s">
        <v>49</v>
      </c>
      <c r="I32" s="48" t="s">
        <v>50</v>
      </c>
      <c r="J32" s="51"/>
      <c r="K32" s="54" t="str">
        <f t="shared" si="4"/>
        <v/>
      </c>
      <c r="L32" s="5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8"/>
    </row>
    <row r="33">
      <c r="A33" s="45"/>
      <c r="B33" s="46" t="s">
        <v>15</v>
      </c>
      <c r="C33" s="48" t="s">
        <v>23</v>
      </c>
      <c r="D33" s="49" t="s">
        <v>78</v>
      </c>
      <c r="E33" s="48" t="s">
        <v>75</v>
      </c>
      <c r="F33" s="48" t="s">
        <v>55</v>
      </c>
      <c r="G33" s="51">
        <v>937.6</v>
      </c>
      <c r="H33" s="49" t="s">
        <v>49</v>
      </c>
      <c r="I33" s="48" t="s">
        <v>50</v>
      </c>
      <c r="J33" s="57"/>
      <c r="K33" s="54" t="str">
        <f t="shared" si="4"/>
        <v/>
      </c>
      <c r="L33" s="5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8"/>
    </row>
    <row r="34">
      <c r="A34" s="45"/>
      <c r="B34" s="46" t="s">
        <v>15</v>
      </c>
      <c r="C34" s="48" t="s">
        <v>23</v>
      </c>
      <c r="D34" s="49" t="s">
        <v>79</v>
      </c>
      <c r="E34" s="48" t="s">
        <v>75</v>
      </c>
      <c r="F34" s="48" t="s">
        <v>55</v>
      </c>
      <c r="G34" s="51">
        <v>914.16</v>
      </c>
      <c r="H34" s="49" t="s">
        <v>49</v>
      </c>
      <c r="I34" s="48" t="s">
        <v>50</v>
      </c>
      <c r="J34" s="57"/>
      <c r="K34" s="54" t="str">
        <f t="shared" si="4"/>
        <v/>
      </c>
      <c r="L34" s="5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8"/>
    </row>
    <row r="35">
      <c r="A35" s="45"/>
      <c r="B35" s="46" t="s">
        <v>15</v>
      </c>
      <c r="C35" s="48" t="s">
        <v>23</v>
      </c>
      <c r="D35" s="49" t="s">
        <v>82</v>
      </c>
      <c r="E35" s="48" t="s">
        <v>75</v>
      </c>
      <c r="F35" s="48" t="s">
        <v>55</v>
      </c>
      <c r="G35" s="51">
        <v>586.0</v>
      </c>
      <c r="H35" s="49" t="s">
        <v>49</v>
      </c>
      <c r="I35" s="48" t="s">
        <v>50</v>
      </c>
      <c r="J35" s="57"/>
      <c r="K35" s="54" t="str">
        <f t="shared" si="4"/>
        <v/>
      </c>
      <c r="L35" s="5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8"/>
    </row>
    <row r="36">
      <c r="A36" s="45"/>
      <c r="B36" s="46" t="s">
        <v>15</v>
      </c>
      <c r="C36" s="48" t="s">
        <v>25</v>
      </c>
      <c r="D36" s="55"/>
      <c r="E36" s="55"/>
      <c r="F36" s="48" t="s">
        <v>55</v>
      </c>
      <c r="G36" s="51">
        <v>600.0</v>
      </c>
      <c r="H36" s="49" t="s">
        <v>59</v>
      </c>
      <c r="I36" s="48" t="s">
        <v>50</v>
      </c>
      <c r="J36" s="57"/>
      <c r="K36" s="54" t="str">
        <f t="shared" si="4"/>
        <v/>
      </c>
      <c r="L36" s="5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8"/>
    </row>
    <row r="37">
      <c r="A37" s="45"/>
      <c r="B37" s="46" t="s">
        <v>15</v>
      </c>
      <c r="C37" s="48" t="s">
        <v>25</v>
      </c>
      <c r="D37" s="55"/>
      <c r="E37" s="55"/>
      <c r="F37" s="48" t="s">
        <v>55</v>
      </c>
      <c r="G37" s="51">
        <v>550.0</v>
      </c>
      <c r="H37" s="49" t="s">
        <v>59</v>
      </c>
      <c r="I37" s="48" t="s">
        <v>50</v>
      </c>
      <c r="J37" s="57"/>
      <c r="K37" s="54" t="str">
        <f t="shared" si="4"/>
        <v/>
      </c>
      <c r="L37" s="5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8"/>
    </row>
    <row r="38">
      <c r="A38" s="45"/>
      <c r="B38" s="46" t="s">
        <v>15</v>
      </c>
      <c r="C38" s="48" t="s">
        <v>26</v>
      </c>
      <c r="D38" s="55"/>
      <c r="E38" s="48" t="s">
        <v>84</v>
      </c>
      <c r="F38" s="48" t="s">
        <v>55</v>
      </c>
      <c r="G38" s="51">
        <v>1227.2</v>
      </c>
      <c r="H38" s="49" t="s">
        <v>85</v>
      </c>
      <c r="I38" s="48" t="s">
        <v>50</v>
      </c>
      <c r="J38" s="57"/>
      <c r="K38" s="54" t="str">
        <f t="shared" si="4"/>
        <v/>
      </c>
      <c r="L38" s="5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8"/>
    </row>
    <row r="39">
      <c r="A39" s="45"/>
      <c r="B39" s="46" t="s">
        <v>15</v>
      </c>
      <c r="C39" s="48" t="s">
        <v>26</v>
      </c>
      <c r="D39" s="55"/>
      <c r="E39" s="48" t="s">
        <v>86</v>
      </c>
      <c r="F39" s="48" t="s">
        <v>87</v>
      </c>
      <c r="G39" s="51">
        <v>319.6</v>
      </c>
      <c r="H39" s="49" t="s">
        <v>85</v>
      </c>
      <c r="I39" s="48" t="s">
        <v>50</v>
      </c>
      <c r="J39" s="57"/>
      <c r="K39" s="54" t="str">
        <f t="shared" si="4"/>
        <v/>
      </c>
      <c r="L39" s="5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8"/>
    </row>
    <row r="40">
      <c r="A40" s="45"/>
      <c r="B40" s="46" t="s">
        <v>15</v>
      </c>
      <c r="C40" s="48" t="s">
        <v>26</v>
      </c>
      <c r="D40" s="55"/>
      <c r="E40" s="48" t="s">
        <v>88</v>
      </c>
      <c r="F40" s="48" t="s">
        <v>55</v>
      </c>
      <c r="G40" s="51">
        <v>257.0</v>
      </c>
      <c r="H40" s="49" t="s">
        <v>85</v>
      </c>
      <c r="I40" s="48" t="s">
        <v>50</v>
      </c>
      <c r="J40" s="57"/>
      <c r="K40" s="54" t="str">
        <f t="shared" si="4"/>
        <v/>
      </c>
      <c r="L40" s="5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8"/>
    </row>
    <row r="41">
      <c r="A41" s="45"/>
      <c r="B41" s="46" t="s">
        <v>15</v>
      </c>
      <c r="C41" s="48" t="s">
        <v>26</v>
      </c>
      <c r="D41" s="55"/>
      <c r="E41" s="48" t="s">
        <v>89</v>
      </c>
      <c r="F41" s="48" t="s">
        <v>90</v>
      </c>
      <c r="G41" s="51">
        <v>1293.0</v>
      </c>
      <c r="H41" s="49" t="s">
        <v>85</v>
      </c>
      <c r="I41" s="48" t="s">
        <v>50</v>
      </c>
      <c r="J41" s="57"/>
      <c r="K41" s="54" t="str">
        <f t="shared" si="4"/>
        <v/>
      </c>
      <c r="L41" s="5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8"/>
    </row>
    <row r="42">
      <c r="A42" s="45"/>
      <c r="B42" s="46" t="s">
        <v>15</v>
      </c>
      <c r="C42" s="48" t="s">
        <v>26</v>
      </c>
      <c r="D42" s="55"/>
      <c r="E42" s="48" t="s">
        <v>91</v>
      </c>
      <c r="F42" s="48" t="s">
        <v>92</v>
      </c>
      <c r="G42" s="51">
        <v>132.0</v>
      </c>
      <c r="H42" s="49" t="s">
        <v>85</v>
      </c>
      <c r="I42" s="48" t="s">
        <v>50</v>
      </c>
      <c r="J42" s="57"/>
      <c r="K42" s="54" t="str">
        <f t="shared" si="4"/>
        <v/>
      </c>
      <c r="L42" s="5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8"/>
    </row>
    <row r="43">
      <c r="A43" s="45"/>
      <c r="B43" s="46" t="s">
        <v>15</v>
      </c>
      <c r="C43" s="48" t="s">
        <v>28</v>
      </c>
      <c r="D43" s="55"/>
      <c r="E43" s="48" t="s">
        <v>93</v>
      </c>
      <c r="F43" s="55"/>
      <c r="G43" s="51">
        <v>762.3</v>
      </c>
      <c r="H43" s="49" t="s">
        <v>85</v>
      </c>
      <c r="I43" s="48" t="s">
        <v>50</v>
      </c>
      <c r="J43" s="57"/>
      <c r="K43" s="54" t="str">
        <f t="shared" si="4"/>
        <v/>
      </c>
      <c r="L43" s="5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8"/>
    </row>
    <row r="44">
      <c r="A44" s="45"/>
      <c r="B44" s="46" t="s">
        <v>15</v>
      </c>
      <c r="C44" s="48" t="s">
        <v>29</v>
      </c>
      <c r="D44" s="48"/>
      <c r="E44" s="48" t="s">
        <v>94</v>
      </c>
      <c r="F44" s="48"/>
      <c r="G44" s="51">
        <v>3370.0</v>
      </c>
      <c r="H44" s="49" t="s">
        <v>95</v>
      </c>
      <c r="I44" s="48" t="s">
        <v>68</v>
      </c>
      <c r="J44" s="57"/>
      <c r="K44" s="54" t="str">
        <f t="shared" si="4"/>
        <v/>
      </c>
      <c r="L44" s="5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8"/>
    </row>
    <row r="45">
      <c r="A45" s="45"/>
      <c r="B45" s="46" t="s">
        <v>15</v>
      </c>
      <c r="C45" s="48" t="s">
        <v>30</v>
      </c>
      <c r="D45" s="48"/>
      <c r="E45" s="48" t="s">
        <v>96</v>
      </c>
      <c r="F45" s="48"/>
      <c r="G45" s="51">
        <v>600.0</v>
      </c>
      <c r="H45" s="49" t="s">
        <v>49</v>
      </c>
      <c r="I45" s="48" t="s">
        <v>50</v>
      </c>
      <c r="J45" s="57"/>
      <c r="K45" s="54" t="str">
        <f t="shared" si="4"/>
        <v/>
      </c>
      <c r="L45" s="5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8"/>
    </row>
    <row r="46">
      <c r="A46" s="45"/>
      <c r="B46" s="46" t="s">
        <v>15</v>
      </c>
      <c r="C46" s="48" t="s">
        <v>26</v>
      </c>
      <c r="D46" s="55"/>
      <c r="E46" s="48" t="s">
        <v>98</v>
      </c>
      <c r="F46" s="48" t="s">
        <v>87</v>
      </c>
      <c r="G46" s="51">
        <v>356.0</v>
      </c>
      <c r="H46" s="49" t="s">
        <v>85</v>
      </c>
      <c r="I46" s="48" t="s">
        <v>50</v>
      </c>
      <c r="J46" s="57"/>
      <c r="K46" s="54" t="str">
        <f t="shared" si="4"/>
        <v/>
      </c>
      <c r="L46" s="5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8"/>
    </row>
    <row r="47">
      <c r="A47" s="45"/>
      <c r="B47" s="46" t="s">
        <v>15</v>
      </c>
      <c r="C47" s="48" t="s">
        <v>26</v>
      </c>
      <c r="D47" s="55"/>
      <c r="E47" s="48" t="s">
        <v>99</v>
      </c>
      <c r="F47" s="48" t="s">
        <v>100</v>
      </c>
      <c r="G47" s="51">
        <v>59.0</v>
      </c>
      <c r="H47" s="49" t="s">
        <v>85</v>
      </c>
      <c r="I47" s="48" t="s">
        <v>50</v>
      </c>
      <c r="J47" s="57"/>
      <c r="K47" s="54" t="str">
        <f t="shared" si="4"/>
        <v/>
      </c>
      <c r="L47" s="5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8"/>
    </row>
    <row r="48">
      <c r="A48" s="45"/>
      <c r="B48" s="61"/>
      <c r="C48" s="55"/>
      <c r="D48" s="55"/>
      <c r="E48" s="55"/>
      <c r="F48" s="55"/>
      <c r="G48" s="57"/>
      <c r="H48" s="62"/>
      <c r="I48" s="55"/>
      <c r="J48" s="57"/>
      <c r="K48" s="54" t="str">
        <f t="shared" si="4"/>
        <v/>
      </c>
      <c r="L48" s="5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8"/>
    </row>
    <row r="49">
      <c r="A49" s="45"/>
      <c r="B49" s="61"/>
      <c r="C49" s="55"/>
      <c r="D49" s="55"/>
      <c r="E49" s="55"/>
      <c r="F49" s="55"/>
      <c r="G49" s="57"/>
      <c r="H49" s="62"/>
      <c r="I49" s="55"/>
      <c r="J49" s="57"/>
      <c r="K49" s="54" t="str">
        <f t="shared" si="4"/>
        <v/>
      </c>
      <c r="L49" s="5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8"/>
    </row>
    <row r="50">
      <c r="A50" s="45"/>
      <c r="B50" s="61"/>
      <c r="C50" s="55"/>
      <c r="D50" s="55"/>
      <c r="E50" s="55"/>
      <c r="F50" s="55"/>
      <c r="G50" s="57"/>
      <c r="H50" s="62"/>
      <c r="I50" s="55"/>
      <c r="J50" s="57"/>
      <c r="K50" s="54" t="str">
        <f t="shared" si="4"/>
        <v/>
      </c>
      <c r="L50" s="5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8"/>
    </row>
    <row r="51">
      <c r="A51" s="45"/>
      <c r="B51" s="61"/>
      <c r="C51" s="55"/>
      <c r="D51" s="55"/>
      <c r="E51" s="55"/>
      <c r="F51" s="55"/>
      <c r="G51" s="57"/>
      <c r="H51" s="62"/>
      <c r="I51" s="55"/>
      <c r="J51" s="57"/>
      <c r="K51" s="54" t="str">
        <f t="shared" si="4"/>
        <v/>
      </c>
      <c r="L51" s="5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8"/>
    </row>
    <row r="52">
      <c r="A52" s="45"/>
      <c r="B52" s="61"/>
      <c r="C52" s="55"/>
      <c r="D52" s="55"/>
      <c r="E52" s="55"/>
      <c r="F52" s="55"/>
      <c r="G52" s="57"/>
      <c r="H52" s="62"/>
      <c r="I52" s="55"/>
      <c r="J52" s="57"/>
      <c r="K52" s="54" t="str">
        <f t="shared" si="4"/>
        <v/>
      </c>
      <c r="L52" s="5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8"/>
    </row>
    <row r="53">
      <c r="A53" s="45"/>
      <c r="B53" s="61"/>
      <c r="C53" s="55"/>
      <c r="D53" s="55"/>
      <c r="E53" s="55"/>
      <c r="F53" s="55"/>
      <c r="G53" s="57"/>
      <c r="H53" s="62"/>
      <c r="I53" s="55"/>
      <c r="J53" s="57"/>
      <c r="K53" s="54" t="str">
        <f t="shared" si="4"/>
        <v/>
      </c>
      <c r="L53" s="5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8"/>
    </row>
    <row r="54">
      <c r="A54" s="45"/>
      <c r="B54" s="61"/>
      <c r="C54" s="55"/>
      <c r="D54" s="55"/>
      <c r="E54" s="55"/>
      <c r="F54" s="55"/>
      <c r="G54" s="57"/>
      <c r="H54" s="62"/>
      <c r="I54" s="55"/>
      <c r="J54" s="57"/>
      <c r="K54" s="54" t="str">
        <f t="shared" si="4"/>
        <v/>
      </c>
      <c r="L54" s="5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8"/>
    </row>
    <row r="55">
      <c r="A55" s="45"/>
      <c r="B55" s="61"/>
      <c r="C55" s="55"/>
      <c r="D55" s="55"/>
      <c r="E55" s="55"/>
      <c r="F55" s="55"/>
      <c r="G55" s="57"/>
      <c r="H55" s="62"/>
      <c r="I55" s="55"/>
      <c r="J55" s="57"/>
      <c r="K55" s="54" t="str">
        <f t="shared" si="4"/>
        <v/>
      </c>
      <c r="L55" s="5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8"/>
    </row>
    <row r="56">
      <c r="A56" s="45"/>
      <c r="B56" s="61"/>
      <c r="C56" s="55"/>
      <c r="D56" s="55"/>
      <c r="E56" s="55"/>
      <c r="F56" s="55"/>
      <c r="G56" s="57"/>
      <c r="H56" s="62"/>
      <c r="I56" s="55"/>
      <c r="J56" s="57"/>
      <c r="K56" s="54" t="str">
        <f t="shared" si="4"/>
        <v/>
      </c>
      <c r="L56" s="5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8"/>
    </row>
    <row r="57">
      <c r="A57" s="45"/>
      <c r="B57" s="61"/>
      <c r="C57" s="55"/>
      <c r="D57" s="55"/>
      <c r="E57" s="55"/>
      <c r="F57" s="55"/>
      <c r="G57" s="57"/>
      <c r="H57" s="62"/>
      <c r="I57" s="55"/>
      <c r="J57" s="57"/>
      <c r="K57" s="54" t="str">
        <f t="shared" si="4"/>
        <v/>
      </c>
      <c r="L57" s="5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8"/>
    </row>
    <row r="58">
      <c r="A58" s="45"/>
      <c r="B58" s="61"/>
      <c r="C58" s="55"/>
      <c r="D58" s="55"/>
      <c r="E58" s="55"/>
      <c r="F58" s="55"/>
      <c r="G58" s="57"/>
      <c r="H58" s="62"/>
      <c r="I58" s="55"/>
      <c r="J58" s="57"/>
      <c r="K58" s="54" t="str">
        <f t="shared" si="4"/>
        <v/>
      </c>
      <c r="L58" s="5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8"/>
    </row>
    <row r="59">
      <c r="A59" s="45"/>
      <c r="B59" s="61"/>
      <c r="C59" s="55"/>
      <c r="D59" s="55"/>
      <c r="E59" s="55"/>
      <c r="F59" s="55"/>
      <c r="G59" s="57"/>
      <c r="H59" s="62"/>
      <c r="I59" s="55"/>
      <c r="J59" s="57"/>
      <c r="K59" s="54" t="str">
        <f t="shared" si="4"/>
        <v/>
      </c>
      <c r="L59" s="5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8"/>
    </row>
    <row r="60">
      <c r="A60" s="45"/>
      <c r="B60" s="61"/>
      <c r="C60" s="55"/>
      <c r="D60" s="55"/>
      <c r="E60" s="55"/>
      <c r="F60" s="55"/>
      <c r="G60" s="57"/>
      <c r="H60" s="62"/>
      <c r="I60" s="55"/>
      <c r="J60" s="57"/>
      <c r="K60" s="54" t="str">
        <f t="shared" si="4"/>
        <v/>
      </c>
      <c r="L60" s="5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8"/>
    </row>
    <row r="61">
      <c r="A61" s="45"/>
      <c r="B61" s="61"/>
      <c r="C61" s="55"/>
      <c r="D61" s="55"/>
      <c r="E61" s="55"/>
      <c r="F61" s="55"/>
      <c r="G61" s="57"/>
      <c r="H61" s="62"/>
      <c r="I61" s="55"/>
      <c r="J61" s="57"/>
      <c r="K61" s="54" t="str">
        <f t="shared" si="4"/>
        <v/>
      </c>
      <c r="L61" s="5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8"/>
    </row>
    <row r="62">
      <c r="A62" s="45"/>
      <c r="B62" s="61"/>
      <c r="C62" s="55"/>
      <c r="D62" s="55"/>
      <c r="E62" s="55"/>
      <c r="F62" s="55"/>
      <c r="G62" s="57"/>
      <c r="H62" s="62"/>
      <c r="I62" s="55"/>
      <c r="J62" s="57"/>
      <c r="K62" s="54" t="str">
        <f t="shared" si="4"/>
        <v/>
      </c>
      <c r="L62" s="5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8"/>
    </row>
    <row r="63">
      <c r="A63" s="45"/>
      <c r="B63" s="61"/>
      <c r="C63" s="55"/>
      <c r="D63" s="55"/>
      <c r="E63" s="55"/>
      <c r="F63" s="55"/>
      <c r="G63" s="57"/>
      <c r="H63" s="62"/>
      <c r="I63" s="55"/>
      <c r="J63" s="57"/>
      <c r="K63" s="54" t="str">
        <f t="shared" si="4"/>
        <v/>
      </c>
      <c r="L63" s="5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8"/>
    </row>
    <row r="64">
      <c r="A64" s="45"/>
      <c r="B64" s="61"/>
      <c r="C64" s="55"/>
      <c r="D64" s="55"/>
      <c r="E64" s="55"/>
      <c r="F64" s="55"/>
      <c r="G64" s="57"/>
      <c r="H64" s="62"/>
      <c r="I64" s="55"/>
      <c r="J64" s="57"/>
      <c r="K64" s="54" t="str">
        <f t="shared" si="4"/>
        <v/>
      </c>
      <c r="L64" s="5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8"/>
    </row>
    <row r="65">
      <c r="A65" s="45"/>
      <c r="B65" s="61"/>
      <c r="C65" s="55"/>
      <c r="D65" s="55"/>
      <c r="E65" s="55"/>
      <c r="F65" s="55"/>
      <c r="G65" s="57"/>
      <c r="H65" s="62"/>
      <c r="I65" s="55"/>
      <c r="J65" s="57"/>
      <c r="K65" s="54" t="str">
        <f t="shared" si="4"/>
        <v/>
      </c>
      <c r="L65" s="5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8"/>
    </row>
    <row r="66">
      <c r="A66" s="45"/>
      <c r="B66" s="61"/>
      <c r="C66" s="55"/>
      <c r="D66" s="55"/>
      <c r="E66" s="55"/>
      <c r="F66" s="55"/>
      <c r="G66" s="57"/>
      <c r="H66" s="62"/>
      <c r="I66" s="55"/>
      <c r="J66" s="57"/>
      <c r="K66" s="54" t="str">
        <f t="shared" si="4"/>
        <v/>
      </c>
      <c r="L66" s="5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8"/>
    </row>
    <row r="67">
      <c r="A67" s="45"/>
      <c r="B67" s="61"/>
      <c r="C67" s="55"/>
      <c r="D67" s="55"/>
      <c r="E67" s="55"/>
      <c r="F67" s="55"/>
      <c r="G67" s="57"/>
      <c r="H67" s="62"/>
      <c r="I67" s="55"/>
      <c r="J67" s="57"/>
      <c r="K67" s="54" t="str">
        <f t="shared" si="4"/>
        <v/>
      </c>
      <c r="L67" s="5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8"/>
    </row>
    <row r="68">
      <c r="A68" s="45"/>
      <c r="B68" s="61"/>
      <c r="C68" s="55"/>
      <c r="D68" s="55"/>
      <c r="E68" s="55"/>
      <c r="F68" s="55"/>
      <c r="G68" s="57"/>
      <c r="H68" s="62"/>
      <c r="I68" s="55"/>
      <c r="J68" s="57"/>
      <c r="K68" s="54" t="str">
        <f t="shared" si="4"/>
        <v/>
      </c>
      <c r="L68" s="5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8"/>
    </row>
    <row r="69">
      <c r="A69" s="45"/>
      <c r="B69" s="61"/>
      <c r="C69" s="55"/>
      <c r="D69" s="55"/>
      <c r="E69" s="55"/>
      <c r="F69" s="55"/>
      <c r="G69" s="57"/>
      <c r="H69" s="62"/>
      <c r="I69" s="55"/>
      <c r="J69" s="57"/>
      <c r="K69" s="54" t="str">
        <f t="shared" si="4"/>
        <v/>
      </c>
      <c r="L69" s="5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8"/>
    </row>
    <row r="70">
      <c r="A70" s="45"/>
      <c r="B70" s="61"/>
      <c r="C70" s="55"/>
      <c r="D70" s="55"/>
      <c r="E70" s="55"/>
      <c r="F70" s="55"/>
      <c r="G70" s="57"/>
      <c r="H70" s="62"/>
      <c r="I70" s="55"/>
      <c r="J70" s="57"/>
      <c r="K70" s="54" t="str">
        <f t="shared" si="4"/>
        <v/>
      </c>
      <c r="L70" s="5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8"/>
    </row>
    <row r="71">
      <c r="A71" s="45"/>
      <c r="B71" s="61"/>
      <c r="C71" s="55"/>
      <c r="D71" s="55"/>
      <c r="E71" s="55"/>
      <c r="F71" s="55"/>
      <c r="G71" s="57"/>
      <c r="H71" s="62"/>
      <c r="I71" s="55"/>
      <c r="J71" s="57"/>
      <c r="K71" s="54" t="str">
        <f t="shared" si="4"/>
        <v/>
      </c>
      <c r="L71" s="5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8"/>
    </row>
    <row r="72">
      <c r="A72" s="45"/>
      <c r="B72" s="61"/>
      <c r="C72" s="55"/>
      <c r="D72" s="55"/>
      <c r="E72" s="55"/>
      <c r="F72" s="55"/>
      <c r="G72" s="57"/>
      <c r="H72" s="62"/>
      <c r="I72" s="55"/>
      <c r="J72" s="57"/>
      <c r="K72" s="54" t="str">
        <f t="shared" si="4"/>
        <v/>
      </c>
      <c r="L72" s="5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8"/>
    </row>
    <row r="73">
      <c r="A73" s="45"/>
      <c r="B73" s="61"/>
      <c r="C73" s="55"/>
      <c r="D73" s="55"/>
      <c r="E73" s="55"/>
      <c r="F73" s="55"/>
      <c r="G73" s="57"/>
      <c r="H73" s="62"/>
      <c r="I73" s="55"/>
      <c r="J73" s="57"/>
      <c r="K73" s="54" t="str">
        <f t="shared" si="4"/>
        <v/>
      </c>
      <c r="L73" s="5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8"/>
    </row>
    <row r="74">
      <c r="A74" s="45"/>
      <c r="B74" s="61"/>
      <c r="C74" s="55"/>
      <c r="D74" s="55"/>
      <c r="E74" s="55"/>
      <c r="F74" s="55"/>
      <c r="G74" s="57"/>
      <c r="H74" s="62"/>
      <c r="I74" s="55"/>
      <c r="J74" s="57"/>
      <c r="K74" s="54" t="str">
        <f t="shared" si="4"/>
        <v/>
      </c>
      <c r="L74" s="5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8"/>
    </row>
    <row r="75">
      <c r="A75" s="45"/>
      <c r="B75" s="61"/>
      <c r="C75" s="55"/>
      <c r="D75" s="55"/>
      <c r="E75" s="55"/>
      <c r="F75" s="55"/>
      <c r="G75" s="57"/>
      <c r="H75" s="62"/>
      <c r="I75" s="55"/>
      <c r="J75" s="57"/>
      <c r="K75" s="54" t="str">
        <f t="shared" si="4"/>
        <v/>
      </c>
      <c r="L75" s="5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8"/>
    </row>
    <row r="76">
      <c r="A76" s="45"/>
      <c r="B76" s="61"/>
      <c r="C76" s="55"/>
      <c r="D76" s="55"/>
      <c r="E76" s="55"/>
      <c r="F76" s="55"/>
      <c r="G76" s="57"/>
      <c r="H76" s="62"/>
      <c r="I76" s="55"/>
      <c r="J76" s="57"/>
      <c r="K76" s="54" t="str">
        <f t="shared" si="4"/>
        <v/>
      </c>
      <c r="L76" s="5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8"/>
    </row>
    <row r="77">
      <c r="A77" s="45"/>
      <c r="B77" s="61"/>
      <c r="C77" s="55"/>
      <c r="D77" s="55"/>
      <c r="E77" s="55"/>
      <c r="F77" s="55"/>
      <c r="G77" s="57"/>
      <c r="H77" s="62"/>
      <c r="I77" s="55"/>
      <c r="J77" s="57"/>
      <c r="K77" s="54" t="str">
        <f t="shared" si="4"/>
        <v/>
      </c>
      <c r="L77" s="5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8"/>
    </row>
    <row r="78">
      <c r="A78" s="64" t="s">
        <v>20</v>
      </c>
      <c r="B78" s="65"/>
      <c r="C78" s="65"/>
      <c r="D78" s="65"/>
      <c r="E78" s="65"/>
      <c r="F78" s="65"/>
      <c r="G78" s="66">
        <f>SUM(G18:G77)</f>
        <v>118665.86</v>
      </c>
      <c r="H78" s="67"/>
      <c r="I78" s="65"/>
      <c r="J78" s="66">
        <f>SUM(J18:J77)</f>
        <v>28475</v>
      </c>
      <c r="K78" s="68">
        <f>IFERROR(J78/G78,"")</f>
        <v>0.2399594964</v>
      </c>
      <c r="L78" s="6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8"/>
    </row>
    <row r="79">
      <c r="A79" s="3"/>
      <c r="B79" s="3"/>
      <c r="C79" s="3"/>
      <c r="D79" s="3"/>
      <c r="E79" s="3"/>
      <c r="F79" s="3"/>
      <c r="G79" s="3"/>
      <c r="H79" s="4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8"/>
    </row>
    <row r="80">
      <c r="A80" s="3"/>
      <c r="B80" s="3"/>
      <c r="C80" s="3"/>
      <c r="D80" s="3"/>
      <c r="E80" s="3"/>
      <c r="F80" s="3"/>
      <c r="G80" s="3"/>
      <c r="H80" s="4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8"/>
    </row>
    <row r="81">
      <c r="A81" s="3"/>
      <c r="B81" s="3"/>
      <c r="C81" s="3"/>
      <c r="D81" s="3"/>
      <c r="E81" s="3"/>
      <c r="F81" s="3"/>
      <c r="G81" s="3"/>
      <c r="H81" s="4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8"/>
    </row>
    <row r="82">
      <c r="A82" s="3"/>
      <c r="B82" s="3"/>
      <c r="C82" s="3"/>
      <c r="D82" s="3"/>
      <c r="E82" s="3"/>
      <c r="F82" s="3"/>
      <c r="G82" s="3"/>
      <c r="H82" s="4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8"/>
    </row>
    <row r="83">
      <c r="A83" s="3"/>
      <c r="B83" s="3"/>
      <c r="C83" s="3"/>
      <c r="D83" s="3"/>
      <c r="E83" s="3"/>
      <c r="F83" s="3"/>
      <c r="G83" s="3"/>
      <c r="H83" s="4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8"/>
    </row>
    <row r="84">
      <c r="A84" s="3"/>
      <c r="B84" s="3"/>
      <c r="C84" s="3"/>
      <c r="D84" s="3"/>
      <c r="E84" s="3"/>
      <c r="F84" s="3"/>
      <c r="G84" s="3"/>
      <c r="H84" s="4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8"/>
    </row>
    <row r="85">
      <c r="A85" s="3"/>
      <c r="B85" s="3"/>
      <c r="C85" s="3"/>
      <c r="D85" s="3"/>
      <c r="E85" s="3"/>
      <c r="F85" s="3"/>
      <c r="G85" s="3"/>
      <c r="H85" s="4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8"/>
    </row>
    <row r="86">
      <c r="A86" s="3"/>
      <c r="B86" s="3"/>
      <c r="C86" s="3"/>
      <c r="D86" s="3"/>
      <c r="E86" s="3"/>
      <c r="F86" s="3"/>
      <c r="G86" s="3"/>
      <c r="H86" s="4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8"/>
    </row>
    <row r="87">
      <c r="A87" s="3"/>
      <c r="B87" s="3"/>
      <c r="C87" s="3"/>
      <c r="D87" s="3"/>
      <c r="E87" s="3"/>
      <c r="F87" s="3"/>
      <c r="G87" s="3"/>
      <c r="H87" s="4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8"/>
    </row>
    <row r="88">
      <c r="A88" s="3"/>
      <c r="B88" s="3"/>
      <c r="C88" s="3"/>
      <c r="D88" s="3"/>
      <c r="E88" s="3"/>
      <c r="F88" s="3"/>
      <c r="G88" s="3"/>
      <c r="H88" s="4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8"/>
    </row>
    <row r="89">
      <c r="A89" s="3"/>
      <c r="B89" s="3"/>
      <c r="C89" s="3"/>
      <c r="D89" s="3"/>
      <c r="E89" s="3"/>
      <c r="F89" s="3"/>
      <c r="G89" s="3"/>
      <c r="H89" s="4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8"/>
    </row>
    <row r="90">
      <c r="A90" s="3"/>
      <c r="B90" s="3"/>
      <c r="C90" s="3"/>
      <c r="D90" s="3"/>
      <c r="E90" s="3"/>
      <c r="F90" s="3"/>
      <c r="G90" s="3"/>
      <c r="H90" s="4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8"/>
    </row>
    <row r="91">
      <c r="A91" s="3"/>
      <c r="B91" s="3"/>
      <c r="C91" s="3"/>
      <c r="D91" s="3"/>
      <c r="E91" s="3"/>
      <c r="F91" s="3"/>
      <c r="G91" s="3"/>
      <c r="H91" s="4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8"/>
    </row>
    <row r="92">
      <c r="A92" s="3"/>
      <c r="B92" s="3"/>
      <c r="C92" s="3"/>
      <c r="D92" s="3"/>
      <c r="E92" s="3"/>
      <c r="F92" s="3"/>
      <c r="G92" s="3"/>
      <c r="H92" s="4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8"/>
    </row>
    <row r="93">
      <c r="A93" s="3"/>
      <c r="B93" s="3"/>
      <c r="C93" s="3"/>
      <c r="D93" s="3"/>
      <c r="E93" s="3"/>
      <c r="F93" s="3"/>
      <c r="G93" s="3"/>
      <c r="H93" s="4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8"/>
    </row>
    <row r="94">
      <c r="A94" s="3"/>
      <c r="B94" s="3"/>
      <c r="C94" s="3"/>
      <c r="D94" s="3"/>
      <c r="E94" s="3"/>
      <c r="F94" s="3"/>
      <c r="G94" s="3"/>
      <c r="H94" s="4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8"/>
    </row>
    <row r="95">
      <c r="A95" s="3"/>
      <c r="B95" s="3"/>
      <c r="C95" s="3"/>
      <c r="D95" s="3"/>
      <c r="E95" s="3"/>
      <c r="F95" s="3"/>
      <c r="G95" s="3"/>
      <c r="H95" s="4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8"/>
    </row>
    <row r="96">
      <c r="A96" s="3"/>
      <c r="B96" s="3"/>
      <c r="C96" s="3"/>
      <c r="D96" s="3"/>
      <c r="E96" s="3"/>
      <c r="F96" s="3"/>
      <c r="G96" s="3"/>
      <c r="H96" s="4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8"/>
    </row>
    <row r="97">
      <c r="A97" s="3"/>
      <c r="B97" s="3"/>
      <c r="C97" s="3"/>
      <c r="D97" s="3"/>
      <c r="E97" s="3"/>
      <c r="F97" s="3"/>
      <c r="G97" s="3"/>
      <c r="H97" s="4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8"/>
    </row>
    <row r="98">
      <c r="A98" s="3"/>
      <c r="B98" s="3"/>
      <c r="C98" s="3"/>
      <c r="D98" s="3"/>
      <c r="E98" s="3"/>
      <c r="F98" s="3"/>
      <c r="G98" s="3"/>
      <c r="H98" s="4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8"/>
    </row>
    <row r="99">
      <c r="A99" s="3"/>
      <c r="B99" s="3"/>
      <c r="C99" s="3"/>
      <c r="D99" s="3"/>
      <c r="E99" s="3"/>
      <c r="F99" s="3"/>
      <c r="G99" s="3"/>
      <c r="H99" s="4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8"/>
    </row>
    <row r="100">
      <c r="A100" s="3"/>
      <c r="B100" s="3"/>
      <c r="C100" s="3"/>
      <c r="D100" s="3"/>
      <c r="E100" s="3"/>
      <c r="F100" s="3"/>
      <c r="G100" s="3"/>
      <c r="H100" s="4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8"/>
    </row>
    <row r="101">
      <c r="A101" s="3"/>
      <c r="B101" s="3"/>
      <c r="C101" s="3"/>
      <c r="D101" s="3"/>
      <c r="E101" s="3"/>
      <c r="F101" s="3"/>
      <c r="G101" s="3"/>
      <c r="H101" s="4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8"/>
    </row>
    <row r="102">
      <c r="A102" s="3"/>
      <c r="B102" s="3"/>
      <c r="C102" s="3"/>
      <c r="D102" s="3"/>
      <c r="E102" s="3"/>
      <c r="F102" s="3"/>
      <c r="G102" s="3"/>
      <c r="H102" s="4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8"/>
    </row>
    <row r="103">
      <c r="A103" s="3"/>
      <c r="B103" s="3"/>
      <c r="C103" s="3"/>
      <c r="D103" s="3"/>
      <c r="E103" s="3"/>
      <c r="F103" s="3"/>
      <c r="G103" s="3"/>
      <c r="H103" s="4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8"/>
    </row>
    <row r="104">
      <c r="A104" s="3"/>
      <c r="B104" s="3"/>
      <c r="C104" s="3"/>
      <c r="D104" s="3"/>
      <c r="E104" s="3"/>
      <c r="F104" s="3"/>
      <c r="G104" s="3"/>
      <c r="H104" s="4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8"/>
    </row>
    <row r="105">
      <c r="A105" s="3"/>
      <c r="B105" s="3"/>
      <c r="C105" s="3"/>
      <c r="D105" s="3"/>
      <c r="E105" s="3"/>
      <c r="F105" s="3"/>
      <c r="G105" s="3"/>
      <c r="H105" s="4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8"/>
    </row>
    <row r="106">
      <c r="A106" s="3"/>
      <c r="B106" s="3"/>
      <c r="C106" s="3"/>
      <c r="D106" s="3"/>
      <c r="E106" s="3"/>
      <c r="F106" s="3"/>
      <c r="G106" s="3"/>
      <c r="H106" s="4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8"/>
    </row>
    <row r="107">
      <c r="A107" s="3"/>
      <c r="B107" s="3"/>
      <c r="C107" s="3"/>
      <c r="D107" s="3"/>
      <c r="E107" s="3"/>
      <c r="F107" s="3"/>
      <c r="G107" s="3"/>
      <c r="H107" s="4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8"/>
    </row>
    <row r="108">
      <c r="A108" s="3"/>
      <c r="B108" s="3"/>
      <c r="C108" s="3"/>
      <c r="D108" s="3"/>
      <c r="E108" s="3"/>
      <c r="F108" s="3"/>
      <c r="G108" s="3"/>
      <c r="H108" s="4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8"/>
    </row>
    <row r="109">
      <c r="A109" s="3"/>
      <c r="B109" s="3"/>
      <c r="C109" s="3"/>
      <c r="D109" s="3"/>
      <c r="E109" s="3"/>
      <c r="F109" s="3"/>
      <c r="G109" s="3"/>
      <c r="H109" s="4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8"/>
    </row>
    <row r="110">
      <c r="A110" s="3"/>
      <c r="B110" s="3"/>
      <c r="C110" s="3"/>
      <c r="D110" s="3"/>
      <c r="E110" s="3"/>
      <c r="F110" s="3"/>
      <c r="G110" s="3"/>
      <c r="H110" s="4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8"/>
    </row>
    <row r="111">
      <c r="A111" s="3"/>
      <c r="B111" s="3"/>
      <c r="C111" s="3"/>
      <c r="D111" s="3"/>
      <c r="E111" s="3"/>
      <c r="F111" s="3"/>
      <c r="G111" s="3"/>
      <c r="H111" s="4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8"/>
    </row>
    <row r="112">
      <c r="A112" s="3"/>
      <c r="B112" s="3"/>
      <c r="C112" s="3"/>
      <c r="D112" s="3"/>
      <c r="E112" s="3"/>
      <c r="F112" s="3"/>
      <c r="G112" s="3"/>
      <c r="H112" s="4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8"/>
    </row>
    <row r="113">
      <c r="A113" s="3"/>
      <c r="B113" s="3"/>
      <c r="C113" s="3"/>
      <c r="D113" s="3"/>
      <c r="E113" s="3"/>
      <c r="F113" s="3"/>
      <c r="G113" s="3"/>
      <c r="H113" s="4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8"/>
    </row>
    <row r="114">
      <c r="A114" s="3"/>
      <c r="B114" s="3"/>
      <c r="C114" s="3"/>
      <c r="D114" s="3"/>
      <c r="E114" s="3"/>
      <c r="F114" s="3"/>
      <c r="G114" s="3"/>
      <c r="H114" s="4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8"/>
    </row>
    <row r="115">
      <c r="A115" s="3"/>
      <c r="B115" s="3"/>
      <c r="C115" s="3"/>
      <c r="D115" s="3"/>
      <c r="E115" s="3"/>
      <c r="F115" s="3"/>
      <c r="G115" s="3"/>
      <c r="H115" s="4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8"/>
    </row>
    <row r="116">
      <c r="A116" s="3"/>
      <c r="B116" s="3"/>
      <c r="C116" s="3"/>
      <c r="D116" s="3"/>
      <c r="E116" s="3"/>
      <c r="F116" s="3"/>
      <c r="G116" s="3"/>
      <c r="H116" s="4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8"/>
    </row>
    <row r="117">
      <c r="A117" s="3"/>
      <c r="B117" s="3"/>
      <c r="C117" s="3"/>
      <c r="D117" s="3"/>
      <c r="E117" s="3"/>
      <c r="F117" s="3"/>
      <c r="G117" s="3"/>
      <c r="H117" s="4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8"/>
    </row>
    <row r="118">
      <c r="A118" s="3"/>
      <c r="B118" s="3"/>
      <c r="C118" s="3"/>
      <c r="D118" s="3"/>
      <c r="E118" s="3"/>
      <c r="F118" s="3"/>
      <c r="G118" s="3"/>
      <c r="H118" s="4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8"/>
    </row>
    <row r="119">
      <c r="A119" s="3"/>
      <c r="B119" s="3"/>
      <c r="C119" s="3"/>
      <c r="D119" s="3"/>
      <c r="E119" s="3"/>
      <c r="F119" s="3"/>
      <c r="G119" s="3"/>
      <c r="H119" s="4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8"/>
    </row>
    <row r="120">
      <c r="A120" s="3"/>
      <c r="B120" s="3"/>
      <c r="C120" s="3"/>
      <c r="D120" s="3"/>
      <c r="E120" s="3"/>
      <c r="F120" s="3"/>
      <c r="G120" s="3"/>
      <c r="H120" s="4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8"/>
    </row>
    <row r="121">
      <c r="A121" s="3"/>
      <c r="B121" s="3"/>
      <c r="C121" s="3"/>
      <c r="D121" s="3"/>
      <c r="E121" s="3"/>
      <c r="F121" s="3"/>
      <c r="G121" s="3"/>
      <c r="H121" s="4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8"/>
    </row>
    <row r="122">
      <c r="A122" s="3"/>
      <c r="B122" s="3"/>
      <c r="C122" s="3"/>
      <c r="D122" s="3"/>
      <c r="E122" s="3"/>
      <c r="F122" s="3"/>
      <c r="G122" s="3"/>
      <c r="H122" s="4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8"/>
    </row>
    <row r="123">
      <c r="A123" s="3"/>
      <c r="B123" s="3"/>
      <c r="C123" s="3"/>
      <c r="D123" s="3"/>
      <c r="E123" s="3"/>
      <c r="F123" s="3"/>
      <c r="G123" s="3"/>
      <c r="H123" s="4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8"/>
    </row>
    <row r="124">
      <c r="A124" s="3"/>
      <c r="B124" s="3"/>
      <c r="C124" s="3"/>
      <c r="D124" s="3"/>
      <c r="E124" s="3"/>
      <c r="F124" s="3"/>
      <c r="G124" s="3"/>
      <c r="H124" s="4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8"/>
    </row>
    <row r="125">
      <c r="A125" s="3"/>
      <c r="B125" s="3"/>
      <c r="C125" s="3"/>
      <c r="D125" s="3"/>
      <c r="E125" s="3"/>
      <c r="F125" s="3"/>
      <c r="G125" s="3"/>
      <c r="H125" s="4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8"/>
    </row>
    <row r="126">
      <c r="A126" s="3"/>
      <c r="B126" s="3"/>
      <c r="C126" s="3"/>
      <c r="D126" s="3"/>
      <c r="E126" s="3"/>
      <c r="F126" s="3"/>
      <c r="G126" s="3"/>
      <c r="H126" s="4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8"/>
    </row>
    <row r="127">
      <c r="A127" s="3"/>
      <c r="B127" s="3"/>
      <c r="C127" s="3"/>
      <c r="D127" s="3"/>
      <c r="E127" s="3"/>
      <c r="F127" s="3"/>
      <c r="G127" s="3"/>
      <c r="H127" s="4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8"/>
    </row>
    <row r="128">
      <c r="A128" s="3"/>
      <c r="B128" s="3"/>
      <c r="C128" s="3"/>
      <c r="D128" s="3"/>
      <c r="E128" s="3"/>
      <c r="F128" s="3"/>
      <c r="G128" s="3"/>
      <c r="H128" s="4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8"/>
    </row>
    <row r="129">
      <c r="A129" s="3"/>
      <c r="B129" s="3"/>
      <c r="C129" s="3"/>
      <c r="D129" s="3"/>
      <c r="E129" s="3"/>
      <c r="F129" s="3"/>
      <c r="G129" s="3"/>
      <c r="H129" s="4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8"/>
    </row>
    <row r="130">
      <c r="A130" s="3"/>
      <c r="B130" s="3"/>
      <c r="C130" s="3"/>
      <c r="D130" s="3"/>
      <c r="E130" s="3"/>
      <c r="F130" s="3"/>
      <c r="G130" s="3"/>
      <c r="H130" s="4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8"/>
    </row>
    <row r="131">
      <c r="A131" s="3"/>
      <c r="B131" s="3"/>
      <c r="C131" s="3"/>
      <c r="D131" s="3"/>
      <c r="E131" s="3"/>
      <c r="F131" s="3"/>
      <c r="G131" s="3"/>
      <c r="H131" s="4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8"/>
    </row>
    <row r="132">
      <c r="A132" s="3"/>
      <c r="B132" s="3"/>
      <c r="C132" s="3"/>
      <c r="D132" s="3"/>
      <c r="E132" s="3"/>
      <c r="F132" s="3"/>
      <c r="G132" s="3"/>
      <c r="H132" s="4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8"/>
    </row>
    <row r="133">
      <c r="A133" s="3"/>
      <c r="B133" s="3"/>
      <c r="C133" s="3"/>
      <c r="D133" s="3"/>
      <c r="E133" s="3"/>
      <c r="F133" s="3"/>
      <c r="G133" s="3"/>
      <c r="H133" s="4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8"/>
    </row>
    <row r="134">
      <c r="A134" s="3"/>
      <c r="B134" s="3"/>
      <c r="C134" s="3"/>
      <c r="D134" s="3"/>
      <c r="E134" s="3"/>
      <c r="F134" s="3"/>
      <c r="G134" s="3"/>
      <c r="H134" s="4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8"/>
    </row>
    <row r="135">
      <c r="A135" s="3"/>
      <c r="B135" s="3"/>
      <c r="C135" s="3"/>
      <c r="D135" s="3"/>
      <c r="E135" s="3"/>
      <c r="F135" s="3"/>
      <c r="G135" s="3"/>
      <c r="H135" s="4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8"/>
    </row>
    <row r="136">
      <c r="A136" s="3"/>
      <c r="B136" s="3"/>
      <c r="C136" s="3"/>
      <c r="D136" s="3"/>
      <c r="E136" s="3"/>
      <c r="F136" s="3"/>
      <c r="G136" s="3"/>
      <c r="H136" s="4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8"/>
    </row>
    <row r="137">
      <c r="A137" s="3"/>
      <c r="B137" s="3"/>
      <c r="C137" s="3"/>
      <c r="D137" s="3"/>
      <c r="E137" s="3"/>
      <c r="F137" s="3"/>
      <c r="G137" s="3"/>
      <c r="H137" s="4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8"/>
    </row>
    <row r="138">
      <c r="A138" s="3"/>
      <c r="B138" s="3"/>
      <c r="C138" s="3"/>
      <c r="D138" s="3"/>
      <c r="E138" s="3"/>
      <c r="F138" s="3"/>
      <c r="G138" s="3"/>
      <c r="H138" s="4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8"/>
    </row>
    <row r="139">
      <c r="A139" s="3"/>
      <c r="B139" s="3"/>
      <c r="C139" s="3"/>
      <c r="D139" s="3"/>
      <c r="E139" s="3"/>
      <c r="F139" s="3"/>
      <c r="G139" s="3"/>
      <c r="H139" s="4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8"/>
    </row>
    <row r="140">
      <c r="A140" s="3"/>
      <c r="B140" s="3"/>
      <c r="C140" s="3"/>
      <c r="D140" s="3"/>
      <c r="E140" s="3"/>
      <c r="F140" s="3"/>
      <c r="G140" s="3"/>
      <c r="H140" s="4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8"/>
    </row>
    <row r="141">
      <c r="A141" s="3"/>
      <c r="B141" s="3"/>
      <c r="C141" s="3"/>
      <c r="D141" s="3"/>
      <c r="E141" s="3"/>
      <c r="F141" s="3"/>
      <c r="G141" s="3"/>
      <c r="H141" s="4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8"/>
    </row>
    <row r="142">
      <c r="A142" s="3"/>
      <c r="B142" s="3"/>
      <c r="C142" s="3"/>
      <c r="D142" s="3"/>
      <c r="E142" s="3"/>
      <c r="F142" s="3"/>
      <c r="G142" s="3"/>
      <c r="H142" s="4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8"/>
    </row>
    <row r="143">
      <c r="A143" s="3"/>
      <c r="B143" s="3"/>
      <c r="C143" s="3"/>
      <c r="D143" s="3"/>
      <c r="E143" s="3"/>
      <c r="F143" s="3"/>
      <c r="G143" s="3"/>
      <c r="H143" s="4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8"/>
    </row>
    <row r="144">
      <c r="A144" s="3"/>
      <c r="B144" s="3"/>
      <c r="C144" s="3"/>
      <c r="D144" s="3"/>
      <c r="E144" s="3"/>
      <c r="F144" s="3"/>
      <c r="G144" s="3"/>
      <c r="H144" s="4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8"/>
    </row>
    <row r="145">
      <c r="A145" s="3"/>
      <c r="B145" s="3"/>
      <c r="C145" s="3"/>
      <c r="D145" s="3"/>
      <c r="E145" s="3"/>
      <c r="F145" s="3"/>
      <c r="G145" s="3"/>
      <c r="H145" s="4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8"/>
    </row>
    <row r="146">
      <c r="A146" s="3"/>
      <c r="B146" s="3"/>
      <c r="C146" s="3"/>
      <c r="D146" s="3"/>
      <c r="E146" s="3"/>
      <c r="F146" s="3"/>
      <c r="G146" s="3"/>
      <c r="H146" s="4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8"/>
    </row>
    <row r="147">
      <c r="A147" s="3"/>
      <c r="B147" s="3"/>
      <c r="C147" s="3"/>
      <c r="D147" s="3"/>
      <c r="E147" s="3"/>
      <c r="F147" s="3"/>
      <c r="G147" s="3"/>
      <c r="H147" s="4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8"/>
    </row>
    <row r="148">
      <c r="A148" s="3"/>
      <c r="B148" s="3"/>
      <c r="C148" s="3"/>
      <c r="D148" s="3"/>
      <c r="E148" s="3"/>
      <c r="F148" s="3"/>
      <c r="G148" s="3"/>
      <c r="H148" s="4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8"/>
    </row>
    <row r="149">
      <c r="A149" s="3"/>
      <c r="B149" s="3"/>
      <c r="C149" s="3"/>
      <c r="D149" s="3"/>
      <c r="E149" s="3"/>
      <c r="F149" s="3"/>
      <c r="G149" s="3"/>
      <c r="H149" s="4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8"/>
    </row>
    <row r="150">
      <c r="A150" s="3"/>
      <c r="B150" s="3"/>
      <c r="C150" s="3"/>
      <c r="D150" s="3"/>
      <c r="E150" s="3"/>
      <c r="F150" s="3"/>
      <c r="G150" s="3"/>
      <c r="H150" s="4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8"/>
    </row>
    <row r="151">
      <c r="A151" s="3"/>
      <c r="B151" s="3"/>
      <c r="C151" s="3"/>
      <c r="D151" s="3"/>
      <c r="E151" s="3"/>
      <c r="F151" s="3"/>
      <c r="G151" s="3"/>
      <c r="H151" s="4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8"/>
    </row>
    <row r="152">
      <c r="A152" s="3"/>
      <c r="B152" s="3"/>
      <c r="C152" s="3"/>
      <c r="D152" s="3"/>
      <c r="E152" s="3"/>
      <c r="F152" s="3"/>
      <c r="G152" s="3"/>
      <c r="H152" s="4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8"/>
    </row>
    <row r="153">
      <c r="A153" s="3"/>
      <c r="B153" s="3"/>
      <c r="C153" s="3"/>
      <c r="D153" s="3"/>
      <c r="E153" s="3"/>
      <c r="F153" s="3"/>
      <c r="G153" s="3"/>
      <c r="H153" s="4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8"/>
    </row>
    <row r="154">
      <c r="A154" s="3"/>
      <c r="B154" s="3"/>
      <c r="C154" s="3"/>
      <c r="D154" s="3"/>
      <c r="E154" s="3"/>
      <c r="F154" s="3"/>
      <c r="G154" s="3"/>
      <c r="H154" s="4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8"/>
    </row>
    <row r="155">
      <c r="A155" s="3"/>
      <c r="B155" s="3"/>
      <c r="C155" s="3"/>
      <c r="D155" s="3"/>
      <c r="E155" s="3"/>
      <c r="F155" s="3"/>
      <c r="G155" s="3"/>
      <c r="H155" s="4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8"/>
    </row>
    <row r="156">
      <c r="A156" s="3"/>
      <c r="B156" s="3"/>
      <c r="C156" s="3"/>
      <c r="D156" s="3"/>
      <c r="E156" s="3"/>
      <c r="F156" s="3"/>
      <c r="G156" s="3"/>
      <c r="H156" s="4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8"/>
    </row>
    <row r="157">
      <c r="A157" s="3"/>
      <c r="B157" s="3"/>
      <c r="C157" s="3"/>
      <c r="D157" s="3"/>
      <c r="E157" s="3"/>
      <c r="F157" s="3"/>
      <c r="G157" s="3"/>
      <c r="H157" s="4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8"/>
    </row>
    <row r="158">
      <c r="A158" s="3"/>
      <c r="B158" s="3"/>
      <c r="C158" s="3"/>
      <c r="D158" s="3"/>
      <c r="E158" s="3"/>
      <c r="F158" s="3"/>
      <c r="G158" s="3"/>
      <c r="H158" s="4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8"/>
    </row>
    <row r="159">
      <c r="A159" s="3"/>
      <c r="B159" s="3"/>
      <c r="C159" s="3"/>
      <c r="D159" s="3"/>
      <c r="E159" s="3"/>
      <c r="F159" s="3"/>
      <c r="G159" s="3"/>
      <c r="H159" s="4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8"/>
    </row>
    <row r="160">
      <c r="A160" s="3"/>
      <c r="B160" s="3"/>
      <c r="C160" s="3"/>
      <c r="D160" s="3"/>
      <c r="E160" s="3"/>
      <c r="F160" s="3"/>
      <c r="G160" s="3"/>
      <c r="H160" s="4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8"/>
    </row>
    <row r="161">
      <c r="A161" s="3"/>
      <c r="B161" s="3"/>
      <c r="C161" s="3"/>
      <c r="D161" s="3"/>
      <c r="E161" s="3"/>
      <c r="F161" s="3"/>
      <c r="G161" s="3"/>
      <c r="H161" s="4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8"/>
    </row>
    <row r="162">
      <c r="A162" s="3"/>
      <c r="B162" s="3"/>
      <c r="C162" s="3"/>
      <c r="D162" s="3"/>
      <c r="E162" s="3"/>
      <c r="F162" s="3"/>
      <c r="G162" s="3"/>
      <c r="H162" s="4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8"/>
    </row>
    <row r="163">
      <c r="A163" s="3"/>
      <c r="B163" s="3"/>
      <c r="C163" s="3"/>
      <c r="D163" s="3"/>
      <c r="E163" s="3"/>
      <c r="F163" s="3"/>
      <c r="G163" s="3"/>
      <c r="H163" s="4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8"/>
    </row>
    <row r="164">
      <c r="A164" s="3"/>
      <c r="B164" s="3"/>
      <c r="C164" s="3"/>
      <c r="D164" s="3"/>
      <c r="E164" s="3"/>
      <c r="F164" s="3"/>
      <c r="G164" s="3"/>
      <c r="H164" s="4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8"/>
    </row>
    <row r="165">
      <c r="A165" s="3"/>
      <c r="B165" s="3"/>
      <c r="C165" s="3"/>
      <c r="D165" s="3"/>
      <c r="E165" s="3"/>
      <c r="F165" s="3"/>
      <c r="G165" s="3"/>
      <c r="H165" s="4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8"/>
    </row>
    <row r="166">
      <c r="A166" s="3"/>
      <c r="B166" s="3"/>
      <c r="C166" s="3"/>
      <c r="D166" s="3"/>
      <c r="E166" s="3"/>
      <c r="F166" s="3"/>
      <c r="G166" s="3"/>
      <c r="H166" s="4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8"/>
    </row>
    <row r="167">
      <c r="A167" s="3"/>
      <c r="B167" s="3"/>
      <c r="C167" s="3"/>
      <c r="D167" s="3"/>
      <c r="E167" s="3"/>
      <c r="F167" s="3"/>
      <c r="G167" s="3"/>
      <c r="H167" s="4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8"/>
    </row>
    <row r="168">
      <c r="A168" s="3"/>
      <c r="B168" s="3"/>
      <c r="C168" s="3"/>
      <c r="D168" s="3"/>
      <c r="E168" s="3"/>
      <c r="F168" s="3"/>
      <c r="G168" s="3"/>
      <c r="H168" s="4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8"/>
    </row>
    <row r="169">
      <c r="A169" s="3"/>
      <c r="B169" s="3"/>
      <c r="C169" s="3"/>
      <c r="D169" s="3"/>
      <c r="E169" s="3"/>
      <c r="F169" s="3"/>
      <c r="G169" s="3"/>
      <c r="H169" s="4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8"/>
    </row>
    <row r="170">
      <c r="A170" s="3"/>
      <c r="B170" s="3"/>
      <c r="C170" s="3"/>
      <c r="D170" s="3"/>
      <c r="E170" s="3"/>
      <c r="F170" s="3"/>
      <c r="G170" s="3"/>
      <c r="H170" s="4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8"/>
    </row>
    <row r="171">
      <c r="A171" s="3"/>
      <c r="B171" s="3"/>
      <c r="C171" s="3"/>
      <c r="D171" s="3"/>
      <c r="E171" s="3"/>
      <c r="F171" s="3"/>
      <c r="G171" s="3"/>
      <c r="H171" s="4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8"/>
    </row>
    <row r="172">
      <c r="A172" s="3"/>
      <c r="B172" s="3"/>
      <c r="C172" s="3"/>
      <c r="D172" s="3"/>
      <c r="E172" s="3"/>
      <c r="F172" s="3"/>
      <c r="G172" s="3"/>
      <c r="H172" s="4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8"/>
    </row>
    <row r="173">
      <c r="A173" s="3"/>
      <c r="B173" s="3"/>
      <c r="C173" s="3"/>
      <c r="D173" s="3"/>
      <c r="E173" s="3"/>
      <c r="F173" s="3"/>
      <c r="G173" s="3"/>
      <c r="H173" s="4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8"/>
    </row>
    <row r="174">
      <c r="A174" s="3"/>
      <c r="B174" s="3"/>
      <c r="C174" s="3"/>
      <c r="D174" s="3"/>
      <c r="E174" s="3"/>
      <c r="F174" s="3"/>
      <c r="G174" s="3"/>
      <c r="H174" s="4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8"/>
    </row>
    <row r="175">
      <c r="A175" s="3"/>
      <c r="B175" s="3"/>
      <c r="C175" s="3"/>
      <c r="D175" s="3"/>
      <c r="E175" s="3"/>
      <c r="F175" s="3"/>
      <c r="G175" s="3"/>
      <c r="H175" s="4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8"/>
    </row>
    <row r="176">
      <c r="A176" s="3"/>
      <c r="B176" s="3"/>
      <c r="C176" s="3"/>
      <c r="D176" s="3"/>
      <c r="E176" s="3"/>
      <c r="F176" s="3"/>
      <c r="G176" s="3"/>
      <c r="H176" s="4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8"/>
    </row>
    <row r="177">
      <c r="A177" s="3"/>
      <c r="B177" s="3"/>
      <c r="C177" s="3"/>
      <c r="D177" s="3"/>
      <c r="E177" s="3"/>
      <c r="F177" s="3"/>
      <c r="G177" s="3"/>
      <c r="H177" s="4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8"/>
    </row>
    <row r="178">
      <c r="A178" s="3"/>
      <c r="B178" s="3"/>
      <c r="C178" s="3"/>
      <c r="D178" s="3"/>
      <c r="E178" s="3"/>
      <c r="F178" s="3"/>
      <c r="G178" s="3"/>
      <c r="H178" s="4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8"/>
    </row>
    <row r="179">
      <c r="A179" s="3"/>
      <c r="B179" s="3"/>
      <c r="C179" s="3"/>
      <c r="D179" s="3"/>
      <c r="E179" s="3"/>
      <c r="F179" s="3"/>
      <c r="G179" s="3"/>
      <c r="H179" s="4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8"/>
    </row>
    <row r="180">
      <c r="A180" s="3"/>
      <c r="B180" s="3"/>
      <c r="C180" s="3"/>
      <c r="D180" s="3"/>
      <c r="E180" s="3"/>
      <c r="F180" s="3"/>
      <c r="G180" s="3"/>
      <c r="H180" s="4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8"/>
    </row>
    <row r="181">
      <c r="A181" s="3"/>
      <c r="B181" s="3"/>
      <c r="C181" s="3"/>
      <c r="D181" s="3"/>
      <c r="E181" s="3"/>
      <c r="F181" s="3"/>
      <c r="G181" s="3"/>
      <c r="H181" s="4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8"/>
    </row>
    <row r="182">
      <c r="A182" s="3"/>
      <c r="B182" s="3"/>
      <c r="C182" s="3"/>
      <c r="D182" s="3"/>
      <c r="E182" s="3"/>
      <c r="F182" s="3"/>
      <c r="G182" s="3"/>
      <c r="H182" s="4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8"/>
    </row>
    <row r="183">
      <c r="A183" s="3"/>
      <c r="B183" s="3"/>
      <c r="C183" s="3"/>
      <c r="D183" s="3"/>
      <c r="E183" s="3"/>
      <c r="F183" s="3"/>
      <c r="G183" s="3"/>
      <c r="H183" s="4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8"/>
    </row>
    <row r="184">
      <c r="A184" s="3"/>
      <c r="B184" s="3"/>
      <c r="C184" s="3"/>
      <c r="D184" s="3"/>
      <c r="E184" s="3"/>
      <c r="F184" s="3"/>
      <c r="G184" s="3"/>
      <c r="H184" s="4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8"/>
    </row>
    <row r="185">
      <c r="A185" s="3"/>
      <c r="B185" s="3"/>
      <c r="C185" s="3"/>
      <c r="D185" s="3"/>
      <c r="E185" s="3"/>
      <c r="F185" s="3"/>
      <c r="G185" s="3"/>
      <c r="H185" s="4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8"/>
    </row>
    <row r="186">
      <c r="A186" s="3"/>
      <c r="B186" s="3"/>
      <c r="C186" s="3"/>
      <c r="D186" s="3"/>
      <c r="E186" s="3"/>
      <c r="F186" s="3"/>
      <c r="G186" s="3"/>
      <c r="H186" s="4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8"/>
    </row>
    <row r="187">
      <c r="A187" s="3"/>
      <c r="B187" s="3"/>
      <c r="C187" s="3"/>
      <c r="D187" s="3"/>
      <c r="E187" s="3"/>
      <c r="F187" s="3"/>
      <c r="G187" s="3"/>
      <c r="H187" s="4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8"/>
    </row>
    <row r="188">
      <c r="A188" s="3"/>
      <c r="B188" s="3"/>
      <c r="C188" s="3"/>
      <c r="D188" s="3"/>
      <c r="E188" s="3"/>
      <c r="F188" s="3"/>
      <c r="G188" s="3"/>
      <c r="H188" s="4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8"/>
    </row>
    <row r="189">
      <c r="A189" s="3"/>
      <c r="B189" s="3"/>
      <c r="C189" s="3"/>
      <c r="D189" s="3"/>
      <c r="E189" s="3"/>
      <c r="F189" s="3"/>
      <c r="G189" s="3"/>
      <c r="H189" s="4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8"/>
    </row>
    <row r="190">
      <c r="A190" s="3"/>
      <c r="B190" s="3"/>
      <c r="C190" s="3"/>
      <c r="D190" s="3"/>
      <c r="E190" s="3"/>
      <c r="F190" s="3"/>
      <c r="G190" s="3"/>
      <c r="H190" s="4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8"/>
    </row>
    <row r="191">
      <c r="A191" s="3"/>
      <c r="B191" s="3"/>
      <c r="C191" s="3"/>
      <c r="D191" s="3"/>
      <c r="E191" s="3"/>
      <c r="F191" s="3"/>
      <c r="G191" s="3"/>
      <c r="H191" s="4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8"/>
    </row>
    <row r="192">
      <c r="A192" s="3"/>
      <c r="B192" s="3"/>
      <c r="C192" s="3"/>
      <c r="D192" s="3"/>
      <c r="E192" s="3"/>
      <c r="F192" s="3"/>
      <c r="G192" s="3"/>
      <c r="H192" s="4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8"/>
    </row>
    <row r="193">
      <c r="A193" s="3"/>
      <c r="B193" s="3"/>
      <c r="C193" s="3"/>
      <c r="D193" s="3"/>
      <c r="E193" s="3"/>
      <c r="F193" s="3"/>
      <c r="G193" s="3"/>
      <c r="H193" s="4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8"/>
    </row>
    <row r="194">
      <c r="A194" s="3"/>
      <c r="B194" s="3"/>
      <c r="C194" s="3"/>
      <c r="D194" s="3"/>
      <c r="E194" s="3"/>
      <c r="F194" s="3"/>
      <c r="G194" s="3"/>
      <c r="H194" s="4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8"/>
    </row>
    <row r="195">
      <c r="A195" s="3"/>
      <c r="B195" s="3"/>
      <c r="C195" s="3"/>
      <c r="D195" s="3"/>
      <c r="E195" s="3"/>
      <c r="F195" s="3"/>
      <c r="G195" s="3"/>
      <c r="H195" s="4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8"/>
    </row>
    <row r="196">
      <c r="A196" s="3"/>
      <c r="B196" s="3"/>
      <c r="C196" s="3"/>
      <c r="D196" s="3"/>
      <c r="E196" s="3"/>
      <c r="F196" s="3"/>
      <c r="G196" s="3"/>
      <c r="H196" s="4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8"/>
    </row>
    <row r="197">
      <c r="A197" s="3"/>
      <c r="B197" s="3"/>
      <c r="C197" s="3"/>
      <c r="D197" s="3"/>
      <c r="E197" s="3"/>
      <c r="F197" s="3"/>
      <c r="G197" s="3"/>
      <c r="H197" s="4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8"/>
    </row>
    <row r="198">
      <c r="A198" s="3"/>
      <c r="B198" s="3"/>
      <c r="C198" s="3"/>
      <c r="D198" s="3"/>
      <c r="E198" s="3"/>
      <c r="F198" s="3"/>
      <c r="G198" s="3"/>
      <c r="H198" s="4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8"/>
    </row>
    <row r="199">
      <c r="A199" s="3"/>
      <c r="B199" s="3"/>
      <c r="C199" s="3"/>
      <c r="D199" s="3"/>
      <c r="E199" s="3"/>
      <c r="F199" s="3"/>
      <c r="G199" s="3"/>
      <c r="H199" s="4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8"/>
    </row>
    <row r="200">
      <c r="A200" s="3"/>
      <c r="B200" s="3"/>
      <c r="C200" s="3"/>
      <c r="D200" s="3"/>
      <c r="E200" s="3"/>
      <c r="F200" s="3"/>
      <c r="G200" s="3"/>
      <c r="H200" s="4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8"/>
    </row>
    <row r="201">
      <c r="A201" s="69"/>
      <c r="B201" s="69"/>
      <c r="C201" s="8"/>
      <c r="D201" s="8"/>
      <c r="E201" s="8"/>
      <c r="F201" s="8"/>
      <c r="G201" s="70"/>
      <c r="H201" s="71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69"/>
      <c r="B202" s="69"/>
      <c r="C202" s="8"/>
      <c r="D202" s="8"/>
      <c r="E202" s="8"/>
      <c r="F202" s="8"/>
      <c r="G202" s="70"/>
      <c r="H202" s="71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69"/>
      <c r="B203" s="69"/>
      <c r="C203" s="8"/>
      <c r="D203" s="8"/>
      <c r="E203" s="8"/>
      <c r="F203" s="8"/>
      <c r="G203" s="70"/>
      <c r="H203" s="71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69"/>
      <c r="B204" s="69"/>
      <c r="C204" s="8"/>
      <c r="D204" s="8"/>
      <c r="E204" s="8"/>
      <c r="F204" s="8"/>
      <c r="G204" s="70"/>
      <c r="H204" s="71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69"/>
      <c r="B205" s="69"/>
      <c r="C205" s="8"/>
      <c r="D205" s="8"/>
      <c r="E205" s="8"/>
      <c r="F205" s="8"/>
      <c r="G205" s="70"/>
      <c r="H205" s="71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69"/>
      <c r="B206" s="69"/>
      <c r="C206" s="8"/>
      <c r="D206" s="8"/>
      <c r="E206" s="8"/>
      <c r="F206" s="8"/>
      <c r="G206" s="70"/>
      <c r="H206" s="71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69"/>
      <c r="B207" s="69"/>
      <c r="C207" s="8"/>
      <c r="D207" s="8"/>
      <c r="E207" s="8"/>
      <c r="F207" s="8"/>
      <c r="G207" s="70"/>
      <c r="H207" s="71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69"/>
      <c r="B208" s="69"/>
      <c r="C208" s="8"/>
      <c r="D208" s="8"/>
      <c r="E208" s="8"/>
      <c r="F208" s="8"/>
      <c r="G208" s="70"/>
      <c r="H208" s="71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69"/>
      <c r="B209" s="69"/>
      <c r="C209" s="8"/>
      <c r="D209" s="8"/>
      <c r="E209" s="8"/>
      <c r="F209" s="8"/>
      <c r="G209" s="70"/>
      <c r="H209" s="71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69"/>
      <c r="B210" s="69"/>
      <c r="C210" s="8"/>
      <c r="D210" s="8"/>
      <c r="E210" s="8"/>
      <c r="F210" s="8"/>
      <c r="G210" s="70"/>
      <c r="H210" s="71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69"/>
      <c r="B211" s="69"/>
      <c r="C211" s="8"/>
      <c r="D211" s="8"/>
      <c r="E211" s="8"/>
      <c r="F211" s="8"/>
      <c r="G211" s="70"/>
      <c r="H211" s="71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69"/>
      <c r="B212" s="69"/>
      <c r="C212" s="8"/>
      <c r="D212" s="8"/>
      <c r="E212" s="8"/>
      <c r="F212" s="8"/>
      <c r="G212" s="70"/>
      <c r="H212" s="71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69"/>
      <c r="B213" s="69"/>
      <c r="C213" s="8"/>
      <c r="D213" s="8"/>
      <c r="E213" s="8"/>
      <c r="F213" s="8"/>
      <c r="G213" s="70"/>
      <c r="H213" s="71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69"/>
      <c r="B214" s="69"/>
      <c r="C214" s="8"/>
      <c r="D214" s="8"/>
      <c r="E214" s="8"/>
      <c r="F214" s="8"/>
      <c r="G214" s="70"/>
      <c r="H214" s="71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69"/>
      <c r="B215" s="69"/>
      <c r="C215" s="8"/>
      <c r="D215" s="8"/>
      <c r="E215" s="8"/>
      <c r="F215" s="8"/>
      <c r="G215" s="70"/>
      <c r="H215" s="71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69"/>
      <c r="B216" s="69"/>
      <c r="C216" s="8"/>
      <c r="D216" s="8"/>
      <c r="E216" s="8"/>
      <c r="F216" s="8"/>
      <c r="G216" s="70"/>
      <c r="H216" s="71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69"/>
      <c r="B217" s="69"/>
      <c r="C217" s="8"/>
      <c r="D217" s="8"/>
      <c r="E217" s="8"/>
      <c r="F217" s="8"/>
      <c r="G217" s="70"/>
      <c r="H217" s="71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69"/>
      <c r="B218" s="69"/>
      <c r="C218" s="8"/>
      <c r="D218" s="8"/>
      <c r="E218" s="8"/>
      <c r="F218" s="8"/>
      <c r="G218" s="70"/>
      <c r="H218" s="71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69"/>
      <c r="B219" s="69"/>
      <c r="C219" s="8"/>
      <c r="D219" s="8"/>
      <c r="E219" s="8"/>
      <c r="F219" s="8"/>
      <c r="G219" s="70"/>
      <c r="H219" s="71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69"/>
      <c r="B220" s="69"/>
      <c r="C220" s="8"/>
      <c r="D220" s="8"/>
      <c r="E220" s="8"/>
      <c r="F220" s="8"/>
      <c r="G220" s="70"/>
      <c r="H220" s="71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69"/>
      <c r="B221" s="69"/>
      <c r="C221" s="8"/>
      <c r="D221" s="8"/>
      <c r="E221" s="8"/>
      <c r="F221" s="8"/>
      <c r="G221" s="70"/>
      <c r="H221" s="71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69"/>
      <c r="B222" s="69"/>
      <c r="C222" s="8"/>
      <c r="D222" s="8"/>
      <c r="E222" s="8"/>
      <c r="F222" s="8"/>
      <c r="G222" s="70"/>
      <c r="H222" s="71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69"/>
      <c r="B223" s="69"/>
      <c r="C223" s="8"/>
      <c r="D223" s="8"/>
      <c r="E223" s="8"/>
      <c r="F223" s="8"/>
      <c r="G223" s="70"/>
      <c r="H223" s="71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69"/>
      <c r="B224" s="69"/>
      <c r="C224" s="8"/>
      <c r="D224" s="8"/>
      <c r="E224" s="8"/>
      <c r="F224" s="8"/>
      <c r="G224" s="70"/>
      <c r="H224" s="71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69"/>
      <c r="B225" s="69"/>
      <c r="C225" s="8"/>
      <c r="D225" s="8"/>
      <c r="E225" s="8"/>
      <c r="F225" s="8"/>
      <c r="G225" s="70"/>
      <c r="H225" s="71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69"/>
      <c r="B226" s="69"/>
      <c r="C226" s="8"/>
      <c r="D226" s="8"/>
      <c r="E226" s="8"/>
      <c r="F226" s="8"/>
      <c r="G226" s="70"/>
      <c r="H226" s="71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69"/>
      <c r="B227" s="69"/>
      <c r="C227" s="8"/>
      <c r="D227" s="8"/>
      <c r="E227" s="8"/>
      <c r="F227" s="8"/>
      <c r="G227" s="70"/>
      <c r="H227" s="71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69"/>
      <c r="B228" s="69"/>
      <c r="C228" s="8"/>
      <c r="D228" s="8"/>
      <c r="E228" s="8"/>
      <c r="F228" s="8"/>
      <c r="G228" s="70"/>
      <c r="H228" s="71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69"/>
      <c r="B229" s="69"/>
      <c r="C229" s="8"/>
      <c r="D229" s="8"/>
      <c r="E229" s="8"/>
      <c r="F229" s="8"/>
      <c r="G229" s="70"/>
      <c r="H229" s="71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69"/>
      <c r="B230" s="69"/>
      <c r="C230" s="8"/>
      <c r="D230" s="8"/>
      <c r="E230" s="8"/>
      <c r="F230" s="8"/>
      <c r="G230" s="70"/>
      <c r="H230" s="71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69"/>
      <c r="B231" s="69"/>
      <c r="C231" s="8"/>
      <c r="D231" s="8"/>
      <c r="E231" s="8"/>
      <c r="F231" s="8"/>
      <c r="G231" s="70"/>
      <c r="H231" s="71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69"/>
      <c r="B232" s="69"/>
      <c r="C232" s="8"/>
      <c r="D232" s="8"/>
      <c r="E232" s="8"/>
      <c r="F232" s="8"/>
      <c r="G232" s="70"/>
      <c r="H232" s="71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69"/>
      <c r="B233" s="69"/>
      <c r="C233" s="8"/>
      <c r="D233" s="8"/>
      <c r="E233" s="8"/>
      <c r="F233" s="8"/>
      <c r="G233" s="70"/>
      <c r="H233" s="71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69"/>
      <c r="B234" s="69"/>
      <c r="C234" s="8"/>
      <c r="D234" s="8"/>
      <c r="E234" s="8"/>
      <c r="F234" s="8"/>
      <c r="G234" s="70"/>
      <c r="H234" s="71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69"/>
      <c r="B235" s="69"/>
      <c r="C235" s="8"/>
      <c r="D235" s="8"/>
      <c r="E235" s="8"/>
      <c r="F235" s="8"/>
      <c r="G235" s="70"/>
      <c r="H235" s="71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69"/>
      <c r="B236" s="69"/>
      <c r="C236" s="8"/>
      <c r="D236" s="8"/>
      <c r="E236" s="8"/>
      <c r="F236" s="8"/>
      <c r="G236" s="70"/>
      <c r="H236" s="71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69"/>
      <c r="B237" s="69"/>
      <c r="C237" s="8"/>
      <c r="D237" s="8"/>
      <c r="E237" s="8"/>
      <c r="F237" s="8"/>
      <c r="G237" s="70"/>
      <c r="H237" s="71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69"/>
      <c r="B238" s="69"/>
      <c r="C238" s="8"/>
      <c r="D238" s="8"/>
      <c r="E238" s="8"/>
      <c r="F238" s="8"/>
      <c r="G238" s="70"/>
      <c r="H238" s="71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69"/>
      <c r="B239" s="69"/>
      <c r="C239" s="8"/>
      <c r="D239" s="8"/>
      <c r="E239" s="8"/>
      <c r="F239" s="8"/>
      <c r="G239" s="70"/>
      <c r="H239" s="71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69"/>
      <c r="B240" s="69"/>
      <c r="C240" s="8"/>
      <c r="D240" s="8"/>
      <c r="E240" s="8"/>
      <c r="F240" s="8"/>
      <c r="G240" s="70"/>
      <c r="H240" s="71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69"/>
      <c r="B241" s="69"/>
      <c r="C241" s="8"/>
      <c r="D241" s="8"/>
      <c r="E241" s="8"/>
      <c r="F241" s="8"/>
      <c r="G241" s="70"/>
      <c r="H241" s="71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69"/>
      <c r="B242" s="69"/>
      <c r="C242" s="8"/>
      <c r="D242" s="8"/>
      <c r="E242" s="8"/>
      <c r="F242" s="8"/>
      <c r="G242" s="70"/>
      <c r="H242" s="71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69"/>
      <c r="B243" s="69"/>
      <c r="C243" s="8"/>
      <c r="D243" s="8"/>
      <c r="E243" s="8"/>
      <c r="F243" s="8"/>
      <c r="G243" s="70"/>
      <c r="H243" s="71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69"/>
      <c r="B244" s="69"/>
      <c r="C244" s="8"/>
      <c r="D244" s="8"/>
      <c r="E244" s="8"/>
      <c r="F244" s="8"/>
      <c r="G244" s="70"/>
      <c r="H244" s="71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69"/>
      <c r="B245" s="69"/>
      <c r="C245" s="8"/>
      <c r="D245" s="8"/>
      <c r="E245" s="8"/>
      <c r="F245" s="8"/>
      <c r="G245" s="70"/>
      <c r="H245" s="71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69"/>
      <c r="B246" s="69"/>
      <c r="C246" s="8"/>
      <c r="D246" s="8"/>
      <c r="E246" s="8"/>
      <c r="F246" s="8"/>
      <c r="G246" s="70"/>
      <c r="H246" s="71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69"/>
      <c r="B247" s="69"/>
      <c r="C247" s="8"/>
      <c r="D247" s="8"/>
      <c r="E247" s="8"/>
      <c r="F247" s="8"/>
      <c r="G247" s="70"/>
      <c r="H247" s="71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69"/>
      <c r="B248" s="69"/>
      <c r="C248" s="8"/>
      <c r="D248" s="8"/>
      <c r="E248" s="8"/>
      <c r="F248" s="8"/>
      <c r="G248" s="70"/>
      <c r="H248" s="71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69"/>
      <c r="B249" s="69"/>
      <c r="C249" s="8"/>
      <c r="D249" s="8"/>
      <c r="E249" s="8"/>
      <c r="F249" s="8"/>
      <c r="G249" s="70"/>
      <c r="H249" s="71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69"/>
      <c r="B250" s="69"/>
      <c r="C250" s="8"/>
      <c r="D250" s="8"/>
      <c r="E250" s="8"/>
      <c r="F250" s="8"/>
      <c r="G250" s="70"/>
      <c r="H250" s="71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69"/>
      <c r="B251" s="69"/>
      <c r="C251" s="8"/>
      <c r="D251" s="8"/>
      <c r="E251" s="8"/>
      <c r="F251" s="8"/>
      <c r="G251" s="70"/>
      <c r="H251" s="71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69"/>
      <c r="B252" s="69"/>
      <c r="C252" s="8"/>
      <c r="D252" s="8"/>
      <c r="E252" s="8"/>
      <c r="F252" s="8"/>
      <c r="G252" s="70"/>
      <c r="H252" s="71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69"/>
      <c r="B253" s="69"/>
      <c r="C253" s="8"/>
      <c r="D253" s="8"/>
      <c r="E253" s="8"/>
      <c r="F253" s="8"/>
      <c r="G253" s="70"/>
      <c r="H253" s="71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69"/>
      <c r="B254" s="69"/>
      <c r="C254" s="8"/>
      <c r="D254" s="8"/>
      <c r="E254" s="8"/>
      <c r="F254" s="8"/>
      <c r="G254" s="70"/>
      <c r="H254" s="71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69"/>
      <c r="B255" s="69"/>
      <c r="C255" s="8"/>
      <c r="D255" s="8"/>
      <c r="E255" s="8"/>
      <c r="F255" s="8"/>
      <c r="G255" s="70"/>
      <c r="H255" s="71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69"/>
      <c r="B256" s="69"/>
      <c r="C256" s="8"/>
      <c r="D256" s="8"/>
      <c r="E256" s="8"/>
      <c r="F256" s="8"/>
      <c r="G256" s="70"/>
      <c r="H256" s="71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69"/>
      <c r="B257" s="69"/>
      <c r="C257" s="8"/>
      <c r="D257" s="8"/>
      <c r="E257" s="8"/>
      <c r="F257" s="8"/>
      <c r="G257" s="70"/>
      <c r="H257" s="71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69"/>
      <c r="B258" s="69"/>
      <c r="C258" s="8"/>
      <c r="D258" s="8"/>
      <c r="E258" s="8"/>
      <c r="F258" s="8"/>
      <c r="G258" s="70"/>
      <c r="H258" s="71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69"/>
      <c r="B259" s="69"/>
      <c r="C259" s="8"/>
      <c r="D259" s="8"/>
      <c r="E259" s="8"/>
      <c r="F259" s="8"/>
      <c r="G259" s="70"/>
      <c r="H259" s="71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69"/>
      <c r="B260" s="69"/>
      <c r="C260" s="8"/>
      <c r="D260" s="8"/>
      <c r="E260" s="8"/>
      <c r="F260" s="8"/>
      <c r="G260" s="70"/>
      <c r="H260" s="71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69"/>
      <c r="B261" s="69"/>
      <c r="C261" s="8"/>
      <c r="D261" s="8"/>
      <c r="E261" s="8"/>
      <c r="F261" s="8"/>
      <c r="G261" s="70"/>
      <c r="H261" s="71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69"/>
      <c r="B262" s="69"/>
      <c r="C262" s="8"/>
      <c r="D262" s="8"/>
      <c r="E262" s="8"/>
      <c r="F262" s="8"/>
      <c r="G262" s="70"/>
      <c r="H262" s="71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69"/>
      <c r="B263" s="69"/>
      <c r="C263" s="8"/>
      <c r="D263" s="8"/>
      <c r="E263" s="8"/>
      <c r="F263" s="8"/>
      <c r="G263" s="70"/>
      <c r="H263" s="71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69"/>
      <c r="B264" s="69"/>
      <c r="C264" s="8"/>
      <c r="D264" s="8"/>
      <c r="E264" s="8"/>
      <c r="F264" s="8"/>
      <c r="G264" s="70"/>
      <c r="H264" s="71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69"/>
      <c r="B265" s="69"/>
      <c r="C265" s="8"/>
      <c r="D265" s="8"/>
      <c r="E265" s="8"/>
      <c r="F265" s="8"/>
      <c r="G265" s="70"/>
      <c r="H265" s="71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69"/>
      <c r="B266" s="69"/>
      <c r="C266" s="8"/>
      <c r="D266" s="8"/>
      <c r="E266" s="8"/>
      <c r="F266" s="8"/>
      <c r="G266" s="70"/>
      <c r="H266" s="71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69"/>
      <c r="B267" s="69"/>
      <c r="C267" s="8"/>
      <c r="D267" s="8"/>
      <c r="E267" s="8"/>
      <c r="F267" s="8"/>
      <c r="G267" s="70"/>
      <c r="H267" s="71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69"/>
      <c r="B268" s="69"/>
      <c r="C268" s="8"/>
      <c r="D268" s="8"/>
      <c r="E268" s="8"/>
      <c r="F268" s="8"/>
      <c r="G268" s="70"/>
      <c r="H268" s="71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69"/>
      <c r="B269" s="69"/>
      <c r="C269" s="8"/>
      <c r="D269" s="8"/>
      <c r="E269" s="8"/>
      <c r="F269" s="8"/>
      <c r="G269" s="70"/>
      <c r="H269" s="71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69"/>
      <c r="B270" s="69"/>
      <c r="C270" s="8"/>
      <c r="D270" s="8"/>
      <c r="E270" s="8"/>
      <c r="F270" s="8"/>
      <c r="G270" s="70"/>
      <c r="H270" s="71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69"/>
      <c r="B271" s="69"/>
      <c r="C271" s="8"/>
      <c r="D271" s="8"/>
      <c r="E271" s="8"/>
      <c r="F271" s="8"/>
      <c r="G271" s="70"/>
      <c r="H271" s="71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69"/>
      <c r="B272" s="69"/>
      <c r="C272" s="8"/>
      <c r="D272" s="8"/>
      <c r="E272" s="8"/>
      <c r="F272" s="8"/>
      <c r="G272" s="70"/>
      <c r="H272" s="71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69"/>
      <c r="B273" s="69"/>
      <c r="C273" s="8"/>
      <c r="D273" s="8"/>
      <c r="E273" s="8"/>
      <c r="F273" s="8"/>
      <c r="G273" s="70"/>
      <c r="H273" s="71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69"/>
      <c r="B274" s="69"/>
      <c r="C274" s="8"/>
      <c r="D274" s="8"/>
      <c r="E274" s="8"/>
      <c r="F274" s="8"/>
      <c r="G274" s="70"/>
      <c r="H274" s="71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69"/>
      <c r="B275" s="69"/>
      <c r="C275" s="8"/>
      <c r="D275" s="8"/>
      <c r="E275" s="8"/>
      <c r="F275" s="8"/>
      <c r="G275" s="70"/>
      <c r="H275" s="71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69"/>
      <c r="B276" s="69"/>
      <c r="C276" s="8"/>
      <c r="D276" s="8"/>
      <c r="E276" s="8"/>
      <c r="F276" s="8"/>
      <c r="G276" s="70"/>
      <c r="H276" s="71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69"/>
      <c r="B277" s="69"/>
      <c r="C277" s="8"/>
      <c r="D277" s="8"/>
      <c r="E277" s="8"/>
      <c r="F277" s="8"/>
      <c r="G277" s="70"/>
      <c r="H277" s="71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69"/>
      <c r="B278" s="69"/>
      <c r="C278" s="8"/>
      <c r="D278" s="8"/>
      <c r="E278" s="8"/>
      <c r="F278" s="8"/>
      <c r="G278" s="70"/>
      <c r="H278" s="71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69"/>
      <c r="B279" s="69"/>
      <c r="C279" s="8"/>
      <c r="D279" s="8"/>
      <c r="E279" s="8"/>
      <c r="F279" s="8"/>
      <c r="G279" s="70"/>
      <c r="H279" s="71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69"/>
      <c r="B280" s="69"/>
      <c r="C280" s="8"/>
      <c r="D280" s="8"/>
      <c r="E280" s="8"/>
      <c r="F280" s="8"/>
      <c r="G280" s="70"/>
      <c r="H280" s="71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69"/>
      <c r="B281" s="69"/>
      <c r="C281" s="8"/>
      <c r="D281" s="8"/>
      <c r="E281" s="8"/>
      <c r="F281" s="8"/>
      <c r="G281" s="70"/>
      <c r="H281" s="71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69"/>
      <c r="B282" s="69"/>
      <c r="C282" s="8"/>
      <c r="D282" s="8"/>
      <c r="E282" s="8"/>
      <c r="F282" s="8"/>
      <c r="G282" s="70"/>
      <c r="H282" s="71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69"/>
      <c r="B283" s="69"/>
      <c r="C283" s="8"/>
      <c r="D283" s="8"/>
      <c r="E283" s="8"/>
      <c r="F283" s="8"/>
      <c r="G283" s="70"/>
      <c r="H283" s="71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69"/>
      <c r="B284" s="69"/>
      <c r="C284" s="8"/>
      <c r="D284" s="8"/>
      <c r="E284" s="8"/>
      <c r="F284" s="8"/>
      <c r="G284" s="70"/>
      <c r="H284" s="71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69"/>
      <c r="B285" s="69"/>
      <c r="C285" s="8"/>
      <c r="D285" s="8"/>
      <c r="E285" s="8"/>
      <c r="F285" s="8"/>
      <c r="G285" s="70"/>
      <c r="H285" s="71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69"/>
      <c r="B286" s="69"/>
      <c r="C286" s="8"/>
      <c r="D286" s="8"/>
      <c r="E286" s="8"/>
      <c r="F286" s="8"/>
      <c r="G286" s="70"/>
      <c r="H286" s="71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69"/>
      <c r="B287" s="69"/>
      <c r="C287" s="8"/>
      <c r="D287" s="8"/>
      <c r="E287" s="8"/>
      <c r="F287" s="8"/>
      <c r="G287" s="70"/>
      <c r="H287" s="71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69"/>
      <c r="B288" s="69"/>
      <c r="C288" s="8"/>
      <c r="D288" s="8"/>
      <c r="E288" s="8"/>
      <c r="F288" s="8"/>
      <c r="G288" s="70"/>
      <c r="H288" s="71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69"/>
      <c r="B289" s="69"/>
      <c r="C289" s="8"/>
      <c r="D289" s="8"/>
      <c r="E289" s="8"/>
      <c r="F289" s="8"/>
      <c r="G289" s="70"/>
      <c r="H289" s="71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69"/>
      <c r="B290" s="69"/>
      <c r="C290" s="8"/>
      <c r="D290" s="8"/>
      <c r="E290" s="8"/>
      <c r="F290" s="8"/>
      <c r="G290" s="70"/>
      <c r="H290" s="71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69"/>
      <c r="B291" s="69"/>
      <c r="C291" s="8"/>
      <c r="D291" s="8"/>
      <c r="E291" s="8"/>
      <c r="F291" s="8"/>
      <c r="G291" s="70"/>
      <c r="H291" s="71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69"/>
      <c r="B292" s="69"/>
      <c r="C292" s="8"/>
      <c r="D292" s="8"/>
      <c r="E292" s="8"/>
      <c r="F292" s="8"/>
      <c r="G292" s="70"/>
      <c r="H292" s="71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69"/>
      <c r="B293" s="69"/>
      <c r="C293" s="8"/>
      <c r="D293" s="8"/>
      <c r="E293" s="8"/>
      <c r="F293" s="8"/>
      <c r="G293" s="70"/>
      <c r="H293" s="71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69"/>
      <c r="B294" s="69"/>
      <c r="C294" s="8"/>
      <c r="D294" s="8"/>
      <c r="E294" s="8"/>
      <c r="F294" s="8"/>
      <c r="G294" s="70"/>
      <c r="H294" s="71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69"/>
      <c r="B295" s="69"/>
      <c r="C295" s="8"/>
      <c r="D295" s="8"/>
      <c r="E295" s="8"/>
      <c r="F295" s="8"/>
      <c r="G295" s="70"/>
      <c r="H295" s="71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69"/>
      <c r="B296" s="69"/>
      <c r="C296" s="8"/>
      <c r="D296" s="8"/>
      <c r="E296" s="8"/>
      <c r="F296" s="8"/>
      <c r="G296" s="70"/>
      <c r="H296" s="71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69"/>
      <c r="B297" s="69"/>
      <c r="C297" s="8"/>
      <c r="D297" s="8"/>
      <c r="E297" s="8"/>
      <c r="F297" s="8"/>
      <c r="G297" s="70"/>
      <c r="H297" s="71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69"/>
      <c r="B298" s="69"/>
      <c r="C298" s="8"/>
      <c r="D298" s="8"/>
      <c r="E298" s="8"/>
      <c r="F298" s="8"/>
      <c r="G298" s="70"/>
      <c r="H298" s="71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69"/>
      <c r="B299" s="69"/>
      <c r="C299" s="8"/>
      <c r="D299" s="8"/>
      <c r="E299" s="8"/>
      <c r="F299" s="8"/>
      <c r="G299" s="70"/>
      <c r="H299" s="71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69"/>
      <c r="B300" s="69"/>
      <c r="C300" s="8"/>
      <c r="D300" s="8"/>
      <c r="E300" s="8"/>
      <c r="F300" s="8"/>
      <c r="G300" s="70"/>
      <c r="H300" s="71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69"/>
      <c r="B301" s="69"/>
      <c r="C301" s="8"/>
      <c r="D301" s="8"/>
      <c r="E301" s="8"/>
      <c r="F301" s="8"/>
      <c r="G301" s="70"/>
      <c r="H301" s="71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69"/>
      <c r="B302" s="69"/>
      <c r="C302" s="8"/>
      <c r="D302" s="8"/>
      <c r="E302" s="8"/>
      <c r="F302" s="8"/>
      <c r="G302" s="70"/>
      <c r="H302" s="71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69"/>
      <c r="B303" s="69"/>
      <c r="C303" s="8"/>
      <c r="D303" s="8"/>
      <c r="E303" s="8"/>
      <c r="F303" s="8"/>
      <c r="G303" s="70"/>
      <c r="H303" s="71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69"/>
      <c r="B304" s="69"/>
      <c r="C304" s="8"/>
      <c r="D304" s="8"/>
      <c r="E304" s="8"/>
      <c r="F304" s="8"/>
      <c r="G304" s="70"/>
      <c r="H304" s="71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69"/>
      <c r="B305" s="69"/>
      <c r="C305" s="8"/>
      <c r="D305" s="8"/>
      <c r="E305" s="8"/>
      <c r="F305" s="8"/>
      <c r="G305" s="70"/>
      <c r="H305" s="71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69"/>
      <c r="B306" s="69"/>
      <c r="C306" s="8"/>
      <c r="D306" s="8"/>
      <c r="E306" s="8"/>
      <c r="F306" s="8"/>
      <c r="G306" s="70"/>
      <c r="H306" s="71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69"/>
      <c r="B307" s="69"/>
      <c r="C307" s="8"/>
      <c r="D307" s="8"/>
      <c r="E307" s="8"/>
      <c r="F307" s="8"/>
      <c r="G307" s="70"/>
      <c r="H307" s="71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69"/>
      <c r="B308" s="69"/>
      <c r="C308" s="8"/>
      <c r="D308" s="8"/>
      <c r="E308" s="8"/>
      <c r="F308" s="8"/>
      <c r="G308" s="70"/>
      <c r="H308" s="71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69"/>
      <c r="B309" s="69"/>
      <c r="C309" s="8"/>
      <c r="D309" s="8"/>
      <c r="E309" s="8"/>
      <c r="F309" s="8"/>
      <c r="G309" s="70"/>
      <c r="H309" s="71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69"/>
      <c r="B310" s="69"/>
      <c r="C310" s="8"/>
      <c r="D310" s="8"/>
      <c r="E310" s="8"/>
      <c r="F310" s="8"/>
      <c r="G310" s="70"/>
      <c r="H310" s="71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69"/>
      <c r="B311" s="69"/>
      <c r="C311" s="8"/>
      <c r="D311" s="8"/>
      <c r="E311" s="8"/>
      <c r="F311" s="8"/>
      <c r="G311" s="70"/>
      <c r="H311" s="71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69"/>
      <c r="B312" s="69"/>
      <c r="C312" s="8"/>
      <c r="D312" s="8"/>
      <c r="E312" s="8"/>
      <c r="F312" s="8"/>
      <c r="G312" s="70"/>
      <c r="H312" s="71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69"/>
      <c r="B313" s="69"/>
      <c r="C313" s="8"/>
      <c r="D313" s="8"/>
      <c r="E313" s="8"/>
      <c r="F313" s="8"/>
      <c r="G313" s="70"/>
      <c r="H313" s="71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69"/>
      <c r="B314" s="69"/>
      <c r="C314" s="8"/>
      <c r="D314" s="8"/>
      <c r="E314" s="8"/>
      <c r="F314" s="8"/>
      <c r="G314" s="70"/>
      <c r="H314" s="71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69"/>
      <c r="B315" s="69"/>
      <c r="C315" s="8"/>
      <c r="D315" s="8"/>
      <c r="E315" s="8"/>
      <c r="F315" s="8"/>
      <c r="G315" s="70"/>
      <c r="H315" s="71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69"/>
      <c r="B316" s="69"/>
      <c r="C316" s="8"/>
      <c r="D316" s="8"/>
      <c r="E316" s="8"/>
      <c r="F316" s="8"/>
      <c r="G316" s="70"/>
      <c r="H316" s="71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75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75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75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75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75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75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75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75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75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75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75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75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75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75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75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75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75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75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75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75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75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75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75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75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75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75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75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75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75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75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75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75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75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75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75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75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75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75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75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75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75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75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75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75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75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75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75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75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75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75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75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7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75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75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75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75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75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75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75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75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75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75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75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75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75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75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75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75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75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75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75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75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75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75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75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75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75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75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75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75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75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75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75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75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75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75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75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75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75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75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75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75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75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75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75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75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75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75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75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75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75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75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75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75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75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75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75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75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75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75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75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75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75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75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75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75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75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75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75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75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75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75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75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75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75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75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75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75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75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75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75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75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75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75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75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75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75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75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75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75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75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75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75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75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75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75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75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75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75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75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75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75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75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75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75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75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75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75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75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75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75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75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75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75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75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75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75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75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75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75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75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75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75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75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75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75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75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75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75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75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75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75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75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75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75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75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75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75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75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75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75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75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75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75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75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75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75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75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75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75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75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75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75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75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75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75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75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75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75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75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75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75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75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75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75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75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75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75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75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75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75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75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75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75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75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75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75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75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75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75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75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75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75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75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75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75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75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75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75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75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75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75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75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75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75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75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75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75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75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75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75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75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75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75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75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75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75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75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75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75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75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75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75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75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75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75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75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75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75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75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75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75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75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75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75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75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75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75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75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75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75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75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75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75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75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75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75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75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75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75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75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75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75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75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75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75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75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75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75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75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75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75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75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75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75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75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75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75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75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75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75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75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75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75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75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75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75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75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75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75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75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75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75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75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75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75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75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75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75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75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75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75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75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75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75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75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75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75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75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75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75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75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75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75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75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75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75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75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75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75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75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75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75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75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75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75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75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75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75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75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75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75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75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75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75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75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75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75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75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75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75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75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75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75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75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75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75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75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75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75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75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75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75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75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75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75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75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75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75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75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75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75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75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75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75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75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75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75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75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75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75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75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75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75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75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75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75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75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75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75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75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75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75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75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75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75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75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75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75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75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75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75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75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75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75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75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75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75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75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75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75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75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75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75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75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75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75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75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75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75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75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75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75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75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75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75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75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75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75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75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75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75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75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75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75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75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75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75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75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75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75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75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75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75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75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75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75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75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75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75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75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75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75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75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75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75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75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75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75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75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75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75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75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75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75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75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75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75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75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75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75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75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75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75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75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75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75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75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75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75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75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75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75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75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75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75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75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75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75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75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75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75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75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75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75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75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75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75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75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75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75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75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75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75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75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75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75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75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75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75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75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75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75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75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75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75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75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75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75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75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75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75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75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75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75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75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75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75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75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75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75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75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75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75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75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75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75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75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75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75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75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75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75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75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75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75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75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75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75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75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75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75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75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75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75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75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75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75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75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75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75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75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75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75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75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75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75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75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75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75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75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75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75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75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75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75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75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75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75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75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75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75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75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75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75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75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75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75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75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75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75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75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75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75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75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75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75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75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75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75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75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75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75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75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75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75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75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75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75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75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75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75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75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75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75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75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75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75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75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75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75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75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75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75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75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75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75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75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75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75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75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75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75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75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75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75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75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75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75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75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75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75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75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75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75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75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75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75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75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75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75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75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75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75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75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75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75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75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75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75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75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75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75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75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76"/>
      <c r="B1001" s="76"/>
      <c r="C1001" s="76"/>
      <c r="D1001" s="76"/>
      <c r="E1001" s="76"/>
      <c r="F1001" s="76"/>
      <c r="G1001" s="76"/>
      <c r="H1001" s="77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</row>
    <row r="1002">
      <c r="A1002" s="76"/>
      <c r="B1002" s="76"/>
      <c r="C1002" s="76"/>
      <c r="D1002" s="76"/>
      <c r="E1002" s="76"/>
      <c r="F1002" s="76"/>
      <c r="G1002" s="76"/>
      <c r="H1002" s="77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</row>
  </sheetData>
  <mergeCells count="48">
    <mergeCell ref="A1:L1"/>
    <mergeCell ref="A2:L2"/>
    <mergeCell ref="A3:L3"/>
    <mergeCell ref="A4:C4"/>
    <mergeCell ref="D4:E4"/>
    <mergeCell ref="F4:G4"/>
    <mergeCell ref="J4:L4"/>
    <mergeCell ref="A5:C5"/>
    <mergeCell ref="D5:E5"/>
    <mergeCell ref="F5:G5"/>
    <mergeCell ref="J5:L5"/>
    <mergeCell ref="D6:E6"/>
    <mergeCell ref="F6:G6"/>
    <mergeCell ref="J6:L6"/>
    <mergeCell ref="J7:L7"/>
    <mergeCell ref="J8:L8"/>
    <mergeCell ref="J9:L9"/>
    <mergeCell ref="J10:L10"/>
    <mergeCell ref="J11:L11"/>
    <mergeCell ref="J12:L12"/>
    <mergeCell ref="J13:L13"/>
    <mergeCell ref="J14:L14"/>
    <mergeCell ref="A6:C6"/>
    <mergeCell ref="A7:C7"/>
    <mergeCell ref="D7:E7"/>
    <mergeCell ref="F7:G7"/>
    <mergeCell ref="A8:C8"/>
    <mergeCell ref="D8:E8"/>
    <mergeCell ref="F8:G8"/>
    <mergeCell ref="D11:E11"/>
    <mergeCell ref="F11:G11"/>
    <mergeCell ref="A9:C9"/>
    <mergeCell ref="D9:E9"/>
    <mergeCell ref="F9:G9"/>
    <mergeCell ref="A10:C10"/>
    <mergeCell ref="D10:E10"/>
    <mergeCell ref="F10:G10"/>
    <mergeCell ref="A11:C11"/>
    <mergeCell ref="D14:E14"/>
    <mergeCell ref="F14:G14"/>
    <mergeCell ref="A16:L16"/>
    <mergeCell ref="A12:C12"/>
    <mergeCell ref="D12:E12"/>
    <mergeCell ref="F12:G12"/>
    <mergeCell ref="A13:C13"/>
    <mergeCell ref="D13:E13"/>
    <mergeCell ref="F13:G13"/>
    <mergeCell ref="A14:C14"/>
  </mergeCells>
  <conditionalFormatting sqref="I18:I77">
    <cfRule type="cellIs" dxfId="0" priority="1" stopIfTrue="1" operator="equal">
      <formula>"Sakura"</formula>
    </cfRule>
  </conditionalFormatting>
  <conditionalFormatting sqref="I18:I77">
    <cfRule type="cellIs" dxfId="1" priority="2" stopIfTrue="1" operator="equal">
      <formula>"Q1"</formula>
    </cfRule>
  </conditionalFormatting>
  <dataValidations>
    <dataValidation type="list" allowBlank="1" sqref="H18:H77">
      <formula1>"对公转账,直付达人,蒲公英充值,主体公司支付,其他"</formula1>
    </dataValidation>
    <dataValidation type="list" allowBlank="1" sqref="I18:I77">
      <formula1>"Sakura,Q1"</formula1>
    </dataValidation>
    <dataValidation type="list" allowBlank="1" sqref="C18:C77">
      <formula1>"筆記+直播,直播坑位费,KOC圖文,視頻筆記預算,koc動画不报备,样品费,运费,風險保證金,小紅書專業號年審費用"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25"/>
    <col customWidth="1" min="2" max="2" width="11.63"/>
    <col customWidth="1" min="3" max="3" width="21.63"/>
    <col customWidth="1" min="4" max="4" width="18.63"/>
    <col customWidth="1" min="5" max="5" width="25.75"/>
    <col customWidth="1" min="6" max="6" width="17.63"/>
    <col customWidth="1" min="7" max="7" width="15.38"/>
    <col customWidth="1" min="8" max="8" width="14.88"/>
    <col customWidth="1" min="9" max="9" width="12.63"/>
    <col customWidth="1" min="10" max="10" width="14.13"/>
    <col customWidth="1" min="11" max="11" width="10.63"/>
    <col customWidth="1" min="12" max="12" width="23.88"/>
  </cols>
  <sheetData>
    <row r="1">
      <c r="A1" s="1" t="s">
        <v>3</v>
      </c>
      <c r="M1" s="3"/>
      <c r="N1" s="3"/>
    </row>
    <row r="2">
      <c r="A2" s="5" t="s">
        <v>4</v>
      </c>
      <c r="M2" s="3"/>
      <c r="N2" s="3"/>
    </row>
    <row r="3">
      <c r="A3" s="7" t="s">
        <v>5</v>
      </c>
      <c r="M3" s="3"/>
      <c r="N3" s="3"/>
    </row>
    <row r="4">
      <c r="A4" s="11" t="s">
        <v>7</v>
      </c>
      <c r="B4" s="12"/>
      <c r="C4" s="13"/>
      <c r="D4" s="14" t="s">
        <v>8</v>
      </c>
      <c r="E4" s="13"/>
      <c r="F4" s="14" t="s">
        <v>10</v>
      </c>
      <c r="G4" s="13"/>
      <c r="H4" s="17" t="s">
        <v>11</v>
      </c>
      <c r="I4" s="18" t="s">
        <v>12</v>
      </c>
      <c r="J4" s="11" t="s">
        <v>13</v>
      </c>
      <c r="K4" s="12"/>
      <c r="L4" s="13"/>
      <c r="M4" s="3"/>
      <c r="N4" s="3"/>
    </row>
    <row r="5">
      <c r="A5" s="20" t="s">
        <v>14</v>
      </c>
      <c r="B5" s="12"/>
      <c r="C5" s="13"/>
      <c r="D5" s="22"/>
      <c r="E5" s="13"/>
      <c r="F5" s="22">
        <f t="shared" ref="F5:F13" si="1">SUMIF($C$18:$C$77,$A5,$G$18:$G$77)</f>
        <v>0</v>
      </c>
      <c r="G5" s="13"/>
      <c r="H5" s="25" t="str">
        <f t="shared" ref="H5:H14" si="2">IF(N(D5)=0,"",D5-F5)</f>
        <v/>
      </c>
      <c r="I5" s="26" t="str">
        <f t="shared" ref="I5:I14" si="3">IF(N(D5)=0,"",F5/D5)</f>
        <v/>
      </c>
      <c r="J5" s="28" t="s">
        <v>21</v>
      </c>
      <c r="K5" s="12"/>
      <c r="L5" s="13"/>
      <c r="M5" s="3"/>
      <c r="N5" s="3"/>
    </row>
    <row r="6">
      <c r="A6" s="20" t="s">
        <v>22</v>
      </c>
      <c r="B6" s="12"/>
      <c r="C6" s="13"/>
      <c r="D6" s="22"/>
      <c r="E6" s="13"/>
      <c r="F6" s="22">
        <f t="shared" si="1"/>
        <v>0</v>
      </c>
      <c r="G6" s="13"/>
      <c r="H6" s="25" t="str">
        <f t="shared" si="2"/>
        <v/>
      </c>
      <c r="I6" s="26" t="str">
        <f t="shared" si="3"/>
        <v/>
      </c>
      <c r="J6" s="28" t="s">
        <v>21</v>
      </c>
      <c r="K6" s="12"/>
      <c r="L6" s="13"/>
      <c r="M6" s="3"/>
      <c r="N6" s="3"/>
    </row>
    <row r="7">
      <c r="A7" s="20" t="s">
        <v>23</v>
      </c>
      <c r="B7" s="12"/>
      <c r="C7" s="13"/>
      <c r="D7" s="22"/>
      <c r="E7" s="13"/>
      <c r="F7" s="22">
        <f t="shared" si="1"/>
        <v>0</v>
      </c>
      <c r="G7" s="13"/>
      <c r="H7" s="25" t="str">
        <f t="shared" si="2"/>
        <v/>
      </c>
      <c r="I7" s="26" t="str">
        <f t="shared" si="3"/>
        <v/>
      </c>
      <c r="J7" s="28" t="s">
        <v>21</v>
      </c>
      <c r="K7" s="12"/>
      <c r="L7" s="13"/>
      <c r="M7" s="3"/>
      <c r="N7" s="3"/>
    </row>
    <row r="8">
      <c r="A8" s="20" t="s">
        <v>24</v>
      </c>
      <c r="B8" s="12"/>
      <c r="C8" s="13"/>
      <c r="D8" s="22"/>
      <c r="E8" s="13"/>
      <c r="F8" s="22">
        <f t="shared" si="1"/>
        <v>0</v>
      </c>
      <c r="G8" s="13"/>
      <c r="H8" s="25" t="str">
        <f t="shared" si="2"/>
        <v/>
      </c>
      <c r="I8" s="26" t="str">
        <f t="shared" si="3"/>
        <v/>
      </c>
      <c r="J8" s="28" t="s">
        <v>21</v>
      </c>
      <c r="K8" s="12"/>
      <c r="L8" s="13"/>
      <c r="M8" s="3"/>
      <c r="N8" s="3"/>
    </row>
    <row r="9">
      <c r="A9" s="20" t="s">
        <v>25</v>
      </c>
      <c r="B9" s="12"/>
      <c r="C9" s="13"/>
      <c r="D9" s="22"/>
      <c r="E9" s="13"/>
      <c r="F9" s="22">
        <f t="shared" si="1"/>
        <v>0</v>
      </c>
      <c r="G9" s="13"/>
      <c r="H9" s="25" t="str">
        <f t="shared" si="2"/>
        <v/>
      </c>
      <c r="I9" s="26" t="str">
        <f t="shared" si="3"/>
        <v/>
      </c>
      <c r="J9" s="28" t="s">
        <v>21</v>
      </c>
      <c r="K9" s="12"/>
      <c r="L9" s="13"/>
      <c r="M9" s="3"/>
      <c r="N9" s="3"/>
    </row>
    <row r="10">
      <c r="A10" s="29" t="s">
        <v>26</v>
      </c>
      <c r="B10" s="12"/>
      <c r="C10" s="13"/>
      <c r="D10" s="30"/>
      <c r="E10" s="13"/>
      <c r="F10" s="30">
        <f t="shared" si="1"/>
        <v>0</v>
      </c>
      <c r="G10" s="13"/>
      <c r="H10" s="31" t="str">
        <f t="shared" si="2"/>
        <v/>
      </c>
      <c r="I10" s="32" t="str">
        <f t="shared" si="3"/>
        <v/>
      </c>
      <c r="J10" s="33" t="s">
        <v>27</v>
      </c>
      <c r="K10" s="12"/>
      <c r="L10" s="13"/>
      <c r="M10" s="3"/>
      <c r="N10" s="3"/>
    </row>
    <row r="11">
      <c r="A11" s="29" t="s">
        <v>28</v>
      </c>
      <c r="B11" s="12"/>
      <c r="C11" s="13"/>
      <c r="D11" s="30"/>
      <c r="E11" s="13"/>
      <c r="F11" s="30">
        <f t="shared" si="1"/>
        <v>0</v>
      </c>
      <c r="G11" s="13"/>
      <c r="H11" s="31" t="str">
        <f t="shared" si="2"/>
        <v/>
      </c>
      <c r="I11" s="32" t="str">
        <f t="shared" si="3"/>
        <v/>
      </c>
      <c r="J11" s="33" t="s">
        <v>27</v>
      </c>
      <c r="K11" s="12"/>
      <c r="L11" s="13"/>
      <c r="M11" s="3"/>
      <c r="N11" s="3"/>
    </row>
    <row r="12">
      <c r="A12" s="29" t="s">
        <v>29</v>
      </c>
      <c r="B12" s="12"/>
      <c r="C12" s="13"/>
      <c r="D12" s="30"/>
      <c r="E12" s="13"/>
      <c r="F12" s="30">
        <f t="shared" si="1"/>
        <v>0</v>
      </c>
      <c r="G12" s="13"/>
      <c r="H12" s="31" t="str">
        <f t="shared" si="2"/>
        <v/>
      </c>
      <c r="I12" s="32" t="str">
        <f t="shared" si="3"/>
        <v/>
      </c>
      <c r="J12" s="33" t="s">
        <v>27</v>
      </c>
      <c r="K12" s="12"/>
      <c r="L12" s="13"/>
      <c r="M12" s="3"/>
      <c r="N12" s="3"/>
    </row>
    <row r="13">
      <c r="A13" s="29" t="s">
        <v>30</v>
      </c>
      <c r="B13" s="12"/>
      <c r="C13" s="13"/>
      <c r="D13" s="30"/>
      <c r="E13" s="13"/>
      <c r="F13" s="30">
        <f t="shared" si="1"/>
        <v>0</v>
      </c>
      <c r="G13" s="13"/>
      <c r="H13" s="31" t="str">
        <f t="shared" si="2"/>
        <v/>
      </c>
      <c r="I13" s="32" t="str">
        <f t="shared" si="3"/>
        <v/>
      </c>
      <c r="J13" s="33" t="s">
        <v>27</v>
      </c>
      <c r="K13" s="12"/>
      <c r="L13" s="13"/>
      <c r="M13" s="3"/>
      <c r="N13" s="3"/>
    </row>
    <row r="14">
      <c r="A14" s="37" t="s">
        <v>20</v>
      </c>
      <c r="B14" s="12"/>
      <c r="C14" s="13"/>
      <c r="D14" s="38">
        <f>SUM(D5:D13)</f>
        <v>0</v>
      </c>
      <c r="E14" s="13"/>
      <c r="F14" s="38">
        <f>SUM(F5:F13)</f>
        <v>0</v>
      </c>
      <c r="G14" s="13"/>
      <c r="H14" s="39" t="str">
        <f t="shared" si="2"/>
        <v/>
      </c>
      <c r="I14" s="40" t="str">
        <f t="shared" si="3"/>
        <v/>
      </c>
      <c r="J14" s="41"/>
      <c r="K14" s="12"/>
      <c r="L14" s="13"/>
      <c r="M14" s="3"/>
      <c r="N14" s="3"/>
    </row>
    <row r="15">
      <c r="A15" s="3"/>
      <c r="B15" s="3"/>
      <c r="C15" s="3"/>
      <c r="D15" s="3"/>
      <c r="E15" s="3"/>
      <c r="F15" s="3"/>
      <c r="G15" s="3"/>
      <c r="H15" s="42"/>
      <c r="I15" s="3"/>
      <c r="J15" s="3"/>
      <c r="K15" s="3"/>
      <c r="L15" s="3"/>
      <c r="M15" s="3"/>
      <c r="N15" s="3"/>
    </row>
    <row r="16">
      <c r="A16" s="43" t="s">
        <v>31</v>
      </c>
      <c r="M16" s="3"/>
      <c r="N16" s="3"/>
    </row>
    <row r="17">
      <c r="A17" s="44" t="s">
        <v>32</v>
      </c>
      <c r="B17" s="44" t="s">
        <v>33</v>
      </c>
      <c r="C17" s="44" t="s">
        <v>7</v>
      </c>
      <c r="D17" s="44" t="s">
        <v>34</v>
      </c>
      <c r="E17" s="44" t="s">
        <v>35</v>
      </c>
      <c r="F17" s="44" t="s">
        <v>36</v>
      </c>
      <c r="G17" s="44" t="s">
        <v>37</v>
      </c>
      <c r="H17" s="44" t="s">
        <v>38</v>
      </c>
      <c r="I17" s="44" t="s">
        <v>39</v>
      </c>
      <c r="J17" s="44" t="s">
        <v>40</v>
      </c>
      <c r="K17" s="44" t="s">
        <v>41</v>
      </c>
      <c r="L17" s="44" t="s">
        <v>42</v>
      </c>
      <c r="M17" s="3"/>
      <c r="N17" s="3"/>
    </row>
    <row r="18">
      <c r="A18" s="45"/>
      <c r="B18" s="46"/>
      <c r="C18" s="48"/>
      <c r="D18" s="49"/>
      <c r="E18" s="48"/>
      <c r="F18" s="48"/>
      <c r="G18" s="51"/>
      <c r="H18" s="49"/>
      <c r="I18" s="48"/>
      <c r="J18" s="51"/>
      <c r="K18" s="54" t="str">
        <f t="shared" ref="K18:K77" si="4">IF(OR(N($J18)=0,N($G18)=0),"",$J18/$G18)</f>
        <v/>
      </c>
      <c r="L18" s="55"/>
      <c r="M18" s="3"/>
      <c r="N18" s="3"/>
    </row>
    <row r="19">
      <c r="A19" s="45"/>
      <c r="B19" s="46"/>
      <c r="C19" s="48"/>
      <c r="D19" s="49"/>
      <c r="E19" s="48"/>
      <c r="F19" s="48"/>
      <c r="G19" s="51"/>
      <c r="H19" s="49"/>
      <c r="I19" s="48"/>
      <c r="J19" s="57"/>
      <c r="K19" s="54" t="str">
        <f t="shared" si="4"/>
        <v/>
      </c>
      <c r="L19" s="55"/>
      <c r="M19" s="3"/>
      <c r="N19" s="3"/>
    </row>
    <row r="20">
      <c r="A20" s="45"/>
      <c r="B20" s="46"/>
      <c r="C20" s="48"/>
      <c r="D20" s="49"/>
      <c r="E20" s="48"/>
      <c r="F20" s="48"/>
      <c r="G20" s="51"/>
      <c r="H20" s="49"/>
      <c r="I20" s="48"/>
      <c r="J20" s="51"/>
      <c r="K20" s="54" t="str">
        <f t="shared" si="4"/>
        <v/>
      </c>
      <c r="L20" s="55"/>
      <c r="M20" s="3"/>
      <c r="N20" s="3"/>
    </row>
    <row r="21">
      <c r="A21" s="45"/>
      <c r="B21" s="46"/>
      <c r="C21" s="48"/>
      <c r="D21" s="49"/>
      <c r="E21" s="48"/>
      <c r="F21" s="48"/>
      <c r="G21" s="51"/>
      <c r="H21" s="49"/>
      <c r="I21" s="48"/>
      <c r="J21" s="57"/>
      <c r="K21" s="54" t="str">
        <f t="shared" si="4"/>
        <v/>
      </c>
      <c r="L21" s="55"/>
      <c r="M21" s="3"/>
      <c r="N21" s="3"/>
    </row>
    <row r="22">
      <c r="A22" s="45"/>
      <c r="B22" s="46"/>
      <c r="C22" s="48"/>
      <c r="D22" s="49"/>
      <c r="E22" s="48"/>
      <c r="F22" s="48"/>
      <c r="G22" s="51"/>
      <c r="H22" s="49"/>
      <c r="I22" s="48"/>
      <c r="J22" s="51"/>
      <c r="K22" s="54" t="str">
        <f t="shared" si="4"/>
        <v/>
      </c>
      <c r="L22" s="55"/>
      <c r="M22" s="3"/>
      <c r="N22" s="3"/>
    </row>
    <row r="23">
      <c r="A23" s="45"/>
      <c r="B23" s="46"/>
      <c r="C23" s="48"/>
      <c r="D23" s="49"/>
      <c r="E23" s="48"/>
      <c r="F23" s="48"/>
      <c r="G23" s="51"/>
      <c r="H23" s="49"/>
      <c r="I23" s="48"/>
      <c r="J23" s="57"/>
      <c r="K23" s="54" t="str">
        <f t="shared" si="4"/>
        <v/>
      </c>
      <c r="L23" s="55"/>
      <c r="M23" s="3"/>
      <c r="N23" s="3"/>
    </row>
    <row r="24">
      <c r="A24" s="45"/>
      <c r="B24" s="46"/>
      <c r="C24" s="48"/>
      <c r="D24" s="49"/>
      <c r="E24" s="48"/>
      <c r="F24" s="48"/>
      <c r="G24" s="51"/>
      <c r="H24" s="49"/>
      <c r="I24" s="48"/>
      <c r="J24" s="57"/>
      <c r="K24" s="54" t="str">
        <f t="shared" si="4"/>
        <v/>
      </c>
      <c r="L24" s="55"/>
      <c r="M24" s="3"/>
      <c r="N24" s="3"/>
    </row>
    <row r="25">
      <c r="A25" s="45"/>
      <c r="B25" s="46"/>
      <c r="C25" s="48"/>
      <c r="D25" s="49"/>
      <c r="E25" s="48"/>
      <c r="F25" s="48"/>
      <c r="G25" s="51"/>
      <c r="H25" s="49"/>
      <c r="I25" s="48"/>
      <c r="J25" s="57"/>
      <c r="K25" s="54" t="str">
        <f t="shared" si="4"/>
        <v/>
      </c>
      <c r="L25" s="55"/>
      <c r="M25" s="3"/>
      <c r="N25" s="3"/>
    </row>
    <row r="26">
      <c r="A26" s="45"/>
      <c r="B26" s="46"/>
      <c r="C26" s="48"/>
      <c r="D26" s="49"/>
      <c r="E26" s="48"/>
      <c r="F26" s="48"/>
      <c r="G26" s="51"/>
      <c r="H26" s="49"/>
      <c r="I26" s="48"/>
      <c r="J26" s="57"/>
      <c r="K26" s="54" t="str">
        <f t="shared" si="4"/>
        <v/>
      </c>
      <c r="L26" s="55"/>
      <c r="M26" s="3"/>
      <c r="N26" s="3"/>
    </row>
    <row r="27">
      <c r="A27" s="45"/>
      <c r="B27" s="46"/>
      <c r="C27" s="48"/>
      <c r="D27" s="49"/>
      <c r="E27" s="48"/>
      <c r="F27" s="48"/>
      <c r="G27" s="51"/>
      <c r="H27" s="49"/>
      <c r="I27" s="48"/>
      <c r="J27" s="57"/>
      <c r="K27" s="54" t="str">
        <f t="shared" si="4"/>
        <v/>
      </c>
      <c r="L27" s="55"/>
      <c r="M27" s="3"/>
      <c r="N27" s="3"/>
    </row>
    <row r="28">
      <c r="A28" s="45"/>
      <c r="B28" s="46"/>
      <c r="C28" s="48"/>
      <c r="D28" s="49"/>
      <c r="E28" s="48"/>
      <c r="F28" s="48"/>
      <c r="G28" s="51"/>
      <c r="H28" s="49"/>
      <c r="I28" s="48"/>
      <c r="J28" s="57"/>
      <c r="K28" s="54" t="str">
        <f t="shared" si="4"/>
        <v/>
      </c>
      <c r="L28" s="55"/>
      <c r="M28" s="3"/>
      <c r="N28" s="3"/>
    </row>
    <row r="29">
      <c r="A29" s="45"/>
      <c r="B29" s="46"/>
      <c r="C29" s="48"/>
      <c r="D29" s="49"/>
      <c r="E29" s="48"/>
      <c r="F29" s="48"/>
      <c r="G29" s="51"/>
      <c r="H29" s="49"/>
      <c r="I29" s="48"/>
      <c r="J29" s="57"/>
      <c r="K29" s="54" t="str">
        <f t="shared" si="4"/>
        <v/>
      </c>
      <c r="L29" s="55"/>
      <c r="M29" s="3"/>
      <c r="N29" s="3"/>
    </row>
    <row r="30">
      <c r="A30" s="45"/>
      <c r="B30" s="46"/>
      <c r="C30" s="48"/>
      <c r="D30" s="49"/>
      <c r="E30" s="48"/>
      <c r="F30" s="48"/>
      <c r="G30" s="51"/>
      <c r="H30" s="49"/>
      <c r="I30" s="48"/>
      <c r="J30" s="51"/>
      <c r="K30" s="54" t="str">
        <f t="shared" si="4"/>
        <v/>
      </c>
      <c r="L30" s="55"/>
      <c r="M30" s="3"/>
      <c r="N30" s="3"/>
    </row>
    <row r="31">
      <c r="A31" s="45"/>
      <c r="B31" s="46"/>
      <c r="C31" s="48"/>
      <c r="D31" s="49"/>
      <c r="E31" s="48"/>
      <c r="F31" s="48"/>
      <c r="G31" s="51"/>
      <c r="H31" s="49"/>
      <c r="I31" s="48"/>
      <c r="J31" s="51"/>
      <c r="K31" s="54" t="str">
        <f t="shared" si="4"/>
        <v/>
      </c>
      <c r="L31" s="55"/>
      <c r="M31" s="3"/>
      <c r="N31" s="3"/>
    </row>
    <row r="32">
      <c r="A32" s="45"/>
      <c r="B32" s="46"/>
      <c r="C32" s="48"/>
      <c r="D32" s="49"/>
      <c r="E32" s="48"/>
      <c r="F32" s="48"/>
      <c r="G32" s="51"/>
      <c r="H32" s="49"/>
      <c r="I32" s="48"/>
      <c r="J32" s="51"/>
      <c r="K32" s="54" t="str">
        <f t="shared" si="4"/>
        <v/>
      </c>
      <c r="L32" s="55"/>
      <c r="M32" s="3"/>
      <c r="N32" s="3"/>
    </row>
    <row r="33">
      <c r="A33" s="45"/>
      <c r="B33" s="46"/>
      <c r="C33" s="48"/>
      <c r="D33" s="49"/>
      <c r="E33" s="48"/>
      <c r="F33" s="48"/>
      <c r="G33" s="51"/>
      <c r="H33" s="49"/>
      <c r="I33" s="48"/>
      <c r="J33" s="57"/>
      <c r="K33" s="54" t="str">
        <f t="shared" si="4"/>
        <v/>
      </c>
      <c r="L33" s="55"/>
      <c r="M33" s="3"/>
      <c r="N33" s="3"/>
    </row>
    <row r="34">
      <c r="A34" s="45"/>
      <c r="B34" s="46"/>
      <c r="C34" s="48"/>
      <c r="D34" s="49"/>
      <c r="E34" s="48"/>
      <c r="F34" s="48"/>
      <c r="G34" s="51"/>
      <c r="H34" s="49"/>
      <c r="I34" s="48"/>
      <c r="J34" s="57"/>
      <c r="K34" s="54" t="str">
        <f t="shared" si="4"/>
        <v/>
      </c>
      <c r="L34" s="55"/>
      <c r="M34" s="3"/>
      <c r="N34" s="3"/>
    </row>
    <row r="35">
      <c r="A35" s="45"/>
      <c r="B35" s="46"/>
      <c r="C35" s="48"/>
      <c r="D35" s="49"/>
      <c r="E35" s="48"/>
      <c r="F35" s="48"/>
      <c r="G35" s="51"/>
      <c r="H35" s="49"/>
      <c r="I35" s="48"/>
      <c r="J35" s="57"/>
      <c r="K35" s="54" t="str">
        <f t="shared" si="4"/>
        <v/>
      </c>
      <c r="L35" s="55"/>
      <c r="M35" s="3"/>
      <c r="N35" s="3"/>
    </row>
    <row r="36">
      <c r="A36" s="45"/>
      <c r="B36" s="46"/>
      <c r="C36" s="48"/>
      <c r="D36" s="55"/>
      <c r="E36" s="55"/>
      <c r="F36" s="48"/>
      <c r="G36" s="51"/>
      <c r="H36" s="49"/>
      <c r="I36" s="48"/>
      <c r="J36" s="57"/>
      <c r="K36" s="54" t="str">
        <f t="shared" si="4"/>
        <v/>
      </c>
      <c r="L36" s="55"/>
      <c r="M36" s="3"/>
      <c r="N36" s="3"/>
    </row>
    <row r="37">
      <c r="A37" s="45"/>
      <c r="B37" s="46"/>
      <c r="C37" s="48"/>
      <c r="D37" s="55"/>
      <c r="E37" s="55"/>
      <c r="F37" s="48"/>
      <c r="G37" s="51"/>
      <c r="H37" s="49"/>
      <c r="I37" s="48"/>
      <c r="J37" s="57"/>
      <c r="K37" s="54" t="str">
        <f t="shared" si="4"/>
        <v/>
      </c>
      <c r="L37" s="55"/>
      <c r="M37" s="3"/>
      <c r="N37" s="3"/>
    </row>
    <row r="38">
      <c r="A38" s="45"/>
      <c r="B38" s="46"/>
      <c r="C38" s="48"/>
      <c r="D38" s="55"/>
      <c r="E38" s="48"/>
      <c r="F38" s="48"/>
      <c r="G38" s="51"/>
      <c r="H38" s="49"/>
      <c r="I38" s="48"/>
      <c r="J38" s="57"/>
      <c r="K38" s="54" t="str">
        <f t="shared" si="4"/>
        <v/>
      </c>
      <c r="L38" s="55"/>
      <c r="M38" s="3"/>
      <c r="N38" s="3"/>
    </row>
    <row r="39">
      <c r="A39" s="45"/>
      <c r="B39" s="46"/>
      <c r="C39" s="48"/>
      <c r="D39" s="55"/>
      <c r="E39" s="48"/>
      <c r="F39" s="48"/>
      <c r="G39" s="51"/>
      <c r="H39" s="49"/>
      <c r="I39" s="48"/>
      <c r="J39" s="57"/>
      <c r="K39" s="54" t="str">
        <f t="shared" si="4"/>
        <v/>
      </c>
      <c r="L39" s="55"/>
      <c r="M39" s="3"/>
      <c r="N39" s="3"/>
    </row>
    <row r="40">
      <c r="A40" s="45"/>
      <c r="B40" s="46"/>
      <c r="C40" s="48"/>
      <c r="D40" s="55"/>
      <c r="E40" s="48"/>
      <c r="F40" s="48"/>
      <c r="G40" s="51"/>
      <c r="H40" s="49"/>
      <c r="I40" s="48"/>
      <c r="J40" s="57"/>
      <c r="K40" s="54" t="str">
        <f t="shared" si="4"/>
        <v/>
      </c>
      <c r="L40" s="55"/>
      <c r="M40" s="3"/>
      <c r="N40" s="3"/>
    </row>
    <row r="41">
      <c r="A41" s="45"/>
      <c r="B41" s="46"/>
      <c r="C41" s="48"/>
      <c r="D41" s="55"/>
      <c r="E41" s="48"/>
      <c r="F41" s="48"/>
      <c r="G41" s="51"/>
      <c r="H41" s="49"/>
      <c r="I41" s="48"/>
      <c r="J41" s="57"/>
      <c r="K41" s="54" t="str">
        <f t="shared" si="4"/>
        <v/>
      </c>
      <c r="L41" s="55"/>
      <c r="M41" s="3"/>
      <c r="N41" s="3"/>
    </row>
    <row r="42">
      <c r="A42" s="45"/>
      <c r="B42" s="46"/>
      <c r="C42" s="48"/>
      <c r="D42" s="55"/>
      <c r="E42" s="48"/>
      <c r="F42" s="48"/>
      <c r="G42" s="51"/>
      <c r="H42" s="49"/>
      <c r="I42" s="48"/>
      <c r="J42" s="57"/>
      <c r="K42" s="54" t="str">
        <f t="shared" si="4"/>
        <v/>
      </c>
      <c r="L42" s="55"/>
      <c r="M42" s="3"/>
      <c r="N42" s="3"/>
    </row>
    <row r="43">
      <c r="A43" s="45"/>
      <c r="B43" s="46"/>
      <c r="C43" s="48"/>
      <c r="D43" s="55"/>
      <c r="E43" s="48"/>
      <c r="F43" s="55"/>
      <c r="G43" s="51"/>
      <c r="H43" s="49"/>
      <c r="I43" s="48"/>
      <c r="J43" s="57"/>
      <c r="K43" s="54" t="str">
        <f t="shared" si="4"/>
        <v/>
      </c>
      <c r="L43" s="55"/>
      <c r="M43" s="3"/>
      <c r="N43" s="3"/>
    </row>
    <row r="44">
      <c r="A44" s="45"/>
      <c r="B44" s="46"/>
      <c r="C44" s="48"/>
      <c r="D44" s="48"/>
      <c r="E44" s="48"/>
      <c r="F44" s="48"/>
      <c r="G44" s="51"/>
      <c r="H44" s="49"/>
      <c r="I44" s="48"/>
      <c r="J44" s="57"/>
      <c r="K44" s="54" t="str">
        <f t="shared" si="4"/>
        <v/>
      </c>
      <c r="L44" s="55"/>
      <c r="M44" s="3"/>
      <c r="N44" s="3"/>
    </row>
    <row r="45">
      <c r="A45" s="45"/>
      <c r="B45" s="46"/>
      <c r="C45" s="48"/>
      <c r="D45" s="48"/>
      <c r="E45" s="48"/>
      <c r="F45" s="48"/>
      <c r="G45" s="51"/>
      <c r="H45" s="49"/>
      <c r="I45" s="48"/>
      <c r="J45" s="57"/>
      <c r="K45" s="54" t="str">
        <f t="shared" si="4"/>
        <v/>
      </c>
      <c r="L45" s="55"/>
      <c r="M45" s="3"/>
      <c r="N45" s="3"/>
    </row>
    <row r="46">
      <c r="A46" s="45"/>
      <c r="B46" s="61"/>
      <c r="C46" s="55"/>
      <c r="D46" s="55"/>
      <c r="E46" s="55"/>
      <c r="F46" s="55"/>
      <c r="G46" s="57"/>
      <c r="H46" s="62"/>
      <c r="I46" s="55"/>
      <c r="J46" s="57"/>
      <c r="K46" s="54" t="str">
        <f t="shared" si="4"/>
        <v/>
      </c>
      <c r="L46" s="55"/>
      <c r="M46" s="3"/>
      <c r="N46" s="3"/>
    </row>
    <row r="47">
      <c r="A47" s="45"/>
      <c r="B47" s="61"/>
      <c r="C47" s="55"/>
      <c r="D47" s="55"/>
      <c r="E47" s="55"/>
      <c r="F47" s="55"/>
      <c r="G47" s="57"/>
      <c r="H47" s="62"/>
      <c r="I47" s="55"/>
      <c r="J47" s="57"/>
      <c r="K47" s="54" t="str">
        <f t="shared" si="4"/>
        <v/>
      </c>
      <c r="L47" s="55"/>
      <c r="M47" s="3"/>
      <c r="N47" s="3"/>
    </row>
    <row r="48">
      <c r="A48" s="45"/>
      <c r="B48" s="61"/>
      <c r="C48" s="55"/>
      <c r="D48" s="55"/>
      <c r="E48" s="55"/>
      <c r="F48" s="55"/>
      <c r="G48" s="57"/>
      <c r="H48" s="62"/>
      <c r="I48" s="55"/>
      <c r="J48" s="57"/>
      <c r="K48" s="54" t="str">
        <f t="shared" si="4"/>
        <v/>
      </c>
      <c r="L48" s="55"/>
      <c r="M48" s="3"/>
      <c r="N48" s="3"/>
    </row>
    <row r="49">
      <c r="A49" s="45"/>
      <c r="B49" s="61"/>
      <c r="C49" s="55"/>
      <c r="D49" s="55"/>
      <c r="E49" s="55"/>
      <c r="F49" s="55"/>
      <c r="G49" s="57"/>
      <c r="H49" s="62"/>
      <c r="I49" s="55"/>
      <c r="J49" s="57"/>
      <c r="K49" s="54" t="str">
        <f t="shared" si="4"/>
        <v/>
      </c>
      <c r="L49" s="55"/>
      <c r="M49" s="3"/>
      <c r="N49" s="3"/>
    </row>
    <row r="50">
      <c r="A50" s="45"/>
      <c r="B50" s="61"/>
      <c r="C50" s="55"/>
      <c r="D50" s="55"/>
      <c r="E50" s="55"/>
      <c r="F50" s="55"/>
      <c r="G50" s="57"/>
      <c r="H50" s="62"/>
      <c r="I50" s="55"/>
      <c r="J50" s="57"/>
      <c r="K50" s="54" t="str">
        <f t="shared" si="4"/>
        <v/>
      </c>
      <c r="L50" s="55"/>
      <c r="M50" s="3"/>
      <c r="N50" s="3"/>
    </row>
    <row r="51">
      <c r="A51" s="45"/>
      <c r="B51" s="61"/>
      <c r="C51" s="55"/>
      <c r="D51" s="55"/>
      <c r="E51" s="55"/>
      <c r="F51" s="55"/>
      <c r="G51" s="57"/>
      <c r="H51" s="62"/>
      <c r="I51" s="55"/>
      <c r="J51" s="57"/>
      <c r="K51" s="54" t="str">
        <f t="shared" si="4"/>
        <v/>
      </c>
      <c r="L51" s="55"/>
      <c r="M51" s="3"/>
      <c r="N51" s="3"/>
    </row>
    <row r="52">
      <c r="A52" s="45"/>
      <c r="B52" s="61"/>
      <c r="C52" s="55"/>
      <c r="D52" s="55"/>
      <c r="E52" s="55"/>
      <c r="F52" s="55"/>
      <c r="G52" s="57"/>
      <c r="H52" s="62"/>
      <c r="I52" s="55"/>
      <c r="J52" s="57"/>
      <c r="K52" s="54" t="str">
        <f t="shared" si="4"/>
        <v/>
      </c>
      <c r="L52" s="55"/>
      <c r="M52" s="3"/>
      <c r="N52" s="3"/>
    </row>
    <row r="53">
      <c r="A53" s="45"/>
      <c r="B53" s="61"/>
      <c r="C53" s="55"/>
      <c r="D53" s="55"/>
      <c r="E53" s="55"/>
      <c r="F53" s="55"/>
      <c r="G53" s="57"/>
      <c r="H53" s="62"/>
      <c r="I53" s="55"/>
      <c r="J53" s="57"/>
      <c r="K53" s="54" t="str">
        <f t="shared" si="4"/>
        <v/>
      </c>
      <c r="L53" s="55"/>
      <c r="M53" s="3"/>
      <c r="N53" s="3"/>
    </row>
    <row r="54">
      <c r="A54" s="45"/>
      <c r="B54" s="61"/>
      <c r="C54" s="55"/>
      <c r="D54" s="55"/>
      <c r="E54" s="55"/>
      <c r="F54" s="55"/>
      <c r="G54" s="57"/>
      <c r="H54" s="62"/>
      <c r="I54" s="55"/>
      <c r="J54" s="57"/>
      <c r="K54" s="54" t="str">
        <f t="shared" si="4"/>
        <v/>
      </c>
      <c r="L54" s="55"/>
      <c r="M54" s="3"/>
      <c r="N54" s="3"/>
    </row>
    <row r="55">
      <c r="A55" s="45"/>
      <c r="B55" s="61"/>
      <c r="C55" s="55"/>
      <c r="D55" s="55"/>
      <c r="E55" s="55"/>
      <c r="F55" s="55"/>
      <c r="G55" s="57"/>
      <c r="H55" s="62"/>
      <c r="I55" s="55"/>
      <c r="J55" s="57"/>
      <c r="K55" s="54" t="str">
        <f t="shared" si="4"/>
        <v/>
      </c>
      <c r="L55" s="55"/>
      <c r="M55" s="3"/>
      <c r="N55" s="3"/>
    </row>
    <row r="56">
      <c r="A56" s="45"/>
      <c r="B56" s="61"/>
      <c r="C56" s="55"/>
      <c r="D56" s="55"/>
      <c r="E56" s="55"/>
      <c r="F56" s="55"/>
      <c r="G56" s="57"/>
      <c r="H56" s="62"/>
      <c r="I56" s="55"/>
      <c r="J56" s="57"/>
      <c r="K56" s="54" t="str">
        <f t="shared" si="4"/>
        <v/>
      </c>
      <c r="L56" s="55"/>
      <c r="M56" s="3"/>
      <c r="N56" s="3"/>
    </row>
    <row r="57">
      <c r="A57" s="45"/>
      <c r="B57" s="61"/>
      <c r="C57" s="55"/>
      <c r="D57" s="55"/>
      <c r="E57" s="55"/>
      <c r="F57" s="55"/>
      <c r="G57" s="57"/>
      <c r="H57" s="62"/>
      <c r="I57" s="55"/>
      <c r="J57" s="57"/>
      <c r="K57" s="54" t="str">
        <f t="shared" si="4"/>
        <v/>
      </c>
      <c r="L57" s="55"/>
      <c r="M57" s="3"/>
      <c r="N57" s="3"/>
    </row>
    <row r="58">
      <c r="A58" s="45"/>
      <c r="B58" s="61"/>
      <c r="C58" s="55"/>
      <c r="D58" s="55"/>
      <c r="E58" s="55"/>
      <c r="F58" s="55"/>
      <c r="G58" s="57"/>
      <c r="H58" s="62"/>
      <c r="I58" s="55"/>
      <c r="J58" s="57"/>
      <c r="K58" s="54" t="str">
        <f t="shared" si="4"/>
        <v/>
      </c>
      <c r="L58" s="55"/>
      <c r="M58" s="3"/>
      <c r="N58" s="3"/>
    </row>
    <row r="59">
      <c r="A59" s="45"/>
      <c r="B59" s="61"/>
      <c r="C59" s="55"/>
      <c r="D59" s="55"/>
      <c r="E59" s="55"/>
      <c r="F59" s="55"/>
      <c r="G59" s="57"/>
      <c r="H59" s="62"/>
      <c r="I59" s="55"/>
      <c r="J59" s="57"/>
      <c r="K59" s="54" t="str">
        <f t="shared" si="4"/>
        <v/>
      </c>
      <c r="L59" s="55"/>
      <c r="M59" s="3"/>
      <c r="N59" s="3"/>
    </row>
    <row r="60">
      <c r="A60" s="45"/>
      <c r="B60" s="61"/>
      <c r="C60" s="55"/>
      <c r="D60" s="55"/>
      <c r="E60" s="55"/>
      <c r="F60" s="55"/>
      <c r="G60" s="57"/>
      <c r="H60" s="62"/>
      <c r="I60" s="55"/>
      <c r="J60" s="57"/>
      <c r="K60" s="54" t="str">
        <f t="shared" si="4"/>
        <v/>
      </c>
      <c r="L60" s="55"/>
      <c r="M60" s="3"/>
      <c r="N60" s="3"/>
    </row>
    <row r="61">
      <c r="A61" s="45"/>
      <c r="B61" s="61"/>
      <c r="C61" s="55"/>
      <c r="D61" s="55"/>
      <c r="E61" s="55"/>
      <c r="F61" s="55"/>
      <c r="G61" s="57"/>
      <c r="H61" s="62"/>
      <c r="I61" s="55"/>
      <c r="J61" s="57"/>
      <c r="K61" s="54" t="str">
        <f t="shared" si="4"/>
        <v/>
      </c>
      <c r="L61" s="55"/>
      <c r="M61" s="3"/>
      <c r="N61" s="3"/>
    </row>
    <row r="62">
      <c r="A62" s="45"/>
      <c r="B62" s="61"/>
      <c r="C62" s="55"/>
      <c r="D62" s="55"/>
      <c r="E62" s="55"/>
      <c r="F62" s="55"/>
      <c r="G62" s="57"/>
      <c r="H62" s="62"/>
      <c r="I62" s="55"/>
      <c r="J62" s="57"/>
      <c r="K62" s="54" t="str">
        <f t="shared" si="4"/>
        <v/>
      </c>
      <c r="L62" s="55"/>
      <c r="M62" s="3"/>
      <c r="N62" s="3"/>
    </row>
    <row r="63">
      <c r="A63" s="45"/>
      <c r="B63" s="61"/>
      <c r="C63" s="55"/>
      <c r="D63" s="55"/>
      <c r="E63" s="55"/>
      <c r="F63" s="55"/>
      <c r="G63" s="57"/>
      <c r="H63" s="62"/>
      <c r="I63" s="55"/>
      <c r="J63" s="57"/>
      <c r="K63" s="54" t="str">
        <f t="shared" si="4"/>
        <v/>
      </c>
      <c r="L63" s="55"/>
      <c r="M63" s="3"/>
      <c r="N63" s="3"/>
    </row>
    <row r="64">
      <c r="A64" s="45"/>
      <c r="B64" s="61"/>
      <c r="C64" s="55"/>
      <c r="D64" s="55"/>
      <c r="E64" s="55"/>
      <c r="F64" s="55"/>
      <c r="G64" s="57"/>
      <c r="H64" s="62"/>
      <c r="I64" s="55"/>
      <c r="J64" s="57"/>
      <c r="K64" s="54" t="str">
        <f t="shared" si="4"/>
        <v/>
      </c>
      <c r="L64" s="55"/>
      <c r="M64" s="3"/>
      <c r="N64" s="3"/>
    </row>
    <row r="65">
      <c r="A65" s="45"/>
      <c r="B65" s="61"/>
      <c r="C65" s="55"/>
      <c r="D65" s="55"/>
      <c r="E65" s="55"/>
      <c r="F65" s="55"/>
      <c r="G65" s="57"/>
      <c r="H65" s="62"/>
      <c r="I65" s="55"/>
      <c r="J65" s="57"/>
      <c r="K65" s="54" t="str">
        <f t="shared" si="4"/>
        <v/>
      </c>
      <c r="L65" s="55"/>
      <c r="M65" s="3"/>
      <c r="N65" s="3"/>
    </row>
    <row r="66">
      <c r="A66" s="45"/>
      <c r="B66" s="61"/>
      <c r="C66" s="55"/>
      <c r="D66" s="55"/>
      <c r="E66" s="55"/>
      <c r="F66" s="55"/>
      <c r="G66" s="57"/>
      <c r="H66" s="62"/>
      <c r="I66" s="55"/>
      <c r="J66" s="57"/>
      <c r="K66" s="54" t="str">
        <f t="shared" si="4"/>
        <v/>
      </c>
      <c r="L66" s="55"/>
      <c r="M66" s="3"/>
      <c r="N66" s="3"/>
    </row>
    <row r="67">
      <c r="A67" s="45"/>
      <c r="B67" s="61"/>
      <c r="C67" s="55"/>
      <c r="D67" s="55"/>
      <c r="E67" s="55"/>
      <c r="F67" s="55"/>
      <c r="G67" s="57"/>
      <c r="H67" s="62"/>
      <c r="I67" s="55"/>
      <c r="J67" s="57"/>
      <c r="K67" s="54" t="str">
        <f t="shared" si="4"/>
        <v/>
      </c>
      <c r="L67" s="55"/>
      <c r="M67" s="3"/>
      <c r="N67" s="3"/>
    </row>
    <row r="68">
      <c r="A68" s="45"/>
      <c r="B68" s="61"/>
      <c r="C68" s="55"/>
      <c r="D68" s="55"/>
      <c r="E68" s="55"/>
      <c r="F68" s="55"/>
      <c r="G68" s="57"/>
      <c r="H68" s="62"/>
      <c r="I68" s="55"/>
      <c r="J68" s="57"/>
      <c r="K68" s="54" t="str">
        <f t="shared" si="4"/>
        <v/>
      </c>
      <c r="L68" s="55"/>
      <c r="M68" s="3"/>
      <c r="N68" s="3"/>
    </row>
    <row r="69">
      <c r="A69" s="45"/>
      <c r="B69" s="61"/>
      <c r="C69" s="55"/>
      <c r="D69" s="55"/>
      <c r="E69" s="55"/>
      <c r="F69" s="55"/>
      <c r="G69" s="57"/>
      <c r="H69" s="62"/>
      <c r="I69" s="55"/>
      <c r="J69" s="57"/>
      <c r="K69" s="54" t="str">
        <f t="shared" si="4"/>
        <v/>
      </c>
      <c r="L69" s="55"/>
      <c r="M69" s="3"/>
      <c r="N69" s="3"/>
    </row>
    <row r="70">
      <c r="A70" s="45"/>
      <c r="B70" s="61"/>
      <c r="C70" s="55"/>
      <c r="D70" s="55"/>
      <c r="E70" s="55"/>
      <c r="F70" s="55"/>
      <c r="G70" s="57"/>
      <c r="H70" s="62"/>
      <c r="I70" s="55"/>
      <c r="J70" s="57"/>
      <c r="K70" s="54" t="str">
        <f t="shared" si="4"/>
        <v/>
      </c>
      <c r="L70" s="55"/>
      <c r="M70" s="3"/>
      <c r="N70" s="3"/>
    </row>
    <row r="71">
      <c r="A71" s="45"/>
      <c r="B71" s="61"/>
      <c r="C71" s="55"/>
      <c r="D71" s="55"/>
      <c r="E71" s="55"/>
      <c r="F71" s="55"/>
      <c r="G71" s="57"/>
      <c r="H71" s="62"/>
      <c r="I71" s="55"/>
      <c r="J71" s="57"/>
      <c r="K71" s="54" t="str">
        <f t="shared" si="4"/>
        <v/>
      </c>
      <c r="L71" s="55"/>
      <c r="M71" s="3"/>
      <c r="N71" s="3"/>
    </row>
    <row r="72">
      <c r="A72" s="45"/>
      <c r="B72" s="61"/>
      <c r="C72" s="55"/>
      <c r="D72" s="55"/>
      <c r="E72" s="55"/>
      <c r="F72" s="55"/>
      <c r="G72" s="57"/>
      <c r="H72" s="62"/>
      <c r="I72" s="55"/>
      <c r="J72" s="57"/>
      <c r="K72" s="54" t="str">
        <f t="shared" si="4"/>
        <v/>
      </c>
      <c r="L72" s="55"/>
      <c r="M72" s="3"/>
      <c r="N72" s="3"/>
    </row>
    <row r="73">
      <c r="A73" s="45"/>
      <c r="B73" s="61"/>
      <c r="C73" s="55"/>
      <c r="D73" s="55"/>
      <c r="E73" s="55"/>
      <c r="F73" s="55"/>
      <c r="G73" s="57"/>
      <c r="H73" s="62"/>
      <c r="I73" s="55"/>
      <c r="J73" s="57"/>
      <c r="K73" s="54" t="str">
        <f t="shared" si="4"/>
        <v/>
      </c>
      <c r="L73" s="55"/>
      <c r="M73" s="3"/>
      <c r="N73" s="3"/>
    </row>
    <row r="74">
      <c r="A74" s="45"/>
      <c r="B74" s="61"/>
      <c r="C74" s="55"/>
      <c r="D74" s="55"/>
      <c r="E74" s="55"/>
      <c r="F74" s="55"/>
      <c r="G74" s="57"/>
      <c r="H74" s="62"/>
      <c r="I74" s="55"/>
      <c r="J74" s="57"/>
      <c r="K74" s="54" t="str">
        <f t="shared" si="4"/>
        <v/>
      </c>
      <c r="L74" s="55"/>
      <c r="M74" s="3"/>
      <c r="N74" s="3"/>
    </row>
    <row r="75">
      <c r="A75" s="45"/>
      <c r="B75" s="61"/>
      <c r="C75" s="55"/>
      <c r="D75" s="55"/>
      <c r="E75" s="55"/>
      <c r="F75" s="55"/>
      <c r="G75" s="57"/>
      <c r="H75" s="62"/>
      <c r="I75" s="55"/>
      <c r="J75" s="57"/>
      <c r="K75" s="54" t="str">
        <f t="shared" si="4"/>
        <v/>
      </c>
      <c r="L75" s="55"/>
      <c r="M75" s="3"/>
      <c r="N75" s="3"/>
    </row>
    <row r="76">
      <c r="A76" s="45"/>
      <c r="B76" s="61"/>
      <c r="C76" s="55"/>
      <c r="D76" s="55"/>
      <c r="E76" s="55"/>
      <c r="F76" s="55"/>
      <c r="G76" s="57"/>
      <c r="H76" s="62"/>
      <c r="I76" s="55"/>
      <c r="J76" s="57"/>
      <c r="K76" s="54" t="str">
        <f t="shared" si="4"/>
        <v/>
      </c>
      <c r="L76" s="55"/>
      <c r="M76" s="3"/>
      <c r="N76" s="3"/>
    </row>
    <row r="77">
      <c r="A77" s="45"/>
      <c r="B77" s="61"/>
      <c r="C77" s="55"/>
      <c r="D77" s="55"/>
      <c r="E77" s="55"/>
      <c r="F77" s="55"/>
      <c r="G77" s="57"/>
      <c r="H77" s="62"/>
      <c r="I77" s="55"/>
      <c r="J77" s="57"/>
      <c r="K77" s="54" t="str">
        <f t="shared" si="4"/>
        <v/>
      </c>
      <c r="L77" s="55"/>
      <c r="M77" s="3"/>
      <c r="N77" s="3"/>
    </row>
    <row r="78">
      <c r="A78" s="64" t="s">
        <v>20</v>
      </c>
      <c r="B78" s="65"/>
      <c r="C78" s="65"/>
      <c r="D78" s="65"/>
      <c r="E78" s="65"/>
      <c r="F78" s="65"/>
      <c r="G78" s="66">
        <f>SUM(G18:G77)</f>
        <v>0</v>
      </c>
      <c r="H78" s="67"/>
      <c r="I78" s="65"/>
      <c r="J78" s="66">
        <f>SUM(J18:J77)</f>
        <v>0</v>
      </c>
      <c r="K78" s="68" t="str">
        <f>IFERROR(J78/G78,"")</f>
        <v/>
      </c>
      <c r="L78" s="65"/>
      <c r="M78" s="3"/>
      <c r="N78" s="3"/>
    </row>
    <row r="79">
      <c r="A79" s="3"/>
      <c r="B79" s="3"/>
      <c r="C79" s="3"/>
      <c r="D79" s="3"/>
      <c r="E79" s="3"/>
      <c r="F79" s="3"/>
      <c r="G79" s="3"/>
      <c r="H79" s="42"/>
      <c r="I79" s="3"/>
      <c r="J79" s="3"/>
      <c r="K79" s="3"/>
      <c r="L79" s="3"/>
      <c r="M79" s="3"/>
      <c r="N79" s="3"/>
    </row>
    <row r="80">
      <c r="A80" s="3"/>
      <c r="B80" s="3"/>
      <c r="C80" s="3"/>
      <c r="D80" s="3"/>
      <c r="E80" s="3"/>
      <c r="F80" s="3"/>
      <c r="G80" s="3"/>
      <c r="H80" s="42"/>
      <c r="I80" s="3"/>
      <c r="J80" s="3"/>
      <c r="K80" s="3"/>
      <c r="L80" s="3"/>
      <c r="M80" s="3"/>
      <c r="N80" s="3"/>
    </row>
    <row r="81">
      <c r="A81" s="3"/>
      <c r="B81" s="3"/>
      <c r="C81" s="3"/>
      <c r="D81" s="3"/>
      <c r="E81" s="3"/>
      <c r="F81" s="3"/>
      <c r="G81" s="3"/>
      <c r="H81" s="42"/>
      <c r="I81" s="3"/>
      <c r="J81" s="3"/>
      <c r="K81" s="3"/>
      <c r="L81" s="3"/>
      <c r="M81" s="3"/>
      <c r="N81" s="3"/>
    </row>
    <row r="82">
      <c r="A82" s="3"/>
      <c r="B82" s="3"/>
      <c r="C82" s="3"/>
      <c r="D82" s="3"/>
      <c r="E82" s="3"/>
      <c r="F82" s="3"/>
      <c r="G82" s="3"/>
      <c r="H82" s="42"/>
      <c r="I82" s="3"/>
      <c r="J82" s="3"/>
      <c r="K82" s="3"/>
      <c r="L82" s="3"/>
      <c r="M82" s="3"/>
      <c r="N82" s="3"/>
    </row>
    <row r="83">
      <c r="A83" s="3"/>
      <c r="B83" s="3"/>
      <c r="C83" s="3"/>
      <c r="D83" s="3"/>
      <c r="E83" s="3"/>
      <c r="F83" s="3"/>
      <c r="G83" s="3"/>
      <c r="H83" s="42"/>
      <c r="I83" s="3"/>
      <c r="J83" s="3"/>
      <c r="K83" s="3"/>
      <c r="L83" s="3"/>
      <c r="M83" s="3"/>
      <c r="N83" s="3"/>
    </row>
    <row r="84">
      <c r="A84" s="3"/>
      <c r="B84" s="3"/>
      <c r="C84" s="3"/>
      <c r="D84" s="3"/>
      <c r="E84" s="3"/>
      <c r="F84" s="3"/>
      <c r="G84" s="3"/>
      <c r="H84" s="42"/>
      <c r="I84" s="3"/>
      <c r="J84" s="3"/>
      <c r="K84" s="3"/>
      <c r="L84" s="3"/>
      <c r="M84" s="3"/>
      <c r="N84" s="3"/>
    </row>
    <row r="85">
      <c r="A85" s="3"/>
      <c r="B85" s="3"/>
      <c r="C85" s="3"/>
      <c r="D85" s="3"/>
      <c r="E85" s="3"/>
      <c r="F85" s="3"/>
      <c r="G85" s="3"/>
      <c r="H85" s="42"/>
      <c r="I85" s="3"/>
      <c r="J85" s="3"/>
      <c r="K85" s="3"/>
      <c r="L85" s="3"/>
      <c r="M85" s="3"/>
      <c r="N85" s="3"/>
    </row>
    <row r="86">
      <c r="A86" s="3"/>
      <c r="B86" s="3"/>
      <c r="C86" s="3"/>
      <c r="D86" s="3"/>
      <c r="E86" s="3"/>
      <c r="F86" s="3"/>
      <c r="G86" s="3"/>
      <c r="H86" s="42"/>
      <c r="I86" s="3"/>
      <c r="J86" s="3"/>
      <c r="K86" s="3"/>
      <c r="L86" s="3"/>
      <c r="M86" s="3"/>
      <c r="N86" s="3"/>
    </row>
    <row r="87">
      <c r="A87" s="3"/>
      <c r="B87" s="3"/>
      <c r="C87" s="3"/>
      <c r="D87" s="3"/>
      <c r="E87" s="3"/>
      <c r="F87" s="3"/>
      <c r="G87" s="3"/>
      <c r="H87" s="42"/>
      <c r="I87" s="3"/>
      <c r="J87" s="3"/>
      <c r="K87" s="3"/>
      <c r="L87" s="3"/>
      <c r="M87" s="3"/>
      <c r="N87" s="3"/>
    </row>
    <row r="88">
      <c r="A88" s="3"/>
      <c r="B88" s="3"/>
      <c r="C88" s="3"/>
      <c r="D88" s="3"/>
      <c r="E88" s="3"/>
      <c r="F88" s="3"/>
      <c r="G88" s="3"/>
      <c r="H88" s="42"/>
      <c r="I88" s="3"/>
      <c r="J88" s="3"/>
      <c r="K88" s="3"/>
      <c r="L88" s="3"/>
      <c r="M88" s="3"/>
      <c r="N88" s="3"/>
    </row>
    <row r="89">
      <c r="A89" s="3"/>
      <c r="B89" s="3"/>
      <c r="C89" s="3"/>
      <c r="D89" s="3"/>
      <c r="E89" s="3"/>
      <c r="F89" s="3"/>
      <c r="G89" s="3"/>
      <c r="H89" s="42"/>
      <c r="I89" s="3"/>
      <c r="J89" s="3"/>
      <c r="K89" s="3"/>
      <c r="L89" s="3"/>
      <c r="M89" s="3"/>
      <c r="N89" s="3"/>
    </row>
    <row r="90">
      <c r="A90" s="3"/>
      <c r="B90" s="3"/>
      <c r="C90" s="3"/>
      <c r="D90" s="3"/>
      <c r="E90" s="3"/>
      <c r="F90" s="3"/>
      <c r="G90" s="3"/>
      <c r="H90" s="42"/>
      <c r="I90" s="3"/>
      <c r="J90" s="3"/>
      <c r="K90" s="3"/>
      <c r="L90" s="3"/>
      <c r="M90" s="3"/>
      <c r="N90" s="3"/>
    </row>
    <row r="91">
      <c r="A91" s="3"/>
      <c r="B91" s="3"/>
      <c r="C91" s="3"/>
      <c r="D91" s="3"/>
      <c r="E91" s="3"/>
      <c r="F91" s="3"/>
      <c r="G91" s="3"/>
      <c r="H91" s="42"/>
      <c r="I91" s="3"/>
      <c r="J91" s="3"/>
      <c r="K91" s="3"/>
      <c r="L91" s="3"/>
      <c r="M91" s="3"/>
      <c r="N91" s="3"/>
    </row>
    <row r="92">
      <c r="A92" s="3"/>
      <c r="B92" s="3"/>
      <c r="C92" s="3"/>
      <c r="D92" s="3"/>
      <c r="E92" s="3"/>
      <c r="F92" s="3"/>
      <c r="G92" s="3"/>
      <c r="H92" s="42"/>
      <c r="I92" s="3"/>
      <c r="J92" s="3"/>
      <c r="K92" s="3"/>
      <c r="L92" s="3"/>
      <c r="M92" s="3"/>
      <c r="N92" s="3"/>
    </row>
    <row r="93">
      <c r="A93" s="3"/>
      <c r="B93" s="3"/>
      <c r="C93" s="3"/>
      <c r="D93" s="3"/>
      <c r="E93" s="3"/>
      <c r="F93" s="3"/>
      <c r="G93" s="3"/>
      <c r="H93" s="42"/>
      <c r="I93" s="3"/>
      <c r="J93" s="3"/>
      <c r="K93" s="3"/>
      <c r="L93" s="3"/>
      <c r="M93" s="3"/>
      <c r="N93" s="3"/>
    </row>
    <row r="94">
      <c r="A94" s="3"/>
      <c r="B94" s="3"/>
      <c r="C94" s="3"/>
      <c r="D94" s="3"/>
      <c r="E94" s="3"/>
      <c r="F94" s="3"/>
      <c r="G94" s="3"/>
      <c r="H94" s="42"/>
      <c r="I94" s="3"/>
      <c r="J94" s="3"/>
      <c r="K94" s="3"/>
      <c r="L94" s="3"/>
      <c r="M94" s="3"/>
      <c r="N94" s="3"/>
    </row>
    <row r="95">
      <c r="A95" s="3"/>
      <c r="B95" s="3"/>
      <c r="C95" s="3"/>
      <c r="D95" s="3"/>
      <c r="E95" s="3"/>
      <c r="F95" s="3"/>
      <c r="G95" s="3"/>
      <c r="H95" s="42"/>
      <c r="I95" s="3"/>
      <c r="J95" s="3"/>
      <c r="K95" s="3"/>
      <c r="L95" s="3"/>
      <c r="M95" s="3"/>
      <c r="N95" s="3"/>
    </row>
    <row r="96">
      <c r="A96" s="3"/>
      <c r="B96" s="3"/>
      <c r="C96" s="3"/>
      <c r="D96" s="3"/>
      <c r="E96" s="3"/>
      <c r="F96" s="3"/>
      <c r="G96" s="3"/>
      <c r="H96" s="42"/>
      <c r="I96" s="3"/>
      <c r="J96" s="3"/>
      <c r="K96" s="3"/>
      <c r="L96" s="3"/>
      <c r="M96" s="3"/>
      <c r="N96" s="3"/>
    </row>
    <row r="97">
      <c r="A97" s="3"/>
      <c r="B97" s="3"/>
      <c r="C97" s="3"/>
      <c r="D97" s="3"/>
      <c r="E97" s="3"/>
      <c r="F97" s="3"/>
      <c r="G97" s="3"/>
      <c r="H97" s="42"/>
      <c r="I97" s="3"/>
      <c r="J97" s="3"/>
      <c r="K97" s="3"/>
      <c r="L97" s="3"/>
      <c r="M97" s="3"/>
      <c r="N97" s="3"/>
    </row>
    <row r="98">
      <c r="A98" s="3"/>
      <c r="B98" s="3"/>
      <c r="C98" s="3"/>
      <c r="D98" s="3"/>
      <c r="E98" s="3"/>
      <c r="F98" s="3"/>
      <c r="G98" s="3"/>
      <c r="H98" s="42"/>
      <c r="I98" s="3"/>
      <c r="J98" s="3"/>
      <c r="K98" s="3"/>
      <c r="L98" s="3"/>
      <c r="M98" s="3"/>
      <c r="N98" s="3"/>
    </row>
    <row r="99">
      <c r="A99" s="3"/>
      <c r="B99" s="3"/>
      <c r="C99" s="3"/>
      <c r="D99" s="3"/>
      <c r="E99" s="3"/>
      <c r="F99" s="3"/>
      <c r="G99" s="3"/>
      <c r="H99" s="42"/>
      <c r="I99" s="3"/>
      <c r="J99" s="3"/>
      <c r="K99" s="3"/>
      <c r="L99" s="3"/>
      <c r="M99" s="3"/>
      <c r="N99" s="3"/>
    </row>
    <row r="100">
      <c r="A100" s="3"/>
      <c r="B100" s="3"/>
      <c r="C100" s="3"/>
      <c r="D100" s="3"/>
      <c r="E100" s="3"/>
      <c r="F100" s="3"/>
      <c r="G100" s="3"/>
      <c r="H100" s="42"/>
      <c r="I100" s="3"/>
      <c r="J100" s="3"/>
      <c r="K100" s="3"/>
      <c r="L100" s="3"/>
      <c r="M100" s="3"/>
      <c r="N100" s="3"/>
    </row>
  </sheetData>
  <mergeCells count="48">
    <mergeCell ref="A1:L1"/>
    <mergeCell ref="A2:L2"/>
    <mergeCell ref="A3:L3"/>
    <mergeCell ref="A4:C4"/>
    <mergeCell ref="D4:E4"/>
    <mergeCell ref="F4:G4"/>
    <mergeCell ref="J4:L4"/>
    <mergeCell ref="A5:C5"/>
    <mergeCell ref="D5:E5"/>
    <mergeCell ref="F5:G5"/>
    <mergeCell ref="J5:L5"/>
    <mergeCell ref="D6:E6"/>
    <mergeCell ref="F6:G6"/>
    <mergeCell ref="J6:L6"/>
    <mergeCell ref="J7:L7"/>
    <mergeCell ref="J8:L8"/>
    <mergeCell ref="J9:L9"/>
    <mergeCell ref="J10:L10"/>
    <mergeCell ref="J11:L11"/>
    <mergeCell ref="J12:L12"/>
    <mergeCell ref="J13:L13"/>
    <mergeCell ref="J14:L14"/>
    <mergeCell ref="A6:C6"/>
    <mergeCell ref="A7:C7"/>
    <mergeCell ref="D7:E7"/>
    <mergeCell ref="F7:G7"/>
    <mergeCell ref="A8:C8"/>
    <mergeCell ref="D8:E8"/>
    <mergeCell ref="F8:G8"/>
    <mergeCell ref="D11:E11"/>
    <mergeCell ref="F11:G11"/>
    <mergeCell ref="A9:C9"/>
    <mergeCell ref="D9:E9"/>
    <mergeCell ref="F9:G9"/>
    <mergeCell ref="A10:C10"/>
    <mergeCell ref="D10:E10"/>
    <mergeCell ref="F10:G10"/>
    <mergeCell ref="A11:C11"/>
    <mergeCell ref="D14:E14"/>
    <mergeCell ref="F14:G14"/>
    <mergeCell ref="A16:L16"/>
    <mergeCell ref="A12:C12"/>
    <mergeCell ref="D12:E12"/>
    <mergeCell ref="F12:G12"/>
    <mergeCell ref="A13:C13"/>
    <mergeCell ref="D13:E13"/>
    <mergeCell ref="F13:G13"/>
    <mergeCell ref="A14:C14"/>
  </mergeCells>
  <conditionalFormatting sqref="I18:I77">
    <cfRule type="cellIs" dxfId="0" priority="1" stopIfTrue="1" operator="equal">
      <formula>"Sakura"</formula>
    </cfRule>
  </conditionalFormatting>
  <conditionalFormatting sqref="I18:I77">
    <cfRule type="cellIs" dxfId="1" priority="2" stopIfTrue="1" operator="equal">
      <formula>"Q1"</formula>
    </cfRule>
  </conditionalFormatting>
  <dataValidations>
    <dataValidation type="list" allowBlank="1" sqref="H18:H77">
      <formula1>"对公转账,直付达人,蒲公英充值,主体公司支付,其他"</formula1>
    </dataValidation>
    <dataValidation type="list" allowBlank="1" sqref="I18:I77">
      <formula1>"Sakura,Q1"</formula1>
    </dataValidation>
    <dataValidation type="list" allowBlank="1" sqref="C18:C77">
      <formula1>"筆記+直播,直播坑位费,KOC圖文,視頻筆記預算,koc動画不报备,样品费,运费,風險保證金,小紅書專業號年審費用"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25"/>
    <col customWidth="1" min="2" max="2" width="11.63"/>
    <col customWidth="1" min="3" max="3" width="21.63"/>
    <col customWidth="1" min="4" max="4" width="18.63"/>
    <col customWidth="1" min="5" max="5" width="25.75"/>
    <col customWidth="1" min="6" max="6" width="17.63"/>
    <col customWidth="1" min="7" max="7" width="15.38"/>
    <col customWidth="1" min="8" max="8" width="14.88"/>
    <col customWidth="1" min="9" max="9" width="12.63"/>
    <col customWidth="1" min="10" max="10" width="14.13"/>
    <col customWidth="1" min="11" max="11" width="10.63"/>
    <col customWidth="1" min="12" max="12" width="23.88"/>
  </cols>
  <sheetData>
    <row r="1">
      <c r="A1" s="1" t="s">
        <v>0</v>
      </c>
      <c r="M1" s="3"/>
      <c r="N1" s="3"/>
    </row>
    <row r="2">
      <c r="A2" s="5" t="s">
        <v>4</v>
      </c>
      <c r="M2" s="3"/>
      <c r="N2" s="3"/>
    </row>
    <row r="3">
      <c r="A3" s="7" t="s">
        <v>5</v>
      </c>
      <c r="M3" s="3"/>
      <c r="N3" s="3"/>
    </row>
    <row r="4">
      <c r="A4" s="11" t="s">
        <v>7</v>
      </c>
      <c r="B4" s="12"/>
      <c r="C4" s="13"/>
      <c r="D4" s="14" t="s">
        <v>8</v>
      </c>
      <c r="E4" s="13"/>
      <c r="F4" s="14" t="s">
        <v>10</v>
      </c>
      <c r="G4" s="13"/>
      <c r="H4" s="17" t="s">
        <v>11</v>
      </c>
      <c r="I4" s="18" t="s">
        <v>12</v>
      </c>
      <c r="J4" s="11" t="s">
        <v>13</v>
      </c>
      <c r="K4" s="12"/>
      <c r="L4" s="13"/>
      <c r="M4" s="3"/>
      <c r="N4" s="3"/>
    </row>
    <row r="5">
      <c r="A5" s="20" t="s">
        <v>14</v>
      </c>
      <c r="B5" s="12"/>
      <c r="C5" s="13"/>
      <c r="D5" s="22"/>
      <c r="E5" s="13"/>
      <c r="F5" s="22">
        <f t="shared" ref="F5:F13" si="1">SUMIF($C$18:$C$77,$A5,$G$18:$G$77)</f>
        <v>0</v>
      </c>
      <c r="G5" s="13"/>
      <c r="H5" s="25" t="str">
        <f t="shared" ref="H5:H14" si="2">IF(N(D5)=0,"",D5-F5)</f>
        <v/>
      </c>
      <c r="I5" s="26" t="str">
        <f t="shared" ref="I5:I14" si="3">IF(N(D5)=0,"",F5/D5)</f>
        <v/>
      </c>
      <c r="J5" s="28" t="s">
        <v>21</v>
      </c>
      <c r="K5" s="12"/>
      <c r="L5" s="13"/>
      <c r="M5" s="3"/>
      <c r="N5" s="3"/>
    </row>
    <row r="6">
      <c r="A6" s="20" t="s">
        <v>22</v>
      </c>
      <c r="B6" s="12"/>
      <c r="C6" s="13"/>
      <c r="D6" s="22"/>
      <c r="E6" s="13"/>
      <c r="F6" s="22">
        <f t="shared" si="1"/>
        <v>0</v>
      </c>
      <c r="G6" s="13"/>
      <c r="H6" s="25" t="str">
        <f t="shared" si="2"/>
        <v/>
      </c>
      <c r="I6" s="26" t="str">
        <f t="shared" si="3"/>
        <v/>
      </c>
      <c r="J6" s="28" t="s">
        <v>21</v>
      </c>
      <c r="K6" s="12"/>
      <c r="L6" s="13"/>
      <c r="M6" s="3"/>
      <c r="N6" s="3"/>
    </row>
    <row r="7">
      <c r="A7" s="20" t="s">
        <v>23</v>
      </c>
      <c r="B7" s="12"/>
      <c r="C7" s="13"/>
      <c r="D7" s="22"/>
      <c r="E7" s="13"/>
      <c r="F7" s="22">
        <f t="shared" si="1"/>
        <v>0</v>
      </c>
      <c r="G7" s="13"/>
      <c r="H7" s="25" t="str">
        <f t="shared" si="2"/>
        <v/>
      </c>
      <c r="I7" s="26" t="str">
        <f t="shared" si="3"/>
        <v/>
      </c>
      <c r="J7" s="28" t="s">
        <v>21</v>
      </c>
      <c r="K7" s="12"/>
      <c r="L7" s="13"/>
      <c r="M7" s="3"/>
      <c r="N7" s="3"/>
    </row>
    <row r="8">
      <c r="A8" s="20" t="s">
        <v>24</v>
      </c>
      <c r="B8" s="12"/>
      <c r="C8" s="13"/>
      <c r="D8" s="22"/>
      <c r="E8" s="13"/>
      <c r="F8" s="22">
        <f t="shared" si="1"/>
        <v>0</v>
      </c>
      <c r="G8" s="13"/>
      <c r="H8" s="25" t="str">
        <f t="shared" si="2"/>
        <v/>
      </c>
      <c r="I8" s="26" t="str">
        <f t="shared" si="3"/>
        <v/>
      </c>
      <c r="J8" s="28" t="s">
        <v>21</v>
      </c>
      <c r="K8" s="12"/>
      <c r="L8" s="13"/>
      <c r="M8" s="3"/>
      <c r="N8" s="3"/>
    </row>
    <row r="9">
      <c r="A9" s="20" t="s">
        <v>25</v>
      </c>
      <c r="B9" s="12"/>
      <c r="C9" s="13"/>
      <c r="D9" s="22"/>
      <c r="E9" s="13"/>
      <c r="F9" s="22">
        <f t="shared" si="1"/>
        <v>0</v>
      </c>
      <c r="G9" s="13"/>
      <c r="H9" s="25" t="str">
        <f t="shared" si="2"/>
        <v/>
      </c>
      <c r="I9" s="26" t="str">
        <f t="shared" si="3"/>
        <v/>
      </c>
      <c r="J9" s="28" t="s">
        <v>21</v>
      </c>
      <c r="K9" s="12"/>
      <c r="L9" s="13"/>
      <c r="M9" s="3"/>
      <c r="N9" s="3"/>
    </row>
    <row r="10">
      <c r="A10" s="29" t="s">
        <v>26</v>
      </c>
      <c r="B10" s="12"/>
      <c r="C10" s="13"/>
      <c r="D10" s="30"/>
      <c r="E10" s="13"/>
      <c r="F10" s="30">
        <f t="shared" si="1"/>
        <v>0</v>
      </c>
      <c r="G10" s="13"/>
      <c r="H10" s="31" t="str">
        <f t="shared" si="2"/>
        <v/>
      </c>
      <c r="I10" s="32" t="str">
        <f t="shared" si="3"/>
        <v/>
      </c>
      <c r="J10" s="33" t="s">
        <v>27</v>
      </c>
      <c r="K10" s="12"/>
      <c r="L10" s="13"/>
      <c r="M10" s="3"/>
      <c r="N10" s="3"/>
    </row>
    <row r="11">
      <c r="A11" s="29" t="s">
        <v>28</v>
      </c>
      <c r="B11" s="12"/>
      <c r="C11" s="13"/>
      <c r="D11" s="30"/>
      <c r="E11" s="13"/>
      <c r="F11" s="30">
        <f t="shared" si="1"/>
        <v>0</v>
      </c>
      <c r="G11" s="13"/>
      <c r="H11" s="31" t="str">
        <f t="shared" si="2"/>
        <v/>
      </c>
      <c r="I11" s="32" t="str">
        <f t="shared" si="3"/>
        <v/>
      </c>
      <c r="J11" s="33" t="s">
        <v>27</v>
      </c>
      <c r="K11" s="12"/>
      <c r="L11" s="13"/>
      <c r="M11" s="3"/>
      <c r="N11" s="3"/>
    </row>
    <row r="12">
      <c r="A12" s="29" t="s">
        <v>29</v>
      </c>
      <c r="B12" s="12"/>
      <c r="C12" s="13"/>
      <c r="D12" s="30"/>
      <c r="E12" s="13"/>
      <c r="F12" s="30">
        <f t="shared" si="1"/>
        <v>0</v>
      </c>
      <c r="G12" s="13"/>
      <c r="H12" s="31" t="str">
        <f t="shared" si="2"/>
        <v/>
      </c>
      <c r="I12" s="32" t="str">
        <f t="shared" si="3"/>
        <v/>
      </c>
      <c r="J12" s="33" t="s">
        <v>27</v>
      </c>
      <c r="K12" s="12"/>
      <c r="L12" s="13"/>
      <c r="M12" s="3"/>
      <c r="N12" s="3"/>
    </row>
    <row r="13">
      <c r="A13" s="29" t="s">
        <v>30</v>
      </c>
      <c r="B13" s="12"/>
      <c r="C13" s="13"/>
      <c r="D13" s="30"/>
      <c r="E13" s="13"/>
      <c r="F13" s="30">
        <f t="shared" si="1"/>
        <v>0</v>
      </c>
      <c r="G13" s="13"/>
      <c r="H13" s="31" t="str">
        <f t="shared" si="2"/>
        <v/>
      </c>
      <c r="I13" s="32" t="str">
        <f t="shared" si="3"/>
        <v/>
      </c>
      <c r="J13" s="33" t="s">
        <v>27</v>
      </c>
      <c r="K13" s="12"/>
      <c r="L13" s="13"/>
      <c r="M13" s="3"/>
      <c r="N13" s="3"/>
    </row>
    <row r="14">
      <c r="A14" s="37" t="s">
        <v>20</v>
      </c>
      <c r="B14" s="12"/>
      <c r="C14" s="13"/>
      <c r="D14" s="38">
        <f>SUM(D5:D13)</f>
        <v>0</v>
      </c>
      <c r="E14" s="13"/>
      <c r="F14" s="38">
        <f>SUM(F5:F13)</f>
        <v>0</v>
      </c>
      <c r="G14" s="13"/>
      <c r="H14" s="39" t="str">
        <f t="shared" si="2"/>
        <v/>
      </c>
      <c r="I14" s="40" t="str">
        <f t="shared" si="3"/>
        <v/>
      </c>
      <c r="J14" s="41"/>
      <c r="K14" s="12"/>
      <c r="L14" s="13"/>
      <c r="M14" s="3"/>
      <c r="N14" s="3"/>
    </row>
    <row r="15">
      <c r="A15" s="3"/>
      <c r="B15" s="3"/>
      <c r="C15" s="3"/>
      <c r="D15" s="3"/>
      <c r="E15" s="3"/>
      <c r="F15" s="3"/>
      <c r="G15" s="3"/>
      <c r="H15" s="42"/>
      <c r="I15" s="3"/>
      <c r="J15" s="3"/>
      <c r="K15" s="3"/>
      <c r="L15" s="3"/>
      <c r="M15" s="3"/>
      <c r="N15" s="3"/>
    </row>
    <row r="16">
      <c r="A16" s="43" t="s">
        <v>31</v>
      </c>
      <c r="M16" s="3"/>
      <c r="N16" s="3"/>
    </row>
    <row r="17">
      <c r="A17" s="44" t="s">
        <v>32</v>
      </c>
      <c r="B17" s="44" t="s">
        <v>33</v>
      </c>
      <c r="C17" s="44" t="s">
        <v>7</v>
      </c>
      <c r="D17" s="44" t="s">
        <v>34</v>
      </c>
      <c r="E17" s="44" t="s">
        <v>35</v>
      </c>
      <c r="F17" s="44" t="s">
        <v>36</v>
      </c>
      <c r="G17" s="44" t="s">
        <v>37</v>
      </c>
      <c r="H17" s="44" t="s">
        <v>38</v>
      </c>
      <c r="I17" s="44" t="s">
        <v>39</v>
      </c>
      <c r="J17" s="44" t="s">
        <v>40</v>
      </c>
      <c r="K17" s="44" t="s">
        <v>41</v>
      </c>
      <c r="L17" s="44" t="s">
        <v>42</v>
      </c>
      <c r="M17" s="3"/>
      <c r="N17" s="3"/>
    </row>
    <row r="18">
      <c r="A18" s="45"/>
      <c r="B18" s="46"/>
      <c r="C18" s="48"/>
      <c r="D18" s="49"/>
      <c r="E18" s="48"/>
      <c r="F18" s="48"/>
      <c r="G18" s="51"/>
      <c r="H18" s="49"/>
      <c r="I18" s="48"/>
      <c r="J18" s="51"/>
      <c r="K18" s="54" t="str">
        <f t="shared" ref="K18:K77" si="4">IF(OR(N($J18)=0,N($G18)=0),"",$J18/$G18)</f>
        <v/>
      </c>
      <c r="L18" s="55"/>
      <c r="M18" s="3"/>
      <c r="N18" s="3"/>
    </row>
    <row r="19">
      <c r="A19" s="45"/>
      <c r="B19" s="46"/>
      <c r="C19" s="48"/>
      <c r="D19" s="49"/>
      <c r="E19" s="48"/>
      <c r="F19" s="48"/>
      <c r="G19" s="51"/>
      <c r="H19" s="49"/>
      <c r="I19" s="48"/>
      <c r="J19" s="57"/>
      <c r="K19" s="54" t="str">
        <f t="shared" si="4"/>
        <v/>
      </c>
      <c r="L19" s="55"/>
      <c r="M19" s="3"/>
      <c r="N19" s="3"/>
    </row>
    <row r="20">
      <c r="A20" s="45"/>
      <c r="B20" s="46"/>
      <c r="C20" s="48"/>
      <c r="D20" s="49"/>
      <c r="E20" s="48"/>
      <c r="F20" s="48"/>
      <c r="G20" s="51"/>
      <c r="H20" s="49"/>
      <c r="I20" s="48"/>
      <c r="J20" s="51"/>
      <c r="K20" s="54" t="str">
        <f t="shared" si="4"/>
        <v/>
      </c>
      <c r="L20" s="55"/>
      <c r="M20" s="3"/>
      <c r="N20" s="3"/>
    </row>
    <row r="21">
      <c r="A21" s="45"/>
      <c r="B21" s="46"/>
      <c r="C21" s="48"/>
      <c r="D21" s="49"/>
      <c r="E21" s="48"/>
      <c r="F21" s="48"/>
      <c r="G21" s="51"/>
      <c r="H21" s="49"/>
      <c r="I21" s="48"/>
      <c r="J21" s="57"/>
      <c r="K21" s="54" t="str">
        <f t="shared" si="4"/>
        <v/>
      </c>
      <c r="L21" s="55"/>
      <c r="M21" s="3"/>
      <c r="N21" s="3"/>
    </row>
    <row r="22">
      <c r="A22" s="45"/>
      <c r="B22" s="46"/>
      <c r="C22" s="48"/>
      <c r="D22" s="49"/>
      <c r="E22" s="48"/>
      <c r="F22" s="48"/>
      <c r="G22" s="51"/>
      <c r="H22" s="49"/>
      <c r="I22" s="48"/>
      <c r="J22" s="51"/>
      <c r="K22" s="54" t="str">
        <f t="shared" si="4"/>
        <v/>
      </c>
      <c r="L22" s="55"/>
      <c r="M22" s="3"/>
      <c r="N22" s="3"/>
    </row>
    <row r="23">
      <c r="A23" s="45"/>
      <c r="B23" s="46"/>
      <c r="C23" s="48"/>
      <c r="D23" s="49"/>
      <c r="E23" s="48"/>
      <c r="F23" s="48"/>
      <c r="G23" s="51"/>
      <c r="H23" s="49"/>
      <c r="I23" s="48"/>
      <c r="J23" s="57"/>
      <c r="K23" s="54" t="str">
        <f t="shared" si="4"/>
        <v/>
      </c>
      <c r="L23" s="55"/>
      <c r="M23" s="3"/>
      <c r="N23" s="3"/>
    </row>
    <row r="24">
      <c r="A24" s="45"/>
      <c r="B24" s="46"/>
      <c r="C24" s="48"/>
      <c r="D24" s="49"/>
      <c r="E24" s="48"/>
      <c r="F24" s="48"/>
      <c r="G24" s="51"/>
      <c r="H24" s="49"/>
      <c r="I24" s="48"/>
      <c r="J24" s="57"/>
      <c r="K24" s="54" t="str">
        <f t="shared" si="4"/>
        <v/>
      </c>
      <c r="L24" s="55"/>
      <c r="M24" s="3"/>
      <c r="N24" s="3"/>
    </row>
    <row r="25">
      <c r="A25" s="45"/>
      <c r="B25" s="46"/>
      <c r="C25" s="48"/>
      <c r="D25" s="49"/>
      <c r="E25" s="48"/>
      <c r="F25" s="48"/>
      <c r="G25" s="51"/>
      <c r="H25" s="49"/>
      <c r="I25" s="48"/>
      <c r="J25" s="57"/>
      <c r="K25" s="54" t="str">
        <f t="shared" si="4"/>
        <v/>
      </c>
      <c r="L25" s="55"/>
      <c r="M25" s="3"/>
      <c r="N25" s="3"/>
    </row>
    <row r="26">
      <c r="A26" s="45"/>
      <c r="B26" s="46"/>
      <c r="C26" s="48"/>
      <c r="D26" s="49"/>
      <c r="E26" s="48"/>
      <c r="F26" s="48"/>
      <c r="G26" s="51"/>
      <c r="H26" s="49"/>
      <c r="I26" s="48"/>
      <c r="J26" s="57"/>
      <c r="K26" s="54" t="str">
        <f t="shared" si="4"/>
        <v/>
      </c>
      <c r="L26" s="55"/>
      <c r="M26" s="3"/>
      <c r="N26" s="3"/>
    </row>
    <row r="27">
      <c r="A27" s="45"/>
      <c r="B27" s="46"/>
      <c r="C27" s="48"/>
      <c r="D27" s="49"/>
      <c r="E27" s="48"/>
      <c r="F27" s="48"/>
      <c r="G27" s="51"/>
      <c r="H27" s="49"/>
      <c r="I27" s="48"/>
      <c r="J27" s="57"/>
      <c r="K27" s="54" t="str">
        <f t="shared" si="4"/>
        <v/>
      </c>
      <c r="L27" s="55"/>
      <c r="M27" s="3"/>
      <c r="N27" s="3"/>
    </row>
    <row r="28">
      <c r="A28" s="45"/>
      <c r="B28" s="46"/>
      <c r="C28" s="48"/>
      <c r="D28" s="49"/>
      <c r="E28" s="48"/>
      <c r="F28" s="48"/>
      <c r="G28" s="51"/>
      <c r="H28" s="49"/>
      <c r="I28" s="48"/>
      <c r="J28" s="57"/>
      <c r="K28" s="54" t="str">
        <f t="shared" si="4"/>
        <v/>
      </c>
      <c r="L28" s="55"/>
      <c r="M28" s="3"/>
      <c r="N28" s="3"/>
    </row>
    <row r="29">
      <c r="A29" s="45"/>
      <c r="B29" s="46"/>
      <c r="C29" s="48"/>
      <c r="D29" s="49"/>
      <c r="E29" s="48"/>
      <c r="F29" s="48"/>
      <c r="G29" s="51"/>
      <c r="H29" s="49"/>
      <c r="I29" s="48"/>
      <c r="J29" s="57"/>
      <c r="K29" s="54" t="str">
        <f t="shared" si="4"/>
        <v/>
      </c>
      <c r="L29" s="55"/>
      <c r="M29" s="3"/>
      <c r="N29" s="3"/>
    </row>
    <row r="30">
      <c r="A30" s="45"/>
      <c r="B30" s="46"/>
      <c r="C30" s="48"/>
      <c r="D30" s="49"/>
      <c r="E30" s="48"/>
      <c r="F30" s="48"/>
      <c r="G30" s="51"/>
      <c r="H30" s="49"/>
      <c r="I30" s="48"/>
      <c r="J30" s="51"/>
      <c r="K30" s="54" t="str">
        <f t="shared" si="4"/>
        <v/>
      </c>
      <c r="L30" s="55"/>
      <c r="M30" s="3"/>
      <c r="N30" s="3"/>
    </row>
    <row r="31">
      <c r="A31" s="45"/>
      <c r="B31" s="46"/>
      <c r="C31" s="48"/>
      <c r="D31" s="49"/>
      <c r="E31" s="48"/>
      <c r="F31" s="48"/>
      <c r="G31" s="51"/>
      <c r="H31" s="49"/>
      <c r="I31" s="48"/>
      <c r="J31" s="51"/>
      <c r="K31" s="54" t="str">
        <f t="shared" si="4"/>
        <v/>
      </c>
      <c r="L31" s="55"/>
      <c r="M31" s="3"/>
      <c r="N31" s="3"/>
    </row>
    <row r="32">
      <c r="A32" s="45"/>
      <c r="B32" s="46"/>
      <c r="C32" s="48"/>
      <c r="D32" s="49"/>
      <c r="E32" s="48"/>
      <c r="F32" s="48"/>
      <c r="G32" s="51"/>
      <c r="H32" s="49"/>
      <c r="I32" s="48"/>
      <c r="J32" s="51"/>
      <c r="K32" s="54" t="str">
        <f t="shared" si="4"/>
        <v/>
      </c>
      <c r="L32" s="55"/>
      <c r="M32" s="3"/>
      <c r="N32" s="3"/>
    </row>
    <row r="33">
      <c r="A33" s="45"/>
      <c r="B33" s="46"/>
      <c r="C33" s="48"/>
      <c r="D33" s="49"/>
      <c r="E33" s="48"/>
      <c r="F33" s="48"/>
      <c r="G33" s="51"/>
      <c r="H33" s="49"/>
      <c r="I33" s="48"/>
      <c r="J33" s="57"/>
      <c r="K33" s="54" t="str">
        <f t="shared" si="4"/>
        <v/>
      </c>
      <c r="L33" s="55"/>
      <c r="M33" s="3"/>
      <c r="N33" s="3"/>
    </row>
    <row r="34">
      <c r="A34" s="45"/>
      <c r="B34" s="46"/>
      <c r="C34" s="48"/>
      <c r="D34" s="49"/>
      <c r="E34" s="48"/>
      <c r="F34" s="48"/>
      <c r="G34" s="51"/>
      <c r="H34" s="49"/>
      <c r="I34" s="48"/>
      <c r="J34" s="57"/>
      <c r="K34" s="54" t="str">
        <f t="shared" si="4"/>
        <v/>
      </c>
      <c r="L34" s="55"/>
      <c r="M34" s="3"/>
      <c r="N34" s="3"/>
    </row>
    <row r="35">
      <c r="A35" s="45"/>
      <c r="B35" s="46"/>
      <c r="C35" s="48"/>
      <c r="D35" s="49"/>
      <c r="E35" s="48"/>
      <c r="F35" s="48"/>
      <c r="G35" s="51"/>
      <c r="H35" s="49"/>
      <c r="I35" s="48"/>
      <c r="J35" s="57"/>
      <c r="K35" s="54" t="str">
        <f t="shared" si="4"/>
        <v/>
      </c>
      <c r="L35" s="55"/>
      <c r="M35" s="3"/>
      <c r="N35" s="3"/>
    </row>
    <row r="36">
      <c r="A36" s="45"/>
      <c r="B36" s="46"/>
      <c r="C36" s="48"/>
      <c r="D36" s="55"/>
      <c r="E36" s="55"/>
      <c r="F36" s="48"/>
      <c r="G36" s="51"/>
      <c r="H36" s="49"/>
      <c r="I36" s="48"/>
      <c r="J36" s="57"/>
      <c r="K36" s="54" t="str">
        <f t="shared" si="4"/>
        <v/>
      </c>
      <c r="L36" s="55"/>
      <c r="M36" s="3"/>
      <c r="N36" s="3"/>
    </row>
    <row r="37">
      <c r="A37" s="45"/>
      <c r="B37" s="46"/>
      <c r="C37" s="48"/>
      <c r="D37" s="55"/>
      <c r="E37" s="55"/>
      <c r="F37" s="48"/>
      <c r="G37" s="51"/>
      <c r="H37" s="49"/>
      <c r="I37" s="48"/>
      <c r="J37" s="57"/>
      <c r="K37" s="54" t="str">
        <f t="shared" si="4"/>
        <v/>
      </c>
      <c r="L37" s="55"/>
      <c r="M37" s="3"/>
      <c r="N37" s="3"/>
    </row>
    <row r="38">
      <c r="A38" s="45"/>
      <c r="B38" s="46"/>
      <c r="C38" s="48"/>
      <c r="D38" s="55"/>
      <c r="E38" s="48"/>
      <c r="F38" s="48"/>
      <c r="G38" s="51"/>
      <c r="H38" s="49"/>
      <c r="I38" s="48"/>
      <c r="J38" s="57"/>
      <c r="K38" s="54" t="str">
        <f t="shared" si="4"/>
        <v/>
      </c>
      <c r="L38" s="55"/>
      <c r="M38" s="3"/>
      <c r="N38" s="3"/>
    </row>
    <row r="39">
      <c r="A39" s="45"/>
      <c r="B39" s="46"/>
      <c r="C39" s="48"/>
      <c r="D39" s="55"/>
      <c r="E39" s="48"/>
      <c r="F39" s="48"/>
      <c r="G39" s="51"/>
      <c r="H39" s="49"/>
      <c r="I39" s="48"/>
      <c r="J39" s="57"/>
      <c r="K39" s="54" t="str">
        <f t="shared" si="4"/>
        <v/>
      </c>
      <c r="L39" s="55"/>
      <c r="M39" s="3"/>
      <c r="N39" s="3"/>
    </row>
    <row r="40">
      <c r="A40" s="45"/>
      <c r="B40" s="46"/>
      <c r="C40" s="48"/>
      <c r="D40" s="55"/>
      <c r="E40" s="48"/>
      <c r="F40" s="48"/>
      <c r="G40" s="51"/>
      <c r="H40" s="49"/>
      <c r="I40" s="48"/>
      <c r="J40" s="57"/>
      <c r="K40" s="54" t="str">
        <f t="shared" si="4"/>
        <v/>
      </c>
      <c r="L40" s="55"/>
      <c r="M40" s="3"/>
      <c r="N40" s="3"/>
    </row>
    <row r="41">
      <c r="A41" s="45"/>
      <c r="B41" s="46"/>
      <c r="C41" s="48"/>
      <c r="D41" s="55"/>
      <c r="E41" s="48"/>
      <c r="F41" s="48"/>
      <c r="G41" s="51"/>
      <c r="H41" s="49"/>
      <c r="I41" s="48"/>
      <c r="J41" s="57"/>
      <c r="K41" s="54" t="str">
        <f t="shared" si="4"/>
        <v/>
      </c>
      <c r="L41" s="55"/>
      <c r="M41" s="3"/>
      <c r="N41" s="3"/>
    </row>
    <row r="42">
      <c r="A42" s="45"/>
      <c r="B42" s="46"/>
      <c r="C42" s="48"/>
      <c r="D42" s="55"/>
      <c r="E42" s="48"/>
      <c r="F42" s="48"/>
      <c r="G42" s="51"/>
      <c r="H42" s="49"/>
      <c r="I42" s="48"/>
      <c r="J42" s="57"/>
      <c r="K42" s="54" t="str">
        <f t="shared" si="4"/>
        <v/>
      </c>
      <c r="L42" s="55"/>
      <c r="M42" s="3"/>
      <c r="N42" s="3"/>
    </row>
    <row r="43">
      <c r="A43" s="45"/>
      <c r="B43" s="46"/>
      <c r="C43" s="48"/>
      <c r="D43" s="55"/>
      <c r="E43" s="48"/>
      <c r="F43" s="55"/>
      <c r="G43" s="51"/>
      <c r="H43" s="49"/>
      <c r="I43" s="48"/>
      <c r="J43" s="57"/>
      <c r="K43" s="54" t="str">
        <f t="shared" si="4"/>
        <v/>
      </c>
      <c r="L43" s="55"/>
      <c r="M43" s="3"/>
      <c r="N43" s="3"/>
    </row>
    <row r="44">
      <c r="A44" s="45"/>
      <c r="B44" s="46"/>
      <c r="C44" s="48"/>
      <c r="D44" s="48"/>
      <c r="E44" s="48"/>
      <c r="F44" s="48"/>
      <c r="G44" s="51"/>
      <c r="H44" s="49"/>
      <c r="I44" s="48"/>
      <c r="J44" s="57"/>
      <c r="K44" s="54" t="str">
        <f t="shared" si="4"/>
        <v/>
      </c>
      <c r="L44" s="55"/>
      <c r="M44" s="3"/>
      <c r="N44" s="3"/>
    </row>
    <row r="45">
      <c r="A45" s="45"/>
      <c r="B45" s="46"/>
      <c r="C45" s="48"/>
      <c r="D45" s="48"/>
      <c r="E45" s="48"/>
      <c r="F45" s="48"/>
      <c r="G45" s="51"/>
      <c r="H45" s="49"/>
      <c r="I45" s="48"/>
      <c r="J45" s="57"/>
      <c r="K45" s="54" t="str">
        <f t="shared" si="4"/>
        <v/>
      </c>
      <c r="L45" s="55"/>
      <c r="M45" s="3"/>
      <c r="N45" s="3"/>
    </row>
    <row r="46">
      <c r="A46" s="45"/>
      <c r="B46" s="61"/>
      <c r="C46" s="55"/>
      <c r="D46" s="55"/>
      <c r="E46" s="55"/>
      <c r="F46" s="55"/>
      <c r="G46" s="57"/>
      <c r="H46" s="62"/>
      <c r="I46" s="55"/>
      <c r="J46" s="57"/>
      <c r="K46" s="54" t="str">
        <f t="shared" si="4"/>
        <v/>
      </c>
      <c r="L46" s="55"/>
      <c r="M46" s="3"/>
      <c r="N46" s="3"/>
    </row>
    <row r="47">
      <c r="A47" s="45"/>
      <c r="B47" s="61"/>
      <c r="C47" s="55"/>
      <c r="D47" s="55"/>
      <c r="E47" s="55"/>
      <c r="F47" s="55"/>
      <c r="G47" s="57"/>
      <c r="H47" s="62"/>
      <c r="I47" s="55"/>
      <c r="J47" s="57"/>
      <c r="K47" s="54" t="str">
        <f t="shared" si="4"/>
        <v/>
      </c>
      <c r="L47" s="55"/>
      <c r="M47" s="3"/>
      <c r="N47" s="3"/>
    </row>
    <row r="48">
      <c r="A48" s="45"/>
      <c r="B48" s="61"/>
      <c r="C48" s="55"/>
      <c r="D48" s="55"/>
      <c r="E48" s="55"/>
      <c r="F48" s="55"/>
      <c r="G48" s="57"/>
      <c r="H48" s="62"/>
      <c r="I48" s="55"/>
      <c r="J48" s="57"/>
      <c r="K48" s="54" t="str">
        <f t="shared" si="4"/>
        <v/>
      </c>
      <c r="L48" s="55"/>
      <c r="M48" s="3"/>
      <c r="N48" s="3"/>
    </row>
    <row r="49">
      <c r="A49" s="45"/>
      <c r="B49" s="61"/>
      <c r="C49" s="55"/>
      <c r="D49" s="55"/>
      <c r="E49" s="55"/>
      <c r="F49" s="55"/>
      <c r="G49" s="57"/>
      <c r="H49" s="62"/>
      <c r="I49" s="55"/>
      <c r="J49" s="57"/>
      <c r="K49" s="54" t="str">
        <f t="shared" si="4"/>
        <v/>
      </c>
      <c r="L49" s="55"/>
      <c r="M49" s="3"/>
      <c r="N49" s="3"/>
    </row>
    <row r="50">
      <c r="A50" s="45"/>
      <c r="B50" s="61"/>
      <c r="C50" s="55"/>
      <c r="D50" s="55"/>
      <c r="E50" s="55"/>
      <c r="F50" s="55"/>
      <c r="G50" s="57"/>
      <c r="H50" s="62"/>
      <c r="I50" s="55"/>
      <c r="J50" s="57"/>
      <c r="K50" s="54" t="str">
        <f t="shared" si="4"/>
        <v/>
      </c>
      <c r="L50" s="55"/>
      <c r="M50" s="3"/>
      <c r="N50" s="3"/>
    </row>
    <row r="51">
      <c r="A51" s="45"/>
      <c r="B51" s="61"/>
      <c r="C51" s="55"/>
      <c r="D51" s="55"/>
      <c r="E51" s="55"/>
      <c r="F51" s="55"/>
      <c r="G51" s="57"/>
      <c r="H51" s="62"/>
      <c r="I51" s="55"/>
      <c r="J51" s="57"/>
      <c r="K51" s="54" t="str">
        <f t="shared" si="4"/>
        <v/>
      </c>
      <c r="L51" s="55"/>
      <c r="M51" s="3"/>
      <c r="N51" s="3"/>
    </row>
    <row r="52">
      <c r="A52" s="45"/>
      <c r="B52" s="61"/>
      <c r="C52" s="55"/>
      <c r="D52" s="55"/>
      <c r="E52" s="55"/>
      <c r="F52" s="55"/>
      <c r="G52" s="57"/>
      <c r="H52" s="62"/>
      <c r="I52" s="55"/>
      <c r="J52" s="57"/>
      <c r="K52" s="54" t="str">
        <f t="shared" si="4"/>
        <v/>
      </c>
      <c r="L52" s="55"/>
      <c r="M52" s="3"/>
      <c r="N52" s="3"/>
    </row>
    <row r="53">
      <c r="A53" s="45"/>
      <c r="B53" s="61"/>
      <c r="C53" s="55"/>
      <c r="D53" s="55"/>
      <c r="E53" s="55"/>
      <c r="F53" s="55"/>
      <c r="G53" s="57"/>
      <c r="H53" s="62"/>
      <c r="I53" s="55"/>
      <c r="J53" s="57"/>
      <c r="K53" s="54" t="str">
        <f t="shared" si="4"/>
        <v/>
      </c>
      <c r="L53" s="55"/>
      <c r="M53" s="3"/>
      <c r="N53" s="3"/>
    </row>
    <row r="54">
      <c r="A54" s="45"/>
      <c r="B54" s="61"/>
      <c r="C54" s="55"/>
      <c r="D54" s="55"/>
      <c r="E54" s="55"/>
      <c r="F54" s="55"/>
      <c r="G54" s="57"/>
      <c r="H54" s="62"/>
      <c r="I54" s="55"/>
      <c r="J54" s="57"/>
      <c r="K54" s="54" t="str">
        <f t="shared" si="4"/>
        <v/>
      </c>
      <c r="L54" s="55"/>
      <c r="M54" s="3"/>
      <c r="N54" s="3"/>
    </row>
    <row r="55">
      <c r="A55" s="45"/>
      <c r="B55" s="61"/>
      <c r="C55" s="55"/>
      <c r="D55" s="55"/>
      <c r="E55" s="55"/>
      <c r="F55" s="55"/>
      <c r="G55" s="57"/>
      <c r="H55" s="62"/>
      <c r="I55" s="55"/>
      <c r="J55" s="57"/>
      <c r="K55" s="54" t="str">
        <f t="shared" si="4"/>
        <v/>
      </c>
      <c r="L55" s="55"/>
      <c r="M55" s="3"/>
      <c r="N55" s="3"/>
    </row>
    <row r="56">
      <c r="A56" s="45"/>
      <c r="B56" s="61"/>
      <c r="C56" s="55"/>
      <c r="D56" s="55"/>
      <c r="E56" s="55"/>
      <c r="F56" s="55"/>
      <c r="G56" s="57"/>
      <c r="H56" s="62"/>
      <c r="I56" s="55"/>
      <c r="J56" s="57"/>
      <c r="K56" s="54" t="str">
        <f t="shared" si="4"/>
        <v/>
      </c>
      <c r="L56" s="55"/>
      <c r="M56" s="3"/>
      <c r="N56" s="3"/>
    </row>
    <row r="57">
      <c r="A57" s="45"/>
      <c r="B57" s="61"/>
      <c r="C57" s="55"/>
      <c r="D57" s="55"/>
      <c r="E57" s="55"/>
      <c r="F57" s="55"/>
      <c r="G57" s="57"/>
      <c r="H57" s="62"/>
      <c r="I57" s="55"/>
      <c r="J57" s="57"/>
      <c r="K57" s="54" t="str">
        <f t="shared" si="4"/>
        <v/>
      </c>
      <c r="L57" s="55"/>
      <c r="M57" s="3"/>
      <c r="N57" s="3"/>
    </row>
    <row r="58">
      <c r="A58" s="45"/>
      <c r="B58" s="61"/>
      <c r="C58" s="55"/>
      <c r="D58" s="55"/>
      <c r="E58" s="55"/>
      <c r="F58" s="55"/>
      <c r="G58" s="57"/>
      <c r="H58" s="62"/>
      <c r="I58" s="55"/>
      <c r="J58" s="57"/>
      <c r="K58" s="54" t="str">
        <f t="shared" si="4"/>
        <v/>
      </c>
      <c r="L58" s="55"/>
      <c r="M58" s="3"/>
      <c r="N58" s="3"/>
    </row>
    <row r="59">
      <c r="A59" s="45"/>
      <c r="B59" s="61"/>
      <c r="C59" s="55"/>
      <c r="D59" s="55"/>
      <c r="E59" s="55"/>
      <c r="F59" s="55"/>
      <c r="G59" s="57"/>
      <c r="H59" s="62"/>
      <c r="I59" s="55"/>
      <c r="J59" s="57"/>
      <c r="K59" s="54" t="str">
        <f t="shared" si="4"/>
        <v/>
      </c>
      <c r="L59" s="55"/>
      <c r="M59" s="3"/>
      <c r="N59" s="3"/>
    </row>
    <row r="60">
      <c r="A60" s="45"/>
      <c r="B60" s="61"/>
      <c r="C60" s="55"/>
      <c r="D60" s="55"/>
      <c r="E60" s="55"/>
      <c r="F60" s="55"/>
      <c r="G60" s="57"/>
      <c r="H60" s="62"/>
      <c r="I60" s="55"/>
      <c r="J60" s="57"/>
      <c r="K60" s="54" t="str">
        <f t="shared" si="4"/>
        <v/>
      </c>
      <c r="L60" s="55"/>
      <c r="M60" s="3"/>
      <c r="N60" s="3"/>
    </row>
    <row r="61">
      <c r="A61" s="45"/>
      <c r="B61" s="61"/>
      <c r="C61" s="55"/>
      <c r="D61" s="55"/>
      <c r="E61" s="55"/>
      <c r="F61" s="55"/>
      <c r="G61" s="57"/>
      <c r="H61" s="62"/>
      <c r="I61" s="55"/>
      <c r="J61" s="57"/>
      <c r="K61" s="54" t="str">
        <f t="shared" si="4"/>
        <v/>
      </c>
      <c r="L61" s="55"/>
      <c r="M61" s="3"/>
      <c r="N61" s="3"/>
    </row>
    <row r="62">
      <c r="A62" s="45"/>
      <c r="B62" s="61"/>
      <c r="C62" s="55"/>
      <c r="D62" s="55"/>
      <c r="E62" s="55"/>
      <c r="F62" s="55"/>
      <c r="G62" s="57"/>
      <c r="H62" s="62"/>
      <c r="I62" s="55"/>
      <c r="J62" s="57"/>
      <c r="K62" s="54" t="str">
        <f t="shared" si="4"/>
        <v/>
      </c>
      <c r="L62" s="55"/>
      <c r="M62" s="3"/>
      <c r="N62" s="3"/>
    </row>
    <row r="63">
      <c r="A63" s="45"/>
      <c r="B63" s="61"/>
      <c r="C63" s="55"/>
      <c r="D63" s="55"/>
      <c r="E63" s="55"/>
      <c r="F63" s="55"/>
      <c r="G63" s="57"/>
      <c r="H63" s="62"/>
      <c r="I63" s="55"/>
      <c r="J63" s="57"/>
      <c r="K63" s="54" t="str">
        <f t="shared" si="4"/>
        <v/>
      </c>
      <c r="L63" s="55"/>
      <c r="M63" s="3"/>
      <c r="N63" s="3"/>
    </row>
    <row r="64">
      <c r="A64" s="45"/>
      <c r="B64" s="61"/>
      <c r="C64" s="55"/>
      <c r="D64" s="55"/>
      <c r="E64" s="55"/>
      <c r="F64" s="55"/>
      <c r="G64" s="57"/>
      <c r="H64" s="62"/>
      <c r="I64" s="55"/>
      <c r="J64" s="57"/>
      <c r="K64" s="54" t="str">
        <f t="shared" si="4"/>
        <v/>
      </c>
      <c r="L64" s="55"/>
      <c r="M64" s="3"/>
      <c r="N64" s="3"/>
    </row>
    <row r="65">
      <c r="A65" s="45"/>
      <c r="B65" s="61"/>
      <c r="C65" s="55"/>
      <c r="D65" s="55"/>
      <c r="E65" s="55"/>
      <c r="F65" s="55"/>
      <c r="G65" s="57"/>
      <c r="H65" s="62"/>
      <c r="I65" s="55"/>
      <c r="J65" s="57"/>
      <c r="K65" s="54" t="str">
        <f t="shared" si="4"/>
        <v/>
      </c>
      <c r="L65" s="55"/>
      <c r="M65" s="3"/>
      <c r="N65" s="3"/>
    </row>
    <row r="66">
      <c r="A66" s="45"/>
      <c r="B66" s="61"/>
      <c r="C66" s="55"/>
      <c r="D66" s="55"/>
      <c r="E66" s="55"/>
      <c r="F66" s="55"/>
      <c r="G66" s="57"/>
      <c r="H66" s="62"/>
      <c r="I66" s="55"/>
      <c r="J66" s="57"/>
      <c r="K66" s="54" t="str">
        <f t="shared" si="4"/>
        <v/>
      </c>
      <c r="L66" s="55"/>
      <c r="M66" s="3"/>
      <c r="N66" s="3"/>
    </row>
    <row r="67">
      <c r="A67" s="45"/>
      <c r="B67" s="61"/>
      <c r="C67" s="55"/>
      <c r="D67" s="55"/>
      <c r="E67" s="55"/>
      <c r="F67" s="55"/>
      <c r="G67" s="57"/>
      <c r="H67" s="62"/>
      <c r="I67" s="55"/>
      <c r="J67" s="57"/>
      <c r="K67" s="54" t="str">
        <f t="shared" si="4"/>
        <v/>
      </c>
      <c r="L67" s="55"/>
      <c r="M67" s="3"/>
      <c r="N67" s="3"/>
    </row>
    <row r="68">
      <c r="A68" s="45"/>
      <c r="B68" s="61"/>
      <c r="C68" s="55"/>
      <c r="D68" s="55"/>
      <c r="E68" s="55"/>
      <c r="F68" s="55"/>
      <c r="G68" s="57"/>
      <c r="H68" s="62"/>
      <c r="I68" s="55"/>
      <c r="J68" s="57"/>
      <c r="K68" s="54" t="str">
        <f t="shared" si="4"/>
        <v/>
      </c>
      <c r="L68" s="55"/>
      <c r="M68" s="3"/>
      <c r="N68" s="3"/>
    </row>
    <row r="69">
      <c r="A69" s="45"/>
      <c r="B69" s="61"/>
      <c r="C69" s="55"/>
      <c r="D69" s="55"/>
      <c r="E69" s="55"/>
      <c r="F69" s="55"/>
      <c r="G69" s="57"/>
      <c r="H69" s="62"/>
      <c r="I69" s="55"/>
      <c r="J69" s="57"/>
      <c r="K69" s="54" t="str">
        <f t="shared" si="4"/>
        <v/>
      </c>
      <c r="L69" s="55"/>
      <c r="M69" s="3"/>
      <c r="N69" s="3"/>
    </row>
    <row r="70">
      <c r="A70" s="45"/>
      <c r="B70" s="61"/>
      <c r="C70" s="55"/>
      <c r="D70" s="55"/>
      <c r="E70" s="55"/>
      <c r="F70" s="55"/>
      <c r="G70" s="57"/>
      <c r="H70" s="62"/>
      <c r="I70" s="55"/>
      <c r="J70" s="57"/>
      <c r="K70" s="54" t="str">
        <f t="shared" si="4"/>
        <v/>
      </c>
      <c r="L70" s="55"/>
      <c r="M70" s="3"/>
      <c r="N70" s="3"/>
    </row>
    <row r="71">
      <c r="A71" s="45"/>
      <c r="B71" s="61"/>
      <c r="C71" s="55"/>
      <c r="D71" s="55"/>
      <c r="E71" s="55"/>
      <c r="F71" s="55"/>
      <c r="G71" s="57"/>
      <c r="H71" s="62"/>
      <c r="I71" s="55"/>
      <c r="J71" s="57"/>
      <c r="K71" s="54" t="str">
        <f t="shared" si="4"/>
        <v/>
      </c>
      <c r="L71" s="55"/>
      <c r="M71" s="3"/>
      <c r="N71" s="3"/>
    </row>
    <row r="72">
      <c r="A72" s="45"/>
      <c r="B72" s="61"/>
      <c r="C72" s="55"/>
      <c r="D72" s="55"/>
      <c r="E72" s="55"/>
      <c r="F72" s="55"/>
      <c r="G72" s="57"/>
      <c r="H72" s="62"/>
      <c r="I72" s="55"/>
      <c r="J72" s="57"/>
      <c r="K72" s="54" t="str">
        <f t="shared" si="4"/>
        <v/>
      </c>
      <c r="L72" s="55"/>
      <c r="M72" s="3"/>
      <c r="N72" s="3"/>
    </row>
    <row r="73">
      <c r="A73" s="45"/>
      <c r="B73" s="61"/>
      <c r="C73" s="55"/>
      <c r="D73" s="55"/>
      <c r="E73" s="55"/>
      <c r="F73" s="55"/>
      <c r="G73" s="57"/>
      <c r="H73" s="62"/>
      <c r="I73" s="55"/>
      <c r="J73" s="57"/>
      <c r="K73" s="54" t="str">
        <f t="shared" si="4"/>
        <v/>
      </c>
      <c r="L73" s="55"/>
      <c r="M73" s="3"/>
      <c r="N73" s="3"/>
    </row>
    <row r="74">
      <c r="A74" s="45"/>
      <c r="B74" s="61"/>
      <c r="C74" s="55"/>
      <c r="D74" s="55"/>
      <c r="E74" s="55"/>
      <c r="F74" s="55"/>
      <c r="G74" s="57"/>
      <c r="H74" s="62"/>
      <c r="I74" s="55"/>
      <c r="J74" s="57"/>
      <c r="K74" s="54" t="str">
        <f t="shared" si="4"/>
        <v/>
      </c>
      <c r="L74" s="55"/>
      <c r="M74" s="3"/>
      <c r="N74" s="3"/>
    </row>
    <row r="75">
      <c r="A75" s="45"/>
      <c r="B75" s="61"/>
      <c r="C75" s="55"/>
      <c r="D75" s="55"/>
      <c r="E75" s="55"/>
      <c r="F75" s="55"/>
      <c r="G75" s="57"/>
      <c r="H75" s="62"/>
      <c r="I75" s="55"/>
      <c r="J75" s="57"/>
      <c r="K75" s="54" t="str">
        <f t="shared" si="4"/>
        <v/>
      </c>
      <c r="L75" s="55"/>
      <c r="M75" s="3"/>
      <c r="N75" s="3"/>
    </row>
    <row r="76">
      <c r="A76" s="45"/>
      <c r="B76" s="61"/>
      <c r="C76" s="55"/>
      <c r="D76" s="55"/>
      <c r="E76" s="55"/>
      <c r="F76" s="55"/>
      <c r="G76" s="57"/>
      <c r="H76" s="62"/>
      <c r="I76" s="55"/>
      <c r="J76" s="57"/>
      <c r="K76" s="54" t="str">
        <f t="shared" si="4"/>
        <v/>
      </c>
      <c r="L76" s="55"/>
      <c r="M76" s="3"/>
      <c r="N76" s="3"/>
    </row>
    <row r="77">
      <c r="A77" s="45"/>
      <c r="B77" s="61"/>
      <c r="C77" s="55"/>
      <c r="D77" s="55"/>
      <c r="E77" s="55"/>
      <c r="F77" s="55"/>
      <c r="G77" s="57"/>
      <c r="H77" s="62"/>
      <c r="I77" s="55"/>
      <c r="J77" s="57"/>
      <c r="K77" s="54" t="str">
        <f t="shared" si="4"/>
        <v/>
      </c>
      <c r="L77" s="55"/>
      <c r="M77" s="3"/>
      <c r="N77" s="3"/>
    </row>
    <row r="78">
      <c r="A78" s="64" t="s">
        <v>20</v>
      </c>
      <c r="B78" s="65"/>
      <c r="C78" s="65"/>
      <c r="D78" s="65"/>
      <c r="E78" s="65"/>
      <c r="F78" s="65"/>
      <c r="G78" s="66">
        <f>SUM(G18:G77)</f>
        <v>0</v>
      </c>
      <c r="H78" s="67"/>
      <c r="I78" s="65"/>
      <c r="J78" s="66">
        <f>SUM(J18:J77)</f>
        <v>0</v>
      </c>
      <c r="K78" s="68" t="str">
        <f>IFERROR(J78/G78,"")</f>
        <v/>
      </c>
      <c r="L78" s="65"/>
      <c r="M78" s="3"/>
      <c r="N78" s="3"/>
    </row>
    <row r="79">
      <c r="A79" s="3"/>
      <c r="B79" s="3"/>
      <c r="C79" s="3"/>
      <c r="D79" s="3"/>
      <c r="E79" s="3"/>
      <c r="F79" s="3"/>
      <c r="G79" s="3"/>
      <c r="H79" s="42"/>
      <c r="I79" s="3"/>
      <c r="J79" s="3"/>
      <c r="K79" s="3"/>
      <c r="L79" s="3"/>
      <c r="M79" s="3"/>
      <c r="N79" s="3"/>
    </row>
    <row r="80">
      <c r="A80" s="3"/>
      <c r="B80" s="3"/>
      <c r="C80" s="3"/>
      <c r="D80" s="3"/>
      <c r="E80" s="3"/>
      <c r="F80" s="3"/>
      <c r="G80" s="3"/>
      <c r="H80" s="42"/>
      <c r="I80" s="3"/>
      <c r="J80" s="3"/>
      <c r="K80" s="3"/>
      <c r="L80" s="3"/>
      <c r="M80" s="3"/>
      <c r="N80" s="3"/>
    </row>
    <row r="81">
      <c r="A81" s="3"/>
      <c r="B81" s="3"/>
      <c r="C81" s="3"/>
      <c r="D81" s="3"/>
      <c r="E81" s="3"/>
      <c r="F81" s="3"/>
      <c r="G81" s="3"/>
      <c r="H81" s="42"/>
      <c r="I81" s="3"/>
      <c r="J81" s="3"/>
      <c r="K81" s="3"/>
      <c r="L81" s="3"/>
      <c r="M81" s="3"/>
      <c r="N81" s="3"/>
    </row>
    <row r="82">
      <c r="A82" s="3"/>
      <c r="B82" s="3"/>
      <c r="C82" s="3"/>
      <c r="D82" s="3"/>
      <c r="E82" s="3"/>
      <c r="F82" s="3"/>
      <c r="G82" s="3"/>
      <c r="H82" s="42"/>
      <c r="I82" s="3"/>
      <c r="J82" s="3"/>
      <c r="K82" s="3"/>
      <c r="L82" s="3"/>
      <c r="M82" s="3"/>
      <c r="N82" s="3"/>
    </row>
    <row r="83">
      <c r="A83" s="3"/>
      <c r="B83" s="3"/>
      <c r="C83" s="3"/>
      <c r="D83" s="3"/>
      <c r="E83" s="3"/>
      <c r="F83" s="3"/>
      <c r="G83" s="3"/>
      <c r="H83" s="42"/>
      <c r="I83" s="3"/>
      <c r="J83" s="3"/>
      <c r="K83" s="3"/>
      <c r="L83" s="3"/>
      <c r="M83" s="3"/>
      <c r="N83" s="3"/>
    </row>
    <row r="84">
      <c r="A84" s="3"/>
      <c r="B84" s="3"/>
      <c r="C84" s="3"/>
      <c r="D84" s="3"/>
      <c r="E84" s="3"/>
      <c r="F84" s="3"/>
      <c r="G84" s="3"/>
      <c r="H84" s="42"/>
      <c r="I84" s="3"/>
      <c r="J84" s="3"/>
      <c r="K84" s="3"/>
      <c r="L84" s="3"/>
      <c r="M84" s="3"/>
      <c r="N84" s="3"/>
    </row>
    <row r="85">
      <c r="A85" s="3"/>
      <c r="B85" s="3"/>
      <c r="C85" s="3"/>
      <c r="D85" s="3"/>
      <c r="E85" s="3"/>
      <c r="F85" s="3"/>
      <c r="G85" s="3"/>
      <c r="H85" s="42"/>
      <c r="I85" s="3"/>
      <c r="J85" s="3"/>
      <c r="K85" s="3"/>
      <c r="L85" s="3"/>
      <c r="M85" s="3"/>
      <c r="N85" s="3"/>
    </row>
    <row r="86">
      <c r="A86" s="3"/>
      <c r="B86" s="3"/>
      <c r="C86" s="3"/>
      <c r="D86" s="3"/>
      <c r="E86" s="3"/>
      <c r="F86" s="3"/>
      <c r="G86" s="3"/>
      <c r="H86" s="42"/>
      <c r="I86" s="3"/>
      <c r="J86" s="3"/>
      <c r="K86" s="3"/>
      <c r="L86" s="3"/>
      <c r="M86" s="3"/>
      <c r="N86" s="3"/>
    </row>
    <row r="87">
      <c r="A87" s="3"/>
      <c r="B87" s="3"/>
      <c r="C87" s="3"/>
      <c r="D87" s="3"/>
      <c r="E87" s="3"/>
      <c r="F87" s="3"/>
      <c r="G87" s="3"/>
      <c r="H87" s="42"/>
      <c r="I87" s="3"/>
      <c r="J87" s="3"/>
      <c r="K87" s="3"/>
      <c r="L87" s="3"/>
      <c r="M87" s="3"/>
      <c r="N87" s="3"/>
    </row>
    <row r="88">
      <c r="A88" s="3"/>
      <c r="B88" s="3"/>
      <c r="C88" s="3"/>
      <c r="D88" s="3"/>
      <c r="E88" s="3"/>
      <c r="F88" s="3"/>
      <c r="G88" s="3"/>
      <c r="H88" s="42"/>
      <c r="I88" s="3"/>
      <c r="J88" s="3"/>
      <c r="K88" s="3"/>
      <c r="L88" s="3"/>
      <c r="M88" s="3"/>
      <c r="N88" s="3"/>
    </row>
    <row r="89">
      <c r="A89" s="3"/>
      <c r="B89" s="3"/>
      <c r="C89" s="3"/>
      <c r="D89" s="3"/>
      <c r="E89" s="3"/>
      <c r="F89" s="3"/>
      <c r="G89" s="3"/>
      <c r="H89" s="42"/>
      <c r="I89" s="3"/>
      <c r="J89" s="3"/>
      <c r="K89" s="3"/>
      <c r="L89" s="3"/>
      <c r="M89" s="3"/>
      <c r="N89" s="3"/>
    </row>
    <row r="90">
      <c r="A90" s="3"/>
      <c r="B90" s="3"/>
      <c r="C90" s="3"/>
      <c r="D90" s="3"/>
      <c r="E90" s="3"/>
      <c r="F90" s="3"/>
      <c r="G90" s="3"/>
      <c r="H90" s="42"/>
      <c r="I90" s="3"/>
      <c r="J90" s="3"/>
      <c r="K90" s="3"/>
      <c r="L90" s="3"/>
      <c r="M90" s="3"/>
      <c r="N90" s="3"/>
    </row>
    <row r="91">
      <c r="A91" s="3"/>
      <c r="B91" s="3"/>
      <c r="C91" s="3"/>
      <c r="D91" s="3"/>
      <c r="E91" s="3"/>
      <c r="F91" s="3"/>
      <c r="G91" s="3"/>
      <c r="H91" s="42"/>
      <c r="I91" s="3"/>
      <c r="J91" s="3"/>
      <c r="K91" s="3"/>
      <c r="L91" s="3"/>
      <c r="M91" s="3"/>
      <c r="N91" s="3"/>
    </row>
    <row r="92">
      <c r="A92" s="3"/>
      <c r="B92" s="3"/>
      <c r="C92" s="3"/>
      <c r="D92" s="3"/>
      <c r="E92" s="3"/>
      <c r="F92" s="3"/>
      <c r="G92" s="3"/>
      <c r="H92" s="42"/>
      <c r="I92" s="3"/>
      <c r="J92" s="3"/>
      <c r="K92" s="3"/>
      <c r="L92" s="3"/>
      <c r="M92" s="3"/>
      <c r="N92" s="3"/>
    </row>
    <row r="93">
      <c r="A93" s="3"/>
      <c r="B93" s="3"/>
      <c r="C93" s="3"/>
      <c r="D93" s="3"/>
      <c r="E93" s="3"/>
      <c r="F93" s="3"/>
      <c r="G93" s="3"/>
      <c r="H93" s="42"/>
      <c r="I93" s="3"/>
      <c r="J93" s="3"/>
      <c r="K93" s="3"/>
      <c r="L93" s="3"/>
      <c r="M93" s="3"/>
      <c r="N93" s="3"/>
    </row>
    <row r="94">
      <c r="A94" s="3"/>
      <c r="B94" s="3"/>
      <c r="C94" s="3"/>
      <c r="D94" s="3"/>
      <c r="E94" s="3"/>
      <c r="F94" s="3"/>
      <c r="G94" s="3"/>
      <c r="H94" s="42"/>
      <c r="I94" s="3"/>
      <c r="J94" s="3"/>
      <c r="K94" s="3"/>
      <c r="L94" s="3"/>
      <c r="M94" s="3"/>
      <c r="N94" s="3"/>
    </row>
    <row r="95">
      <c r="A95" s="3"/>
      <c r="B95" s="3"/>
      <c r="C95" s="3"/>
      <c r="D95" s="3"/>
      <c r="E95" s="3"/>
      <c r="F95" s="3"/>
      <c r="G95" s="3"/>
      <c r="H95" s="42"/>
      <c r="I95" s="3"/>
      <c r="J95" s="3"/>
      <c r="K95" s="3"/>
      <c r="L95" s="3"/>
      <c r="M95" s="3"/>
      <c r="N95" s="3"/>
    </row>
    <row r="96">
      <c r="A96" s="3"/>
      <c r="B96" s="3"/>
      <c r="C96" s="3"/>
      <c r="D96" s="3"/>
      <c r="E96" s="3"/>
      <c r="F96" s="3"/>
      <c r="G96" s="3"/>
      <c r="H96" s="42"/>
      <c r="I96" s="3"/>
      <c r="J96" s="3"/>
      <c r="K96" s="3"/>
      <c r="L96" s="3"/>
      <c r="M96" s="3"/>
      <c r="N96" s="3"/>
    </row>
    <row r="97">
      <c r="A97" s="3"/>
      <c r="B97" s="3"/>
      <c r="C97" s="3"/>
      <c r="D97" s="3"/>
      <c r="E97" s="3"/>
      <c r="F97" s="3"/>
      <c r="G97" s="3"/>
      <c r="H97" s="42"/>
      <c r="I97" s="3"/>
      <c r="J97" s="3"/>
      <c r="K97" s="3"/>
      <c r="L97" s="3"/>
      <c r="M97" s="3"/>
      <c r="N97" s="3"/>
    </row>
    <row r="98">
      <c r="A98" s="3"/>
      <c r="B98" s="3"/>
      <c r="C98" s="3"/>
      <c r="D98" s="3"/>
      <c r="E98" s="3"/>
      <c r="F98" s="3"/>
      <c r="G98" s="3"/>
      <c r="H98" s="42"/>
      <c r="I98" s="3"/>
      <c r="J98" s="3"/>
      <c r="K98" s="3"/>
      <c r="L98" s="3"/>
      <c r="M98" s="3"/>
      <c r="N98" s="3"/>
    </row>
    <row r="99">
      <c r="A99" s="3"/>
      <c r="B99" s="3"/>
      <c r="C99" s="3"/>
      <c r="D99" s="3"/>
      <c r="E99" s="3"/>
      <c r="F99" s="3"/>
      <c r="G99" s="3"/>
      <c r="H99" s="42"/>
      <c r="I99" s="3"/>
      <c r="J99" s="3"/>
      <c r="K99" s="3"/>
      <c r="L99" s="3"/>
      <c r="M99" s="3"/>
      <c r="N99" s="3"/>
    </row>
    <row r="100">
      <c r="A100" s="3"/>
      <c r="B100" s="3"/>
      <c r="C100" s="3"/>
      <c r="D100" s="3"/>
      <c r="E100" s="3"/>
      <c r="F100" s="3"/>
      <c r="G100" s="3"/>
      <c r="H100" s="42"/>
      <c r="I100" s="3"/>
      <c r="J100" s="3"/>
      <c r="K100" s="3"/>
      <c r="L100" s="3"/>
      <c r="M100" s="3"/>
      <c r="N100" s="3"/>
    </row>
  </sheetData>
  <mergeCells count="48">
    <mergeCell ref="A1:L1"/>
    <mergeCell ref="A2:L2"/>
    <mergeCell ref="A3:L3"/>
    <mergeCell ref="A4:C4"/>
    <mergeCell ref="D4:E4"/>
    <mergeCell ref="F4:G4"/>
    <mergeCell ref="J4:L4"/>
    <mergeCell ref="A5:C5"/>
    <mergeCell ref="D5:E5"/>
    <mergeCell ref="F5:G5"/>
    <mergeCell ref="J5:L5"/>
    <mergeCell ref="D6:E6"/>
    <mergeCell ref="F6:G6"/>
    <mergeCell ref="J6:L6"/>
    <mergeCell ref="J7:L7"/>
    <mergeCell ref="J8:L8"/>
    <mergeCell ref="J9:L9"/>
    <mergeCell ref="J10:L10"/>
    <mergeCell ref="J11:L11"/>
    <mergeCell ref="J12:L12"/>
    <mergeCell ref="J13:L13"/>
    <mergeCell ref="J14:L14"/>
    <mergeCell ref="A6:C6"/>
    <mergeCell ref="A7:C7"/>
    <mergeCell ref="D7:E7"/>
    <mergeCell ref="F7:G7"/>
    <mergeCell ref="A8:C8"/>
    <mergeCell ref="D8:E8"/>
    <mergeCell ref="F8:G8"/>
    <mergeCell ref="D11:E11"/>
    <mergeCell ref="F11:G11"/>
    <mergeCell ref="A9:C9"/>
    <mergeCell ref="D9:E9"/>
    <mergeCell ref="F9:G9"/>
    <mergeCell ref="A10:C10"/>
    <mergeCell ref="D10:E10"/>
    <mergeCell ref="F10:G10"/>
    <mergeCell ref="A11:C11"/>
    <mergeCell ref="D14:E14"/>
    <mergeCell ref="F14:G14"/>
    <mergeCell ref="A16:L16"/>
    <mergeCell ref="A12:C12"/>
    <mergeCell ref="D12:E12"/>
    <mergeCell ref="F12:G12"/>
    <mergeCell ref="A13:C13"/>
    <mergeCell ref="D13:E13"/>
    <mergeCell ref="F13:G13"/>
    <mergeCell ref="A14:C14"/>
  </mergeCells>
  <conditionalFormatting sqref="I18:I77">
    <cfRule type="cellIs" dxfId="0" priority="1" stopIfTrue="1" operator="equal">
      <formula>"Sakura"</formula>
    </cfRule>
  </conditionalFormatting>
  <conditionalFormatting sqref="I18:I77">
    <cfRule type="cellIs" dxfId="1" priority="2" stopIfTrue="1" operator="equal">
      <formula>"Q1"</formula>
    </cfRule>
  </conditionalFormatting>
  <dataValidations>
    <dataValidation type="list" allowBlank="1" sqref="H18:H77">
      <formula1>"对公转账,直付达人,蒲公英充值,主体公司支付,其他"</formula1>
    </dataValidation>
    <dataValidation type="list" allowBlank="1" sqref="I18:I77">
      <formula1>"Sakura,Q1"</formula1>
    </dataValidation>
    <dataValidation type="list" allowBlank="1" sqref="C18:C77">
      <formula1>"筆記+直播,直播坑位费,KOC圖文,視頻筆記預算,koc動画不报备,样品费,运费,風險保證金,小紅書專業號年審費用"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25"/>
    <col customWidth="1" min="2" max="2" width="11.63"/>
    <col customWidth="1" min="3" max="3" width="21.63"/>
    <col customWidth="1" min="4" max="4" width="18.63"/>
    <col customWidth="1" min="5" max="5" width="25.75"/>
    <col customWidth="1" min="6" max="6" width="17.63"/>
    <col customWidth="1" min="7" max="7" width="15.38"/>
    <col customWidth="1" min="8" max="8" width="14.88"/>
    <col customWidth="1" min="9" max="9" width="12.63"/>
    <col customWidth="1" min="10" max="10" width="14.13"/>
    <col customWidth="1" min="11" max="11" width="10.63"/>
    <col customWidth="1" min="12" max="12" width="23.88"/>
  </cols>
  <sheetData>
    <row r="1">
      <c r="A1" s="1" t="s">
        <v>97</v>
      </c>
      <c r="M1" s="3"/>
      <c r="N1" s="3"/>
    </row>
    <row r="2">
      <c r="A2" s="5" t="s">
        <v>4</v>
      </c>
      <c r="M2" s="3"/>
      <c r="N2" s="3"/>
    </row>
    <row r="3">
      <c r="A3" s="7" t="s">
        <v>5</v>
      </c>
      <c r="M3" s="3"/>
      <c r="N3" s="3"/>
    </row>
    <row r="4">
      <c r="A4" s="11" t="s">
        <v>7</v>
      </c>
      <c r="B4" s="12"/>
      <c r="C4" s="13"/>
      <c r="D4" s="14" t="s">
        <v>8</v>
      </c>
      <c r="E4" s="13"/>
      <c r="F4" s="14" t="s">
        <v>10</v>
      </c>
      <c r="G4" s="13"/>
      <c r="H4" s="17" t="s">
        <v>11</v>
      </c>
      <c r="I4" s="18" t="s">
        <v>12</v>
      </c>
      <c r="J4" s="11" t="s">
        <v>13</v>
      </c>
      <c r="K4" s="12"/>
      <c r="L4" s="13"/>
      <c r="M4" s="3"/>
      <c r="N4" s="3"/>
    </row>
    <row r="5">
      <c r="A5" s="20" t="s">
        <v>14</v>
      </c>
      <c r="B5" s="12"/>
      <c r="C5" s="13"/>
      <c r="D5" s="22"/>
      <c r="E5" s="13"/>
      <c r="F5" s="22">
        <f t="shared" ref="F5:F13" si="1">SUMIF($C$18:$C$77,$A5,$G$18:$G$77)</f>
        <v>0</v>
      </c>
      <c r="G5" s="13"/>
      <c r="H5" s="25" t="str">
        <f t="shared" ref="H5:H14" si="2">IF(N(D5)=0,"",D5-F5)</f>
        <v/>
      </c>
      <c r="I5" s="26" t="str">
        <f t="shared" ref="I5:I14" si="3">IF(N(D5)=0,"",F5/D5)</f>
        <v/>
      </c>
      <c r="J5" s="28" t="s">
        <v>21</v>
      </c>
      <c r="K5" s="12"/>
      <c r="L5" s="13"/>
      <c r="M5" s="3"/>
      <c r="N5" s="3"/>
    </row>
    <row r="6">
      <c r="A6" s="20" t="s">
        <v>22</v>
      </c>
      <c r="B6" s="12"/>
      <c r="C6" s="13"/>
      <c r="D6" s="22"/>
      <c r="E6" s="13"/>
      <c r="F6" s="22">
        <f t="shared" si="1"/>
        <v>0</v>
      </c>
      <c r="G6" s="13"/>
      <c r="H6" s="25" t="str">
        <f t="shared" si="2"/>
        <v/>
      </c>
      <c r="I6" s="26" t="str">
        <f t="shared" si="3"/>
        <v/>
      </c>
      <c r="J6" s="28" t="s">
        <v>21</v>
      </c>
      <c r="K6" s="12"/>
      <c r="L6" s="13"/>
      <c r="M6" s="3"/>
      <c r="N6" s="3"/>
    </row>
    <row r="7">
      <c r="A7" s="20" t="s">
        <v>23</v>
      </c>
      <c r="B7" s="12"/>
      <c r="C7" s="13"/>
      <c r="D7" s="22"/>
      <c r="E7" s="13"/>
      <c r="F7" s="22">
        <f t="shared" si="1"/>
        <v>0</v>
      </c>
      <c r="G7" s="13"/>
      <c r="H7" s="25" t="str">
        <f t="shared" si="2"/>
        <v/>
      </c>
      <c r="I7" s="26" t="str">
        <f t="shared" si="3"/>
        <v/>
      </c>
      <c r="J7" s="28" t="s">
        <v>21</v>
      </c>
      <c r="K7" s="12"/>
      <c r="L7" s="13"/>
      <c r="M7" s="3"/>
      <c r="N7" s="3"/>
    </row>
    <row r="8">
      <c r="A8" s="20" t="s">
        <v>24</v>
      </c>
      <c r="B8" s="12"/>
      <c r="C8" s="13"/>
      <c r="D8" s="22"/>
      <c r="E8" s="13"/>
      <c r="F8" s="22">
        <f t="shared" si="1"/>
        <v>0</v>
      </c>
      <c r="G8" s="13"/>
      <c r="H8" s="25" t="str">
        <f t="shared" si="2"/>
        <v/>
      </c>
      <c r="I8" s="26" t="str">
        <f t="shared" si="3"/>
        <v/>
      </c>
      <c r="J8" s="28" t="s">
        <v>21</v>
      </c>
      <c r="K8" s="12"/>
      <c r="L8" s="13"/>
      <c r="M8" s="3"/>
      <c r="N8" s="3"/>
    </row>
    <row r="9">
      <c r="A9" s="20" t="s">
        <v>25</v>
      </c>
      <c r="B9" s="12"/>
      <c r="C9" s="13"/>
      <c r="D9" s="22"/>
      <c r="E9" s="13"/>
      <c r="F9" s="22">
        <f t="shared" si="1"/>
        <v>0</v>
      </c>
      <c r="G9" s="13"/>
      <c r="H9" s="25" t="str">
        <f t="shared" si="2"/>
        <v/>
      </c>
      <c r="I9" s="26" t="str">
        <f t="shared" si="3"/>
        <v/>
      </c>
      <c r="J9" s="28" t="s">
        <v>21</v>
      </c>
      <c r="K9" s="12"/>
      <c r="L9" s="13"/>
      <c r="M9" s="3"/>
      <c r="N9" s="3"/>
    </row>
    <row r="10">
      <c r="A10" s="29" t="s">
        <v>26</v>
      </c>
      <c r="B10" s="12"/>
      <c r="C10" s="13"/>
      <c r="D10" s="30"/>
      <c r="E10" s="13"/>
      <c r="F10" s="30">
        <f t="shared" si="1"/>
        <v>0</v>
      </c>
      <c r="G10" s="13"/>
      <c r="H10" s="31" t="str">
        <f t="shared" si="2"/>
        <v/>
      </c>
      <c r="I10" s="32" t="str">
        <f t="shared" si="3"/>
        <v/>
      </c>
      <c r="J10" s="33" t="s">
        <v>27</v>
      </c>
      <c r="K10" s="12"/>
      <c r="L10" s="13"/>
      <c r="M10" s="3"/>
      <c r="N10" s="3"/>
    </row>
    <row r="11">
      <c r="A11" s="29" t="s">
        <v>28</v>
      </c>
      <c r="B11" s="12"/>
      <c r="C11" s="13"/>
      <c r="D11" s="30"/>
      <c r="E11" s="13"/>
      <c r="F11" s="30">
        <f t="shared" si="1"/>
        <v>0</v>
      </c>
      <c r="G11" s="13"/>
      <c r="H11" s="31" t="str">
        <f t="shared" si="2"/>
        <v/>
      </c>
      <c r="I11" s="32" t="str">
        <f t="shared" si="3"/>
        <v/>
      </c>
      <c r="J11" s="33" t="s">
        <v>27</v>
      </c>
      <c r="K11" s="12"/>
      <c r="L11" s="13"/>
      <c r="M11" s="3"/>
      <c r="N11" s="3"/>
    </row>
    <row r="12">
      <c r="A12" s="29" t="s">
        <v>29</v>
      </c>
      <c r="B12" s="12"/>
      <c r="C12" s="13"/>
      <c r="D12" s="30"/>
      <c r="E12" s="13"/>
      <c r="F12" s="30">
        <f t="shared" si="1"/>
        <v>0</v>
      </c>
      <c r="G12" s="13"/>
      <c r="H12" s="31" t="str">
        <f t="shared" si="2"/>
        <v/>
      </c>
      <c r="I12" s="32" t="str">
        <f t="shared" si="3"/>
        <v/>
      </c>
      <c r="J12" s="33" t="s">
        <v>27</v>
      </c>
      <c r="K12" s="12"/>
      <c r="L12" s="13"/>
      <c r="M12" s="3"/>
      <c r="N12" s="3"/>
    </row>
    <row r="13">
      <c r="A13" s="29" t="s">
        <v>30</v>
      </c>
      <c r="B13" s="12"/>
      <c r="C13" s="13"/>
      <c r="D13" s="30"/>
      <c r="E13" s="13"/>
      <c r="F13" s="30">
        <f t="shared" si="1"/>
        <v>0</v>
      </c>
      <c r="G13" s="13"/>
      <c r="H13" s="31" t="str">
        <f t="shared" si="2"/>
        <v/>
      </c>
      <c r="I13" s="32" t="str">
        <f t="shared" si="3"/>
        <v/>
      </c>
      <c r="J13" s="33" t="s">
        <v>27</v>
      </c>
      <c r="K13" s="12"/>
      <c r="L13" s="13"/>
      <c r="M13" s="3"/>
      <c r="N13" s="3"/>
    </row>
    <row r="14">
      <c r="A14" s="37" t="s">
        <v>20</v>
      </c>
      <c r="B14" s="12"/>
      <c r="C14" s="13"/>
      <c r="D14" s="38">
        <f>SUM(D5:D13)</f>
        <v>0</v>
      </c>
      <c r="E14" s="13"/>
      <c r="F14" s="38">
        <f>SUM(F5:F13)</f>
        <v>0</v>
      </c>
      <c r="G14" s="13"/>
      <c r="H14" s="39" t="str">
        <f t="shared" si="2"/>
        <v/>
      </c>
      <c r="I14" s="40" t="str">
        <f t="shared" si="3"/>
        <v/>
      </c>
      <c r="J14" s="41"/>
      <c r="K14" s="12"/>
      <c r="L14" s="13"/>
      <c r="M14" s="3"/>
      <c r="N14" s="3"/>
    </row>
    <row r="15">
      <c r="A15" s="3"/>
      <c r="B15" s="3"/>
      <c r="C15" s="3"/>
      <c r="D15" s="3"/>
      <c r="E15" s="3"/>
      <c r="F15" s="3"/>
      <c r="G15" s="3"/>
      <c r="H15" s="42"/>
      <c r="I15" s="3"/>
      <c r="J15" s="3"/>
      <c r="K15" s="3"/>
      <c r="L15" s="3"/>
      <c r="M15" s="3"/>
      <c r="N15" s="3"/>
    </row>
    <row r="16">
      <c r="A16" s="43" t="s">
        <v>31</v>
      </c>
      <c r="M16" s="3"/>
      <c r="N16" s="3"/>
    </row>
    <row r="17">
      <c r="A17" s="44" t="s">
        <v>32</v>
      </c>
      <c r="B17" s="44" t="s">
        <v>33</v>
      </c>
      <c r="C17" s="44" t="s">
        <v>7</v>
      </c>
      <c r="D17" s="44" t="s">
        <v>34</v>
      </c>
      <c r="E17" s="44" t="s">
        <v>35</v>
      </c>
      <c r="F17" s="44" t="s">
        <v>36</v>
      </c>
      <c r="G17" s="44" t="s">
        <v>37</v>
      </c>
      <c r="H17" s="44" t="s">
        <v>38</v>
      </c>
      <c r="I17" s="44" t="s">
        <v>39</v>
      </c>
      <c r="J17" s="44" t="s">
        <v>40</v>
      </c>
      <c r="K17" s="44" t="s">
        <v>41</v>
      </c>
      <c r="L17" s="44" t="s">
        <v>42</v>
      </c>
      <c r="M17" s="3"/>
      <c r="N17" s="3"/>
    </row>
    <row r="18">
      <c r="A18" s="45"/>
      <c r="B18" s="46"/>
      <c r="C18" s="48"/>
      <c r="D18" s="49"/>
      <c r="E18" s="48"/>
      <c r="F18" s="48"/>
      <c r="G18" s="51"/>
      <c r="H18" s="49"/>
      <c r="I18" s="48"/>
      <c r="J18" s="51"/>
      <c r="K18" s="54" t="str">
        <f t="shared" ref="K18:K77" si="4">IF(OR(N($J18)=0,N($G18)=0),"",$J18/$G18)</f>
        <v/>
      </c>
      <c r="L18" s="55"/>
      <c r="M18" s="3"/>
      <c r="N18" s="3"/>
    </row>
    <row r="19">
      <c r="A19" s="45"/>
      <c r="B19" s="46"/>
      <c r="C19" s="48"/>
      <c r="D19" s="49"/>
      <c r="E19" s="48"/>
      <c r="F19" s="48"/>
      <c r="G19" s="51"/>
      <c r="H19" s="49"/>
      <c r="I19" s="48"/>
      <c r="J19" s="57"/>
      <c r="K19" s="54" t="str">
        <f t="shared" si="4"/>
        <v/>
      </c>
      <c r="L19" s="55"/>
      <c r="M19" s="3"/>
      <c r="N19" s="3"/>
    </row>
    <row r="20">
      <c r="A20" s="45"/>
      <c r="B20" s="46"/>
      <c r="C20" s="48"/>
      <c r="D20" s="49"/>
      <c r="E20" s="48"/>
      <c r="F20" s="48"/>
      <c r="G20" s="51"/>
      <c r="H20" s="49"/>
      <c r="I20" s="48"/>
      <c r="J20" s="51"/>
      <c r="K20" s="54" t="str">
        <f t="shared" si="4"/>
        <v/>
      </c>
      <c r="L20" s="55"/>
      <c r="M20" s="3"/>
      <c r="N20" s="3"/>
    </row>
    <row r="21">
      <c r="A21" s="45"/>
      <c r="B21" s="46"/>
      <c r="C21" s="48"/>
      <c r="D21" s="49"/>
      <c r="E21" s="48"/>
      <c r="F21" s="48"/>
      <c r="G21" s="51"/>
      <c r="H21" s="49"/>
      <c r="I21" s="48"/>
      <c r="J21" s="57"/>
      <c r="K21" s="54" t="str">
        <f t="shared" si="4"/>
        <v/>
      </c>
      <c r="L21" s="55"/>
      <c r="M21" s="3"/>
      <c r="N21" s="3"/>
    </row>
    <row r="22">
      <c r="A22" s="45"/>
      <c r="B22" s="46"/>
      <c r="C22" s="48"/>
      <c r="D22" s="49"/>
      <c r="E22" s="48"/>
      <c r="F22" s="48"/>
      <c r="G22" s="51"/>
      <c r="H22" s="49"/>
      <c r="I22" s="48"/>
      <c r="J22" s="51"/>
      <c r="K22" s="54" t="str">
        <f t="shared" si="4"/>
        <v/>
      </c>
      <c r="L22" s="55"/>
      <c r="M22" s="3"/>
      <c r="N22" s="3"/>
    </row>
    <row r="23">
      <c r="A23" s="45"/>
      <c r="B23" s="46"/>
      <c r="C23" s="48"/>
      <c r="D23" s="49"/>
      <c r="E23" s="48"/>
      <c r="F23" s="48"/>
      <c r="G23" s="51"/>
      <c r="H23" s="49"/>
      <c r="I23" s="48"/>
      <c r="J23" s="57"/>
      <c r="K23" s="54" t="str">
        <f t="shared" si="4"/>
        <v/>
      </c>
      <c r="L23" s="55"/>
      <c r="M23" s="3"/>
      <c r="N23" s="3"/>
    </row>
    <row r="24">
      <c r="A24" s="45"/>
      <c r="B24" s="46"/>
      <c r="C24" s="48"/>
      <c r="D24" s="49"/>
      <c r="E24" s="48"/>
      <c r="F24" s="48"/>
      <c r="G24" s="51"/>
      <c r="H24" s="49"/>
      <c r="I24" s="48"/>
      <c r="J24" s="57"/>
      <c r="K24" s="54" t="str">
        <f t="shared" si="4"/>
        <v/>
      </c>
      <c r="L24" s="55"/>
      <c r="M24" s="3"/>
      <c r="N24" s="3"/>
    </row>
    <row r="25">
      <c r="A25" s="45"/>
      <c r="B25" s="46"/>
      <c r="C25" s="48"/>
      <c r="D25" s="49"/>
      <c r="E25" s="48"/>
      <c r="F25" s="48"/>
      <c r="G25" s="51"/>
      <c r="H25" s="49"/>
      <c r="I25" s="48"/>
      <c r="J25" s="57"/>
      <c r="K25" s="54" t="str">
        <f t="shared" si="4"/>
        <v/>
      </c>
      <c r="L25" s="55"/>
      <c r="M25" s="3"/>
      <c r="N25" s="3"/>
    </row>
    <row r="26">
      <c r="A26" s="45"/>
      <c r="B26" s="46"/>
      <c r="C26" s="48"/>
      <c r="D26" s="49"/>
      <c r="E26" s="48"/>
      <c r="F26" s="48"/>
      <c r="G26" s="51"/>
      <c r="H26" s="49"/>
      <c r="I26" s="48"/>
      <c r="J26" s="57"/>
      <c r="K26" s="54" t="str">
        <f t="shared" si="4"/>
        <v/>
      </c>
      <c r="L26" s="55"/>
      <c r="M26" s="3"/>
      <c r="N26" s="3"/>
    </row>
    <row r="27">
      <c r="A27" s="45"/>
      <c r="B27" s="46"/>
      <c r="C27" s="48"/>
      <c r="D27" s="49"/>
      <c r="E27" s="48"/>
      <c r="F27" s="48"/>
      <c r="G27" s="51"/>
      <c r="H27" s="49"/>
      <c r="I27" s="48"/>
      <c r="J27" s="57"/>
      <c r="K27" s="54" t="str">
        <f t="shared" si="4"/>
        <v/>
      </c>
      <c r="L27" s="55"/>
      <c r="M27" s="3"/>
      <c r="N27" s="3"/>
    </row>
    <row r="28">
      <c r="A28" s="45"/>
      <c r="B28" s="46"/>
      <c r="C28" s="48"/>
      <c r="D28" s="49"/>
      <c r="E28" s="48"/>
      <c r="F28" s="48"/>
      <c r="G28" s="51"/>
      <c r="H28" s="49"/>
      <c r="I28" s="48"/>
      <c r="J28" s="57"/>
      <c r="K28" s="54" t="str">
        <f t="shared" si="4"/>
        <v/>
      </c>
      <c r="L28" s="55"/>
      <c r="M28" s="3"/>
      <c r="N28" s="3"/>
    </row>
    <row r="29">
      <c r="A29" s="45"/>
      <c r="B29" s="46"/>
      <c r="C29" s="48"/>
      <c r="D29" s="49"/>
      <c r="E29" s="48"/>
      <c r="F29" s="48"/>
      <c r="G29" s="51"/>
      <c r="H29" s="49"/>
      <c r="I29" s="48"/>
      <c r="J29" s="57"/>
      <c r="K29" s="54" t="str">
        <f t="shared" si="4"/>
        <v/>
      </c>
      <c r="L29" s="55"/>
      <c r="M29" s="3"/>
      <c r="N29" s="3"/>
    </row>
    <row r="30">
      <c r="A30" s="45"/>
      <c r="B30" s="46"/>
      <c r="C30" s="48"/>
      <c r="D30" s="49"/>
      <c r="E30" s="48"/>
      <c r="F30" s="48"/>
      <c r="G30" s="51"/>
      <c r="H30" s="49"/>
      <c r="I30" s="48"/>
      <c r="J30" s="51"/>
      <c r="K30" s="54" t="str">
        <f t="shared" si="4"/>
        <v/>
      </c>
      <c r="L30" s="55"/>
      <c r="M30" s="3"/>
      <c r="N30" s="3"/>
    </row>
    <row r="31">
      <c r="A31" s="45"/>
      <c r="B31" s="46"/>
      <c r="C31" s="48"/>
      <c r="D31" s="49"/>
      <c r="E31" s="48"/>
      <c r="F31" s="48"/>
      <c r="G31" s="51"/>
      <c r="H31" s="49"/>
      <c r="I31" s="48"/>
      <c r="J31" s="51"/>
      <c r="K31" s="54" t="str">
        <f t="shared" si="4"/>
        <v/>
      </c>
      <c r="L31" s="55"/>
      <c r="M31" s="3"/>
      <c r="N31" s="3"/>
    </row>
    <row r="32">
      <c r="A32" s="45"/>
      <c r="B32" s="46"/>
      <c r="C32" s="48"/>
      <c r="D32" s="49"/>
      <c r="E32" s="48"/>
      <c r="F32" s="48"/>
      <c r="G32" s="51"/>
      <c r="H32" s="49"/>
      <c r="I32" s="48"/>
      <c r="J32" s="51"/>
      <c r="K32" s="54" t="str">
        <f t="shared" si="4"/>
        <v/>
      </c>
      <c r="L32" s="55"/>
      <c r="M32" s="3"/>
      <c r="N32" s="3"/>
    </row>
    <row r="33">
      <c r="A33" s="45"/>
      <c r="B33" s="46"/>
      <c r="C33" s="48"/>
      <c r="D33" s="49"/>
      <c r="E33" s="48"/>
      <c r="F33" s="48"/>
      <c r="G33" s="51"/>
      <c r="H33" s="49"/>
      <c r="I33" s="48"/>
      <c r="J33" s="57"/>
      <c r="K33" s="54" t="str">
        <f t="shared" si="4"/>
        <v/>
      </c>
      <c r="L33" s="55"/>
      <c r="M33" s="3"/>
      <c r="N33" s="3"/>
    </row>
    <row r="34">
      <c r="A34" s="45"/>
      <c r="B34" s="46"/>
      <c r="C34" s="48"/>
      <c r="D34" s="49"/>
      <c r="E34" s="48"/>
      <c r="F34" s="48"/>
      <c r="G34" s="51"/>
      <c r="H34" s="49"/>
      <c r="I34" s="48"/>
      <c r="J34" s="57"/>
      <c r="K34" s="54" t="str">
        <f t="shared" si="4"/>
        <v/>
      </c>
      <c r="L34" s="55"/>
      <c r="M34" s="3"/>
      <c r="N34" s="3"/>
    </row>
    <row r="35">
      <c r="A35" s="45"/>
      <c r="B35" s="46"/>
      <c r="C35" s="48"/>
      <c r="D35" s="49"/>
      <c r="E35" s="48"/>
      <c r="F35" s="48"/>
      <c r="G35" s="51"/>
      <c r="H35" s="49"/>
      <c r="I35" s="48"/>
      <c r="J35" s="57"/>
      <c r="K35" s="54" t="str">
        <f t="shared" si="4"/>
        <v/>
      </c>
      <c r="L35" s="55"/>
      <c r="M35" s="3"/>
      <c r="N35" s="3"/>
    </row>
    <row r="36">
      <c r="A36" s="45"/>
      <c r="B36" s="46"/>
      <c r="C36" s="48"/>
      <c r="D36" s="55"/>
      <c r="E36" s="55"/>
      <c r="F36" s="48"/>
      <c r="G36" s="51"/>
      <c r="H36" s="49"/>
      <c r="I36" s="48"/>
      <c r="J36" s="57"/>
      <c r="K36" s="54" t="str">
        <f t="shared" si="4"/>
        <v/>
      </c>
      <c r="L36" s="55"/>
      <c r="M36" s="3"/>
      <c r="N36" s="3"/>
    </row>
    <row r="37">
      <c r="A37" s="45"/>
      <c r="B37" s="46"/>
      <c r="C37" s="48"/>
      <c r="D37" s="55"/>
      <c r="E37" s="55"/>
      <c r="F37" s="48"/>
      <c r="G37" s="51"/>
      <c r="H37" s="49"/>
      <c r="I37" s="48"/>
      <c r="J37" s="57"/>
      <c r="K37" s="54" t="str">
        <f t="shared" si="4"/>
        <v/>
      </c>
      <c r="L37" s="55"/>
      <c r="M37" s="3"/>
      <c r="N37" s="3"/>
    </row>
    <row r="38">
      <c r="A38" s="45"/>
      <c r="B38" s="46"/>
      <c r="C38" s="48"/>
      <c r="D38" s="55"/>
      <c r="E38" s="48"/>
      <c r="F38" s="48"/>
      <c r="G38" s="51"/>
      <c r="H38" s="49"/>
      <c r="I38" s="48"/>
      <c r="J38" s="57"/>
      <c r="K38" s="54" t="str">
        <f t="shared" si="4"/>
        <v/>
      </c>
      <c r="L38" s="55"/>
      <c r="M38" s="3"/>
      <c r="N38" s="3"/>
    </row>
    <row r="39">
      <c r="A39" s="45"/>
      <c r="B39" s="46"/>
      <c r="C39" s="48"/>
      <c r="D39" s="55"/>
      <c r="E39" s="48"/>
      <c r="F39" s="48"/>
      <c r="G39" s="51"/>
      <c r="H39" s="49"/>
      <c r="I39" s="48"/>
      <c r="J39" s="57"/>
      <c r="K39" s="54" t="str">
        <f t="shared" si="4"/>
        <v/>
      </c>
      <c r="L39" s="55"/>
      <c r="M39" s="3"/>
      <c r="N39" s="3"/>
    </row>
    <row r="40">
      <c r="A40" s="45"/>
      <c r="B40" s="46"/>
      <c r="C40" s="48"/>
      <c r="D40" s="55"/>
      <c r="E40" s="48"/>
      <c r="F40" s="48"/>
      <c r="G40" s="51"/>
      <c r="H40" s="49"/>
      <c r="I40" s="48"/>
      <c r="J40" s="57"/>
      <c r="K40" s="54" t="str">
        <f t="shared" si="4"/>
        <v/>
      </c>
      <c r="L40" s="55"/>
      <c r="M40" s="3"/>
      <c r="N40" s="3"/>
    </row>
    <row r="41">
      <c r="A41" s="45"/>
      <c r="B41" s="46"/>
      <c r="C41" s="48"/>
      <c r="D41" s="55"/>
      <c r="E41" s="48"/>
      <c r="F41" s="48"/>
      <c r="G41" s="51"/>
      <c r="H41" s="49"/>
      <c r="I41" s="48"/>
      <c r="J41" s="57"/>
      <c r="K41" s="54" t="str">
        <f t="shared" si="4"/>
        <v/>
      </c>
      <c r="L41" s="55"/>
      <c r="M41" s="3"/>
      <c r="N41" s="3"/>
    </row>
    <row r="42">
      <c r="A42" s="45"/>
      <c r="B42" s="46"/>
      <c r="C42" s="48"/>
      <c r="D42" s="55"/>
      <c r="E42" s="48"/>
      <c r="F42" s="48"/>
      <c r="G42" s="51"/>
      <c r="H42" s="49"/>
      <c r="I42" s="48"/>
      <c r="J42" s="57"/>
      <c r="K42" s="54" t="str">
        <f t="shared" si="4"/>
        <v/>
      </c>
      <c r="L42" s="55"/>
      <c r="M42" s="3"/>
      <c r="N42" s="3"/>
    </row>
    <row r="43">
      <c r="A43" s="45"/>
      <c r="B43" s="46"/>
      <c r="C43" s="48"/>
      <c r="D43" s="55"/>
      <c r="E43" s="48"/>
      <c r="F43" s="55"/>
      <c r="G43" s="51"/>
      <c r="H43" s="49"/>
      <c r="I43" s="48"/>
      <c r="J43" s="57"/>
      <c r="K43" s="54" t="str">
        <f t="shared" si="4"/>
        <v/>
      </c>
      <c r="L43" s="55"/>
      <c r="M43" s="3"/>
      <c r="N43" s="3"/>
    </row>
    <row r="44">
      <c r="A44" s="45"/>
      <c r="B44" s="46"/>
      <c r="C44" s="48"/>
      <c r="D44" s="48"/>
      <c r="E44" s="48"/>
      <c r="F44" s="48"/>
      <c r="G44" s="51"/>
      <c r="H44" s="49"/>
      <c r="I44" s="48"/>
      <c r="J44" s="57"/>
      <c r="K44" s="54" t="str">
        <f t="shared" si="4"/>
        <v/>
      </c>
      <c r="L44" s="55"/>
      <c r="M44" s="3"/>
      <c r="N44" s="3"/>
    </row>
    <row r="45">
      <c r="A45" s="45"/>
      <c r="B45" s="46"/>
      <c r="C45" s="48"/>
      <c r="D45" s="48"/>
      <c r="E45" s="48"/>
      <c r="F45" s="48"/>
      <c r="G45" s="51"/>
      <c r="H45" s="49"/>
      <c r="I45" s="48"/>
      <c r="J45" s="57"/>
      <c r="K45" s="54" t="str">
        <f t="shared" si="4"/>
        <v/>
      </c>
      <c r="L45" s="55"/>
      <c r="M45" s="3"/>
      <c r="N45" s="3"/>
    </row>
    <row r="46">
      <c r="A46" s="45"/>
      <c r="B46" s="61"/>
      <c r="C46" s="55"/>
      <c r="D46" s="55"/>
      <c r="E46" s="55"/>
      <c r="F46" s="55"/>
      <c r="G46" s="57"/>
      <c r="H46" s="62"/>
      <c r="I46" s="55"/>
      <c r="J46" s="57"/>
      <c r="K46" s="54" t="str">
        <f t="shared" si="4"/>
        <v/>
      </c>
      <c r="L46" s="55"/>
      <c r="M46" s="3"/>
      <c r="N46" s="3"/>
    </row>
    <row r="47">
      <c r="A47" s="45"/>
      <c r="B47" s="61"/>
      <c r="C47" s="55"/>
      <c r="D47" s="55"/>
      <c r="E47" s="55"/>
      <c r="F47" s="55"/>
      <c r="G47" s="57"/>
      <c r="H47" s="62"/>
      <c r="I47" s="55"/>
      <c r="J47" s="57"/>
      <c r="K47" s="54" t="str">
        <f t="shared" si="4"/>
        <v/>
      </c>
      <c r="L47" s="55"/>
      <c r="M47" s="3"/>
      <c r="N47" s="3"/>
    </row>
    <row r="48">
      <c r="A48" s="45"/>
      <c r="B48" s="61"/>
      <c r="C48" s="55"/>
      <c r="D48" s="55"/>
      <c r="E48" s="55"/>
      <c r="F48" s="55"/>
      <c r="G48" s="57"/>
      <c r="H48" s="62"/>
      <c r="I48" s="55"/>
      <c r="J48" s="57"/>
      <c r="K48" s="54" t="str">
        <f t="shared" si="4"/>
        <v/>
      </c>
      <c r="L48" s="55"/>
      <c r="M48" s="3"/>
      <c r="N48" s="3"/>
    </row>
    <row r="49">
      <c r="A49" s="45"/>
      <c r="B49" s="61"/>
      <c r="C49" s="55"/>
      <c r="D49" s="55"/>
      <c r="E49" s="55"/>
      <c r="F49" s="55"/>
      <c r="G49" s="57"/>
      <c r="H49" s="62"/>
      <c r="I49" s="55"/>
      <c r="J49" s="57"/>
      <c r="K49" s="54" t="str">
        <f t="shared" si="4"/>
        <v/>
      </c>
      <c r="L49" s="55"/>
      <c r="M49" s="3"/>
      <c r="N49" s="3"/>
    </row>
    <row r="50">
      <c r="A50" s="45"/>
      <c r="B50" s="61"/>
      <c r="C50" s="55"/>
      <c r="D50" s="55"/>
      <c r="E50" s="55"/>
      <c r="F50" s="55"/>
      <c r="G50" s="57"/>
      <c r="H50" s="62"/>
      <c r="I50" s="55"/>
      <c r="J50" s="57"/>
      <c r="K50" s="54" t="str">
        <f t="shared" si="4"/>
        <v/>
      </c>
      <c r="L50" s="55"/>
      <c r="M50" s="3"/>
      <c r="N50" s="3"/>
    </row>
    <row r="51">
      <c r="A51" s="45"/>
      <c r="B51" s="61"/>
      <c r="C51" s="55"/>
      <c r="D51" s="55"/>
      <c r="E51" s="55"/>
      <c r="F51" s="55"/>
      <c r="G51" s="57"/>
      <c r="H51" s="62"/>
      <c r="I51" s="55"/>
      <c r="J51" s="57"/>
      <c r="K51" s="54" t="str">
        <f t="shared" si="4"/>
        <v/>
      </c>
      <c r="L51" s="55"/>
      <c r="M51" s="3"/>
      <c r="N51" s="3"/>
    </row>
    <row r="52">
      <c r="A52" s="45"/>
      <c r="B52" s="61"/>
      <c r="C52" s="55"/>
      <c r="D52" s="55"/>
      <c r="E52" s="55"/>
      <c r="F52" s="55"/>
      <c r="G52" s="57"/>
      <c r="H52" s="62"/>
      <c r="I52" s="55"/>
      <c r="J52" s="57"/>
      <c r="K52" s="54" t="str">
        <f t="shared" si="4"/>
        <v/>
      </c>
      <c r="L52" s="55"/>
      <c r="M52" s="3"/>
      <c r="N52" s="3"/>
    </row>
    <row r="53">
      <c r="A53" s="45"/>
      <c r="B53" s="61"/>
      <c r="C53" s="55"/>
      <c r="D53" s="55"/>
      <c r="E53" s="55"/>
      <c r="F53" s="55"/>
      <c r="G53" s="57"/>
      <c r="H53" s="62"/>
      <c r="I53" s="55"/>
      <c r="J53" s="57"/>
      <c r="K53" s="54" t="str">
        <f t="shared" si="4"/>
        <v/>
      </c>
      <c r="L53" s="55"/>
      <c r="M53" s="3"/>
      <c r="N53" s="3"/>
    </row>
    <row r="54">
      <c r="A54" s="45"/>
      <c r="B54" s="61"/>
      <c r="C54" s="55"/>
      <c r="D54" s="55"/>
      <c r="E54" s="55"/>
      <c r="F54" s="55"/>
      <c r="G54" s="57"/>
      <c r="H54" s="62"/>
      <c r="I54" s="55"/>
      <c r="J54" s="57"/>
      <c r="K54" s="54" t="str">
        <f t="shared" si="4"/>
        <v/>
      </c>
      <c r="L54" s="55"/>
      <c r="M54" s="3"/>
      <c r="N54" s="3"/>
    </row>
    <row r="55">
      <c r="A55" s="45"/>
      <c r="B55" s="61"/>
      <c r="C55" s="55"/>
      <c r="D55" s="55"/>
      <c r="E55" s="55"/>
      <c r="F55" s="55"/>
      <c r="G55" s="57"/>
      <c r="H55" s="62"/>
      <c r="I55" s="55"/>
      <c r="J55" s="57"/>
      <c r="K55" s="54" t="str">
        <f t="shared" si="4"/>
        <v/>
      </c>
      <c r="L55" s="55"/>
      <c r="M55" s="3"/>
      <c r="N55" s="3"/>
    </row>
    <row r="56">
      <c r="A56" s="45"/>
      <c r="B56" s="61"/>
      <c r="C56" s="55"/>
      <c r="D56" s="55"/>
      <c r="E56" s="55"/>
      <c r="F56" s="55"/>
      <c r="G56" s="57"/>
      <c r="H56" s="62"/>
      <c r="I56" s="55"/>
      <c r="J56" s="57"/>
      <c r="K56" s="54" t="str">
        <f t="shared" si="4"/>
        <v/>
      </c>
      <c r="L56" s="55"/>
      <c r="M56" s="3"/>
      <c r="N56" s="3"/>
    </row>
    <row r="57">
      <c r="A57" s="45"/>
      <c r="B57" s="61"/>
      <c r="C57" s="55"/>
      <c r="D57" s="55"/>
      <c r="E57" s="55"/>
      <c r="F57" s="55"/>
      <c r="G57" s="57"/>
      <c r="H57" s="62"/>
      <c r="I57" s="55"/>
      <c r="J57" s="57"/>
      <c r="K57" s="54" t="str">
        <f t="shared" si="4"/>
        <v/>
      </c>
      <c r="L57" s="55"/>
      <c r="M57" s="3"/>
      <c r="N57" s="3"/>
    </row>
    <row r="58">
      <c r="A58" s="45"/>
      <c r="B58" s="61"/>
      <c r="C58" s="55"/>
      <c r="D58" s="55"/>
      <c r="E58" s="55"/>
      <c r="F58" s="55"/>
      <c r="G58" s="57"/>
      <c r="H58" s="62"/>
      <c r="I58" s="55"/>
      <c r="J58" s="57"/>
      <c r="K58" s="54" t="str">
        <f t="shared" si="4"/>
        <v/>
      </c>
      <c r="L58" s="55"/>
      <c r="M58" s="3"/>
      <c r="N58" s="3"/>
    </row>
    <row r="59">
      <c r="A59" s="45"/>
      <c r="B59" s="61"/>
      <c r="C59" s="55"/>
      <c r="D59" s="55"/>
      <c r="E59" s="55"/>
      <c r="F59" s="55"/>
      <c r="G59" s="57"/>
      <c r="H59" s="62"/>
      <c r="I59" s="55"/>
      <c r="J59" s="57"/>
      <c r="K59" s="54" t="str">
        <f t="shared" si="4"/>
        <v/>
      </c>
      <c r="L59" s="55"/>
      <c r="M59" s="3"/>
      <c r="N59" s="3"/>
    </row>
    <row r="60">
      <c r="A60" s="45"/>
      <c r="B60" s="61"/>
      <c r="C60" s="55"/>
      <c r="D60" s="55"/>
      <c r="E60" s="55"/>
      <c r="F60" s="55"/>
      <c r="G60" s="57"/>
      <c r="H60" s="62"/>
      <c r="I60" s="55"/>
      <c r="J60" s="57"/>
      <c r="K60" s="54" t="str">
        <f t="shared" si="4"/>
        <v/>
      </c>
      <c r="L60" s="55"/>
      <c r="M60" s="3"/>
      <c r="N60" s="3"/>
    </row>
    <row r="61">
      <c r="A61" s="45"/>
      <c r="B61" s="61"/>
      <c r="C61" s="55"/>
      <c r="D61" s="55"/>
      <c r="E61" s="55"/>
      <c r="F61" s="55"/>
      <c r="G61" s="57"/>
      <c r="H61" s="62"/>
      <c r="I61" s="55"/>
      <c r="J61" s="57"/>
      <c r="K61" s="54" t="str">
        <f t="shared" si="4"/>
        <v/>
      </c>
      <c r="L61" s="55"/>
      <c r="M61" s="3"/>
      <c r="N61" s="3"/>
    </row>
    <row r="62">
      <c r="A62" s="45"/>
      <c r="B62" s="61"/>
      <c r="C62" s="55"/>
      <c r="D62" s="55"/>
      <c r="E62" s="55"/>
      <c r="F62" s="55"/>
      <c r="G62" s="57"/>
      <c r="H62" s="62"/>
      <c r="I62" s="55"/>
      <c r="J62" s="57"/>
      <c r="K62" s="54" t="str">
        <f t="shared" si="4"/>
        <v/>
      </c>
      <c r="L62" s="55"/>
      <c r="M62" s="3"/>
      <c r="N62" s="3"/>
    </row>
    <row r="63">
      <c r="A63" s="45"/>
      <c r="B63" s="61"/>
      <c r="C63" s="55"/>
      <c r="D63" s="55"/>
      <c r="E63" s="55"/>
      <c r="F63" s="55"/>
      <c r="G63" s="57"/>
      <c r="H63" s="62"/>
      <c r="I63" s="55"/>
      <c r="J63" s="57"/>
      <c r="K63" s="54" t="str">
        <f t="shared" si="4"/>
        <v/>
      </c>
      <c r="L63" s="55"/>
      <c r="M63" s="3"/>
      <c r="N63" s="3"/>
    </row>
    <row r="64">
      <c r="A64" s="45"/>
      <c r="B64" s="61"/>
      <c r="C64" s="55"/>
      <c r="D64" s="55"/>
      <c r="E64" s="55"/>
      <c r="F64" s="55"/>
      <c r="G64" s="57"/>
      <c r="H64" s="62"/>
      <c r="I64" s="55"/>
      <c r="J64" s="57"/>
      <c r="K64" s="54" t="str">
        <f t="shared" si="4"/>
        <v/>
      </c>
      <c r="L64" s="55"/>
      <c r="M64" s="3"/>
      <c r="N64" s="3"/>
    </row>
    <row r="65">
      <c r="A65" s="45"/>
      <c r="B65" s="61"/>
      <c r="C65" s="55"/>
      <c r="D65" s="55"/>
      <c r="E65" s="55"/>
      <c r="F65" s="55"/>
      <c r="G65" s="57"/>
      <c r="H65" s="62"/>
      <c r="I65" s="55"/>
      <c r="J65" s="57"/>
      <c r="K65" s="54" t="str">
        <f t="shared" si="4"/>
        <v/>
      </c>
      <c r="L65" s="55"/>
      <c r="M65" s="3"/>
      <c r="N65" s="3"/>
    </row>
    <row r="66">
      <c r="A66" s="45"/>
      <c r="B66" s="61"/>
      <c r="C66" s="55"/>
      <c r="D66" s="55"/>
      <c r="E66" s="55"/>
      <c r="F66" s="55"/>
      <c r="G66" s="57"/>
      <c r="H66" s="62"/>
      <c r="I66" s="55"/>
      <c r="J66" s="57"/>
      <c r="K66" s="54" t="str">
        <f t="shared" si="4"/>
        <v/>
      </c>
      <c r="L66" s="55"/>
      <c r="M66" s="3"/>
      <c r="N66" s="3"/>
    </row>
    <row r="67">
      <c r="A67" s="45"/>
      <c r="B67" s="61"/>
      <c r="C67" s="55"/>
      <c r="D67" s="55"/>
      <c r="E67" s="55"/>
      <c r="F67" s="55"/>
      <c r="G67" s="57"/>
      <c r="H67" s="62"/>
      <c r="I67" s="55"/>
      <c r="J67" s="57"/>
      <c r="K67" s="54" t="str">
        <f t="shared" si="4"/>
        <v/>
      </c>
      <c r="L67" s="55"/>
      <c r="M67" s="3"/>
      <c r="N67" s="3"/>
    </row>
    <row r="68">
      <c r="A68" s="45"/>
      <c r="B68" s="61"/>
      <c r="C68" s="55"/>
      <c r="D68" s="55"/>
      <c r="E68" s="55"/>
      <c r="F68" s="55"/>
      <c r="G68" s="57"/>
      <c r="H68" s="62"/>
      <c r="I68" s="55"/>
      <c r="J68" s="57"/>
      <c r="K68" s="54" t="str">
        <f t="shared" si="4"/>
        <v/>
      </c>
      <c r="L68" s="55"/>
      <c r="M68" s="3"/>
      <c r="N68" s="3"/>
    </row>
    <row r="69">
      <c r="A69" s="45"/>
      <c r="B69" s="61"/>
      <c r="C69" s="55"/>
      <c r="D69" s="55"/>
      <c r="E69" s="55"/>
      <c r="F69" s="55"/>
      <c r="G69" s="57"/>
      <c r="H69" s="62"/>
      <c r="I69" s="55"/>
      <c r="J69" s="57"/>
      <c r="K69" s="54" t="str">
        <f t="shared" si="4"/>
        <v/>
      </c>
      <c r="L69" s="55"/>
      <c r="M69" s="3"/>
      <c r="N69" s="3"/>
    </row>
    <row r="70">
      <c r="A70" s="45"/>
      <c r="B70" s="61"/>
      <c r="C70" s="55"/>
      <c r="D70" s="55"/>
      <c r="E70" s="55"/>
      <c r="F70" s="55"/>
      <c r="G70" s="57"/>
      <c r="H70" s="62"/>
      <c r="I70" s="55"/>
      <c r="J70" s="57"/>
      <c r="K70" s="54" t="str">
        <f t="shared" si="4"/>
        <v/>
      </c>
      <c r="L70" s="55"/>
      <c r="M70" s="3"/>
      <c r="N70" s="3"/>
    </row>
    <row r="71">
      <c r="A71" s="45"/>
      <c r="B71" s="61"/>
      <c r="C71" s="55"/>
      <c r="D71" s="55"/>
      <c r="E71" s="55"/>
      <c r="F71" s="55"/>
      <c r="G71" s="57"/>
      <c r="H71" s="62"/>
      <c r="I71" s="55"/>
      <c r="J71" s="57"/>
      <c r="K71" s="54" t="str">
        <f t="shared" si="4"/>
        <v/>
      </c>
      <c r="L71" s="55"/>
      <c r="M71" s="3"/>
      <c r="N71" s="3"/>
    </row>
    <row r="72">
      <c r="A72" s="45"/>
      <c r="B72" s="61"/>
      <c r="C72" s="55"/>
      <c r="D72" s="55"/>
      <c r="E72" s="55"/>
      <c r="F72" s="55"/>
      <c r="G72" s="57"/>
      <c r="H72" s="62"/>
      <c r="I72" s="55"/>
      <c r="J72" s="57"/>
      <c r="K72" s="54" t="str">
        <f t="shared" si="4"/>
        <v/>
      </c>
      <c r="L72" s="55"/>
      <c r="M72" s="3"/>
      <c r="N72" s="3"/>
    </row>
    <row r="73">
      <c r="A73" s="45"/>
      <c r="B73" s="61"/>
      <c r="C73" s="55"/>
      <c r="D73" s="55"/>
      <c r="E73" s="55"/>
      <c r="F73" s="55"/>
      <c r="G73" s="57"/>
      <c r="H73" s="62"/>
      <c r="I73" s="55"/>
      <c r="J73" s="57"/>
      <c r="K73" s="54" t="str">
        <f t="shared" si="4"/>
        <v/>
      </c>
      <c r="L73" s="55"/>
      <c r="M73" s="3"/>
      <c r="N73" s="3"/>
    </row>
    <row r="74">
      <c r="A74" s="45"/>
      <c r="B74" s="61"/>
      <c r="C74" s="55"/>
      <c r="D74" s="55"/>
      <c r="E74" s="55"/>
      <c r="F74" s="55"/>
      <c r="G74" s="57"/>
      <c r="H74" s="62"/>
      <c r="I74" s="55"/>
      <c r="J74" s="57"/>
      <c r="K74" s="54" t="str">
        <f t="shared" si="4"/>
        <v/>
      </c>
      <c r="L74" s="55"/>
      <c r="M74" s="3"/>
      <c r="N74" s="3"/>
    </row>
    <row r="75">
      <c r="A75" s="45"/>
      <c r="B75" s="61"/>
      <c r="C75" s="55"/>
      <c r="D75" s="55"/>
      <c r="E75" s="55"/>
      <c r="F75" s="55"/>
      <c r="G75" s="57"/>
      <c r="H75" s="62"/>
      <c r="I75" s="55"/>
      <c r="J75" s="57"/>
      <c r="K75" s="54" t="str">
        <f t="shared" si="4"/>
        <v/>
      </c>
      <c r="L75" s="55"/>
      <c r="M75" s="3"/>
      <c r="N75" s="3"/>
    </row>
    <row r="76">
      <c r="A76" s="45"/>
      <c r="B76" s="61"/>
      <c r="C76" s="55"/>
      <c r="D76" s="55"/>
      <c r="E76" s="55"/>
      <c r="F76" s="55"/>
      <c r="G76" s="57"/>
      <c r="H76" s="62"/>
      <c r="I76" s="55"/>
      <c r="J76" s="57"/>
      <c r="K76" s="54" t="str">
        <f t="shared" si="4"/>
        <v/>
      </c>
      <c r="L76" s="55"/>
      <c r="M76" s="3"/>
      <c r="N76" s="3"/>
    </row>
    <row r="77">
      <c r="A77" s="45"/>
      <c r="B77" s="61"/>
      <c r="C77" s="55"/>
      <c r="D77" s="55"/>
      <c r="E77" s="55"/>
      <c r="F77" s="55"/>
      <c r="G77" s="57"/>
      <c r="H77" s="62"/>
      <c r="I77" s="55"/>
      <c r="J77" s="57"/>
      <c r="K77" s="54" t="str">
        <f t="shared" si="4"/>
        <v/>
      </c>
      <c r="L77" s="55"/>
      <c r="M77" s="3"/>
      <c r="N77" s="3"/>
    </row>
    <row r="78">
      <c r="A78" s="64" t="s">
        <v>20</v>
      </c>
      <c r="B78" s="65"/>
      <c r="C78" s="65"/>
      <c r="D78" s="65"/>
      <c r="E78" s="65"/>
      <c r="F78" s="65"/>
      <c r="G78" s="66">
        <f>SUM(G18:G77)</f>
        <v>0</v>
      </c>
      <c r="H78" s="67"/>
      <c r="I78" s="65"/>
      <c r="J78" s="66">
        <f>SUM(J18:J77)</f>
        <v>0</v>
      </c>
      <c r="K78" s="68" t="str">
        <f>IFERROR(J78/G78,"")</f>
        <v/>
      </c>
      <c r="L78" s="65"/>
      <c r="M78" s="3"/>
      <c r="N78" s="3"/>
    </row>
    <row r="79">
      <c r="A79" s="3"/>
      <c r="B79" s="3"/>
      <c r="C79" s="3"/>
      <c r="D79" s="3"/>
      <c r="E79" s="3"/>
      <c r="F79" s="3"/>
      <c r="G79" s="3"/>
      <c r="H79" s="42"/>
      <c r="I79" s="3"/>
      <c r="J79" s="3"/>
      <c r="K79" s="3"/>
      <c r="L79" s="3"/>
      <c r="M79" s="3"/>
      <c r="N79" s="3"/>
    </row>
    <row r="80">
      <c r="A80" s="3"/>
      <c r="B80" s="3"/>
      <c r="C80" s="3"/>
      <c r="D80" s="3"/>
      <c r="E80" s="3"/>
      <c r="F80" s="3"/>
      <c r="G80" s="3"/>
      <c r="H80" s="42"/>
      <c r="I80" s="3"/>
      <c r="J80" s="3"/>
      <c r="K80" s="3"/>
      <c r="L80" s="3"/>
      <c r="M80" s="3"/>
      <c r="N80" s="3"/>
    </row>
    <row r="81">
      <c r="A81" s="3"/>
      <c r="B81" s="3"/>
      <c r="C81" s="3"/>
      <c r="D81" s="3"/>
      <c r="E81" s="3"/>
      <c r="F81" s="3"/>
      <c r="G81" s="3"/>
      <c r="H81" s="42"/>
      <c r="I81" s="3"/>
      <c r="J81" s="3"/>
      <c r="K81" s="3"/>
      <c r="L81" s="3"/>
      <c r="M81" s="3"/>
      <c r="N81" s="3"/>
    </row>
    <row r="82">
      <c r="A82" s="3"/>
      <c r="B82" s="3"/>
      <c r="C82" s="3"/>
      <c r="D82" s="3"/>
      <c r="E82" s="3"/>
      <c r="F82" s="3"/>
      <c r="G82" s="3"/>
      <c r="H82" s="42"/>
      <c r="I82" s="3"/>
      <c r="J82" s="3"/>
      <c r="K82" s="3"/>
      <c r="L82" s="3"/>
      <c r="M82" s="3"/>
      <c r="N82" s="3"/>
    </row>
    <row r="83">
      <c r="A83" s="3"/>
      <c r="B83" s="3"/>
      <c r="C83" s="3"/>
      <c r="D83" s="3"/>
      <c r="E83" s="3"/>
      <c r="F83" s="3"/>
      <c r="G83" s="3"/>
      <c r="H83" s="42"/>
      <c r="I83" s="3"/>
      <c r="J83" s="3"/>
      <c r="K83" s="3"/>
      <c r="L83" s="3"/>
      <c r="M83" s="3"/>
      <c r="N83" s="3"/>
    </row>
    <row r="84">
      <c r="A84" s="3"/>
      <c r="B84" s="3"/>
      <c r="C84" s="3"/>
      <c r="D84" s="3"/>
      <c r="E84" s="3"/>
      <c r="F84" s="3"/>
      <c r="G84" s="3"/>
      <c r="H84" s="42"/>
      <c r="I84" s="3"/>
      <c r="J84" s="3"/>
      <c r="K84" s="3"/>
      <c r="L84" s="3"/>
      <c r="M84" s="3"/>
      <c r="N84" s="3"/>
    </row>
    <row r="85">
      <c r="A85" s="3"/>
      <c r="B85" s="3"/>
      <c r="C85" s="3"/>
      <c r="D85" s="3"/>
      <c r="E85" s="3"/>
      <c r="F85" s="3"/>
      <c r="G85" s="3"/>
      <c r="H85" s="42"/>
      <c r="I85" s="3"/>
      <c r="J85" s="3"/>
      <c r="K85" s="3"/>
      <c r="L85" s="3"/>
      <c r="M85" s="3"/>
      <c r="N85" s="3"/>
    </row>
    <row r="86">
      <c r="A86" s="3"/>
      <c r="B86" s="3"/>
      <c r="C86" s="3"/>
      <c r="D86" s="3"/>
      <c r="E86" s="3"/>
      <c r="F86" s="3"/>
      <c r="G86" s="3"/>
      <c r="H86" s="42"/>
      <c r="I86" s="3"/>
      <c r="J86" s="3"/>
      <c r="K86" s="3"/>
      <c r="L86" s="3"/>
      <c r="M86" s="3"/>
      <c r="N86" s="3"/>
    </row>
    <row r="87">
      <c r="A87" s="3"/>
      <c r="B87" s="3"/>
      <c r="C87" s="3"/>
      <c r="D87" s="3"/>
      <c r="E87" s="3"/>
      <c r="F87" s="3"/>
      <c r="G87" s="3"/>
      <c r="H87" s="42"/>
      <c r="I87" s="3"/>
      <c r="J87" s="3"/>
      <c r="K87" s="3"/>
      <c r="L87" s="3"/>
      <c r="M87" s="3"/>
      <c r="N87" s="3"/>
    </row>
    <row r="88">
      <c r="A88" s="3"/>
      <c r="B88" s="3"/>
      <c r="C88" s="3"/>
      <c r="D88" s="3"/>
      <c r="E88" s="3"/>
      <c r="F88" s="3"/>
      <c r="G88" s="3"/>
      <c r="H88" s="42"/>
      <c r="I88" s="3"/>
      <c r="J88" s="3"/>
      <c r="K88" s="3"/>
      <c r="L88" s="3"/>
      <c r="M88" s="3"/>
      <c r="N88" s="3"/>
    </row>
    <row r="89">
      <c r="A89" s="3"/>
      <c r="B89" s="3"/>
      <c r="C89" s="3"/>
      <c r="D89" s="3"/>
      <c r="E89" s="3"/>
      <c r="F89" s="3"/>
      <c r="G89" s="3"/>
      <c r="H89" s="42"/>
      <c r="I89" s="3"/>
      <c r="J89" s="3"/>
      <c r="K89" s="3"/>
      <c r="L89" s="3"/>
      <c r="M89" s="3"/>
      <c r="N89" s="3"/>
    </row>
    <row r="90">
      <c r="A90" s="3"/>
      <c r="B90" s="3"/>
      <c r="C90" s="3"/>
      <c r="D90" s="3"/>
      <c r="E90" s="3"/>
      <c r="F90" s="3"/>
      <c r="G90" s="3"/>
      <c r="H90" s="42"/>
      <c r="I90" s="3"/>
      <c r="J90" s="3"/>
      <c r="K90" s="3"/>
      <c r="L90" s="3"/>
      <c r="M90" s="3"/>
      <c r="N90" s="3"/>
    </row>
    <row r="91">
      <c r="A91" s="3"/>
      <c r="B91" s="3"/>
      <c r="C91" s="3"/>
      <c r="D91" s="3"/>
      <c r="E91" s="3"/>
      <c r="F91" s="3"/>
      <c r="G91" s="3"/>
      <c r="H91" s="42"/>
      <c r="I91" s="3"/>
      <c r="J91" s="3"/>
      <c r="K91" s="3"/>
      <c r="L91" s="3"/>
      <c r="M91" s="3"/>
      <c r="N91" s="3"/>
    </row>
    <row r="92">
      <c r="A92" s="3"/>
      <c r="B92" s="3"/>
      <c r="C92" s="3"/>
      <c r="D92" s="3"/>
      <c r="E92" s="3"/>
      <c r="F92" s="3"/>
      <c r="G92" s="3"/>
      <c r="H92" s="42"/>
      <c r="I92" s="3"/>
      <c r="J92" s="3"/>
      <c r="K92" s="3"/>
      <c r="L92" s="3"/>
      <c r="M92" s="3"/>
      <c r="N92" s="3"/>
    </row>
    <row r="93">
      <c r="A93" s="3"/>
      <c r="B93" s="3"/>
      <c r="C93" s="3"/>
      <c r="D93" s="3"/>
      <c r="E93" s="3"/>
      <c r="F93" s="3"/>
      <c r="G93" s="3"/>
      <c r="H93" s="42"/>
      <c r="I93" s="3"/>
      <c r="J93" s="3"/>
      <c r="K93" s="3"/>
      <c r="L93" s="3"/>
      <c r="M93" s="3"/>
      <c r="N93" s="3"/>
    </row>
    <row r="94">
      <c r="A94" s="3"/>
      <c r="B94" s="3"/>
      <c r="C94" s="3"/>
      <c r="D94" s="3"/>
      <c r="E94" s="3"/>
      <c r="F94" s="3"/>
      <c r="G94" s="3"/>
      <c r="H94" s="42"/>
      <c r="I94" s="3"/>
      <c r="J94" s="3"/>
      <c r="K94" s="3"/>
      <c r="L94" s="3"/>
      <c r="M94" s="3"/>
      <c r="N94" s="3"/>
    </row>
    <row r="95">
      <c r="A95" s="3"/>
      <c r="B95" s="3"/>
      <c r="C95" s="3"/>
      <c r="D95" s="3"/>
      <c r="E95" s="3"/>
      <c r="F95" s="3"/>
      <c r="G95" s="3"/>
      <c r="H95" s="42"/>
      <c r="I95" s="3"/>
      <c r="J95" s="3"/>
      <c r="K95" s="3"/>
      <c r="L95" s="3"/>
      <c r="M95" s="3"/>
      <c r="N95" s="3"/>
    </row>
    <row r="96">
      <c r="A96" s="3"/>
      <c r="B96" s="3"/>
      <c r="C96" s="3"/>
      <c r="D96" s="3"/>
      <c r="E96" s="3"/>
      <c r="F96" s="3"/>
      <c r="G96" s="3"/>
      <c r="H96" s="42"/>
      <c r="I96" s="3"/>
      <c r="J96" s="3"/>
      <c r="K96" s="3"/>
      <c r="L96" s="3"/>
      <c r="M96" s="3"/>
      <c r="N96" s="3"/>
    </row>
    <row r="97">
      <c r="A97" s="3"/>
      <c r="B97" s="3"/>
      <c r="C97" s="3"/>
      <c r="D97" s="3"/>
      <c r="E97" s="3"/>
      <c r="F97" s="3"/>
      <c r="G97" s="3"/>
      <c r="H97" s="42"/>
      <c r="I97" s="3"/>
      <c r="J97" s="3"/>
      <c r="K97" s="3"/>
      <c r="L97" s="3"/>
      <c r="M97" s="3"/>
      <c r="N97" s="3"/>
    </row>
    <row r="98">
      <c r="A98" s="3"/>
      <c r="B98" s="3"/>
      <c r="C98" s="3"/>
      <c r="D98" s="3"/>
      <c r="E98" s="3"/>
      <c r="F98" s="3"/>
      <c r="G98" s="3"/>
      <c r="H98" s="42"/>
      <c r="I98" s="3"/>
      <c r="J98" s="3"/>
      <c r="K98" s="3"/>
      <c r="L98" s="3"/>
      <c r="M98" s="3"/>
      <c r="N98" s="3"/>
    </row>
    <row r="99">
      <c r="A99" s="3"/>
      <c r="B99" s="3"/>
      <c r="C99" s="3"/>
      <c r="D99" s="3"/>
      <c r="E99" s="3"/>
      <c r="F99" s="3"/>
      <c r="G99" s="3"/>
      <c r="H99" s="42"/>
      <c r="I99" s="3"/>
      <c r="J99" s="3"/>
      <c r="K99" s="3"/>
      <c r="L99" s="3"/>
      <c r="M99" s="3"/>
      <c r="N99" s="3"/>
    </row>
    <row r="100">
      <c r="A100" s="3"/>
      <c r="B100" s="3"/>
      <c r="C100" s="3"/>
      <c r="D100" s="3"/>
      <c r="E100" s="3"/>
      <c r="F100" s="3"/>
      <c r="G100" s="3"/>
      <c r="H100" s="42"/>
      <c r="I100" s="3"/>
      <c r="J100" s="3"/>
      <c r="K100" s="3"/>
      <c r="L100" s="3"/>
      <c r="M100" s="3"/>
      <c r="N100" s="3"/>
    </row>
  </sheetData>
  <mergeCells count="48">
    <mergeCell ref="A1:L1"/>
    <mergeCell ref="A2:L2"/>
    <mergeCell ref="A3:L3"/>
    <mergeCell ref="A4:C4"/>
    <mergeCell ref="D4:E4"/>
    <mergeCell ref="F4:G4"/>
    <mergeCell ref="J4:L4"/>
    <mergeCell ref="A5:C5"/>
    <mergeCell ref="D5:E5"/>
    <mergeCell ref="F5:G5"/>
    <mergeCell ref="J5:L5"/>
    <mergeCell ref="D6:E6"/>
    <mergeCell ref="F6:G6"/>
    <mergeCell ref="J6:L6"/>
    <mergeCell ref="J7:L7"/>
    <mergeCell ref="J8:L8"/>
    <mergeCell ref="J9:L9"/>
    <mergeCell ref="J10:L10"/>
    <mergeCell ref="J11:L11"/>
    <mergeCell ref="J12:L12"/>
    <mergeCell ref="J13:L13"/>
    <mergeCell ref="J14:L14"/>
    <mergeCell ref="A6:C6"/>
    <mergeCell ref="A7:C7"/>
    <mergeCell ref="D7:E7"/>
    <mergeCell ref="F7:G7"/>
    <mergeCell ref="A8:C8"/>
    <mergeCell ref="D8:E8"/>
    <mergeCell ref="F8:G8"/>
    <mergeCell ref="D11:E11"/>
    <mergeCell ref="F11:G11"/>
    <mergeCell ref="A9:C9"/>
    <mergeCell ref="D9:E9"/>
    <mergeCell ref="F9:G9"/>
    <mergeCell ref="A10:C10"/>
    <mergeCell ref="D10:E10"/>
    <mergeCell ref="F10:G10"/>
    <mergeCell ref="A11:C11"/>
    <mergeCell ref="D14:E14"/>
    <mergeCell ref="F14:G14"/>
    <mergeCell ref="A16:L16"/>
    <mergeCell ref="A12:C12"/>
    <mergeCell ref="D12:E12"/>
    <mergeCell ref="F12:G12"/>
    <mergeCell ref="A13:C13"/>
    <mergeCell ref="D13:E13"/>
    <mergeCell ref="F13:G13"/>
    <mergeCell ref="A14:C14"/>
  </mergeCells>
  <conditionalFormatting sqref="I18:I77">
    <cfRule type="cellIs" dxfId="0" priority="1" stopIfTrue="1" operator="equal">
      <formula>"Sakura"</formula>
    </cfRule>
  </conditionalFormatting>
  <conditionalFormatting sqref="I18:I77">
    <cfRule type="cellIs" dxfId="1" priority="2" stopIfTrue="1" operator="equal">
      <formula>"Q1"</formula>
    </cfRule>
  </conditionalFormatting>
  <dataValidations>
    <dataValidation type="list" allowBlank="1" sqref="H18:H77">
      <formula1>"对公转账,直付达人,蒲公英充值,主体公司支付,其他"</formula1>
    </dataValidation>
    <dataValidation type="list" allowBlank="1" sqref="I18:I77">
      <formula1>"Sakura,Q1"</formula1>
    </dataValidation>
    <dataValidation type="list" allowBlank="1" sqref="C18:C77">
      <formula1>"筆記+直播,直播坑位费,KOC圖文,視頻筆記預算,koc動画不报备,样品费,运费,風險保證金,小紅書專業號年審費用"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25"/>
    <col customWidth="1" min="2" max="2" width="11.63"/>
    <col customWidth="1" min="3" max="3" width="21.63"/>
    <col customWidth="1" min="4" max="4" width="18.63"/>
    <col customWidth="1" min="5" max="5" width="25.75"/>
    <col customWidth="1" min="6" max="6" width="17.63"/>
    <col customWidth="1" min="7" max="7" width="15.38"/>
    <col customWidth="1" min="8" max="8" width="14.88"/>
    <col customWidth="1" min="9" max="9" width="12.63"/>
    <col customWidth="1" min="10" max="10" width="14.13"/>
    <col customWidth="1" min="11" max="11" width="10.63"/>
    <col customWidth="1" min="12" max="12" width="23.88"/>
  </cols>
  <sheetData>
    <row r="1">
      <c r="A1" s="1" t="s">
        <v>101</v>
      </c>
      <c r="M1" s="3"/>
      <c r="N1" s="3"/>
    </row>
    <row r="2">
      <c r="A2" s="5" t="s">
        <v>4</v>
      </c>
      <c r="M2" s="3"/>
      <c r="N2" s="3"/>
    </row>
    <row r="3">
      <c r="A3" s="7" t="s">
        <v>5</v>
      </c>
      <c r="M3" s="3"/>
      <c r="N3" s="3"/>
    </row>
    <row r="4">
      <c r="A4" s="11" t="s">
        <v>7</v>
      </c>
      <c r="B4" s="12"/>
      <c r="C4" s="13"/>
      <c r="D4" s="14" t="s">
        <v>8</v>
      </c>
      <c r="E4" s="13"/>
      <c r="F4" s="14" t="s">
        <v>10</v>
      </c>
      <c r="G4" s="13"/>
      <c r="H4" s="17" t="s">
        <v>11</v>
      </c>
      <c r="I4" s="18" t="s">
        <v>12</v>
      </c>
      <c r="J4" s="11" t="s">
        <v>13</v>
      </c>
      <c r="K4" s="12"/>
      <c r="L4" s="13"/>
      <c r="M4" s="3"/>
      <c r="N4" s="3"/>
    </row>
    <row r="5">
      <c r="A5" s="20" t="s">
        <v>14</v>
      </c>
      <c r="B5" s="12"/>
      <c r="C5" s="13"/>
      <c r="D5" s="22"/>
      <c r="E5" s="13"/>
      <c r="F5" s="22">
        <f t="shared" ref="F5:F13" si="1">SUMIF($C$18:$C$77,$A5,$G$18:$G$77)</f>
        <v>0</v>
      </c>
      <c r="G5" s="13"/>
      <c r="H5" s="25" t="str">
        <f t="shared" ref="H5:H14" si="2">IF(N(D5)=0,"",D5-F5)</f>
        <v/>
      </c>
      <c r="I5" s="26" t="str">
        <f t="shared" ref="I5:I14" si="3">IF(N(D5)=0,"",F5/D5)</f>
        <v/>
      </c>
      <c r="J5" s="28" t="s">
        <v>21</v>
      </c>
      <c r="K5" s="12"/>
      <c r="L5" s="13"/>
      <c r="M5" s="3"/>
      <c r="N5" s="3"/>
    </row>
    <row r="6">
      <c r="A6" s="20" t="s">
        <v>22</v>
      </c>
      <c r="B6" s="12"/>
      <c r="C6" s="13"/>
      <c r="D6" s="22"/>
      <c r="E6" s="13"/>
      <c r="F6" s="22">
        <f t="shared" si="1"/>
        <v>0</v>
      </c>
      <c r="G6" s="13"/>
      <c r="H6" s="25" t="str">
        <f t="shared" si="2"/>
        <v/>
      </c>
      <c r="I6" s="26" t="str">
        <f t="shared" si="3"/>
        <v/>
      </c>
      <c r="J6" s="28" t="s">
        <v>21</v>
      </c>
      <c r="K6" s="12"/>
      <c r="L6" s="13"/>
      <c r="M6" s="3"/>
      <c r="N6" s="3"/>
    </row>
    <row r="7">
      <c r="A7" s="20" t="s">
        <v>23</v>
      </c>
      <c r="B7" s="12"/>
      <c r="C7" s="13"/>
      <c r="D7" s="22"/>
      <c r="E7" s="13"/>
      <c r="F7" s="22">
        <f t="shared" si="1"/>
        <v>0</v>
      </c>
      <c r="G7" s="13"/>
      <c r="H7" s="25" t="str">
        <f t="shared" si="2"/>
        <v/>
      </c>
      <c r="I7" s="26" t="str">
        <f t="shared" si="3"/>
        <v/>
      </c>
      <c r="J7" s="28" t="s">
        <v>21</v>
      </c>
      <c r="K7" s="12"/>
      <c r="L7" s="13"/>
      <c r="M7" s="3"/>
      <c r="N7" s="3"/>
    </row>
    <row r="8">
      <c r="A8" s="20" t="s">
        <v>24</v>
      </c>
      <c r="B8" s="12"/>
      <c r="C8" s="13"/>
      <c r="D8" s="22"/>
      <c r="E8" s="13"/>
      <c r="F8" s="22">
        <f t="shared" si="1"/>
        <v>0</v>
      </c>
      <c r="G8" s="13"/>
      <c r="H8" s="25" t="str">
        <f t="shared" si="2"/>
        <v/>
      </c>
      <c r="I8" s="26" t="str">
        <f t="shared" si="3"/>
        <v/>
      </c>
      <c r="J8" s="28" t="s">
        <v>21</v>
      </c>
      <c r="K8" s="12"/>
      <c r="L8" s="13"/>
      <c r="M8" s="3"/>
      <c r="N8" s="3"/>
    </row>
    <row r="9">
      <c r="A9" s="20" t="s">
        <v>25</v>
      </c>
      <c r="B9" s="12"/>
      <c r="C9" s="13"/>
      <c r="D9" s="22"/>
      <c r="E9" s="13"/>
      <c r="F9" s="22">
        <f t="shared" si="1"/>
        <v>0</v>
      </c>
      <c r="G9" s="13"/>
      <c r="H9" s="25" t="str">
        <f t="shared" si="2"/>
        <v/>
      </c>
      <c r="I9" s="26" t="str">
        <f t="shared" si="3"/>
        <v/>
      </c>
      <c r="J9" s="28" t="s">
        <v>21</v>
      </c>
      <c r="K9" s="12"/>
      <c r="L9" s="13"/>
      <c r="M9" s="3"/>
      <c r="N9" s="3"/>
    </row>
    <row r="10">
      <c r="A10" s="29" t="s">
        <v>26</v>
      </c>
      <c r="B10" s="12"/>
      <c r="C10" s="13"/>
      <c r="D10" s="30"/>
      <c r="E10" s="13"/>
      <c r="F10" s="30">
        <f t="shared" si="1"/>
        <v>0</v>
      </c>
      <c r="G10" s="13"/>
      <c r="H10" s="31" t="str">
        <f t="shared" si="2"/>
        <v/>
      </c>
      <c r="I10" s="32" t="str">
        <f t="shared" si="3"/>
        <v/>
      </c>
      <c r="J10" s="33" t="s">
        <v>27</v>
      </c>
      <c r="K10" s="12"/>
      <c r="L10" s="13"/>
      <c r="M10" s="3"/>
      <c r="N10" s="3"/>
    </row>
    <row r="11">
      <c r="A11" s="29" t="s">
        <v>28</v>
      </c>
      <c r="B11" s="12"/>
      <c r="C11" s="13"/>
      <c r="D11" s="30"/>
      <c r="E11" s="13"/>
      <c r="F11" s="30">
        <f t="shared" si="1"/>
        <v>0</v>
      </c>
      <c r="G11" s="13"/>
      <c r="H11" s="31" t="str">
        <f t="shared" si="2"/>
        <v/>
      </c>
      <c r="I11" s="32" t="str">
        <f t="shared" si="3"/>
        <v/>
      </c>
      <c r="J11" s="33" t="s">
        <v>27</v>
      </c>
      <c r="K11" s="12"/>
      <c r="L11" s="13"/>
      <c r="M11" s="3"/>
      <c r="N11" s="3"/>
    </row>
    <row r="12">
      <c r="A12" s="29" t="s">
        <v>29</v>
      </c>
      <c r="B12" s="12"/>
      <c r="C12" s="13"/>
      <c r="D12" s="30"/>
      <c r="E12" s="13"/>
      <c r="F12" s="30">
        <f t="shared" si="1"/>
        <v>0</v>
      </c>
      <c r="G12" s="13"/>
      <c r="H12" s="31" t="str">
        <f t="shared" si="2"/>
        <v/>
      </c>
      <c r="I12" s="32" t="str">
        <f t="shared" si="3"/>
        <v/>
      </c>
      <c r="J12" s="33" t="s">
        <v>27</v>
      </c>
      <c r="K12" s="12"/>
      <c r="L12" s="13"/>
      <c r="M12" s="3"/>
      <c r="N12" s="3"/>
    </row>
    <row r="13">
      <c r="A13" s="29" t="s">
        <v>30</v>
      </c>
      <c r="B13" s="12"/>
      <c r="C13" s="13"/>
      <c r="D13" s="30"/>
      <c r="E13" s="13"/>
      <c r="F13" s="30">
        <f t="shared" si="1"/>
        <v>0</v>
      </c>
      <c r="G13" s="13"/>
      <c r="H13" s="31" t="str">
        <f t="shared" si="2"/>
        <v/>
      </c>
      <c r="I13" s="32" t="str">
        <f t="shared" si="3"/>
        <v/>
      </c>
      <c r="J13" s="33" t="s">
        <v>27</v>
      </c>
      <c r="K13" s="12"/>
      <c r="L13" s="13"/>
      <c r="M13" s="3"/>
      <c r="N13" s="3"/>
    </row>
    <row r="14">
      <c r="A14" s="37" t="s">
        <v>20</v>
      </c>
      <c r="B14" s="12"/>
      <c r="C14" s="13"/>
      <c r="D14" s="38">
        <f>SUM(D5:D13)</f>
        <v>0</v>
      </c>
      <c r="E14" s="13"/>
      <c r="F14" s="38">
        <f>SUM(F5:F13)</f>
        <v>0</v>
      </c>
      <c r="G14" s="13"/>
      <c r="H14" s="39" t="str">
        <f t="shared" si="2"/>
        <v/>
      </c>
      <c r="I14" s="40" t="str">
        <f t="shared" si="3"/>
        <v/>
      </c>
      <c r="J14" s="41"/>
      <c r="K14" s="12"/>
      <c r="L14" s="13"/>
      <c r="M14" s="3"/>
      <c r="N14" s="3"/>
    </row>
    <row r="15">
      <c r="A15" s="3"/>
      <c r="B15" s="3"/>
      <c r="C15" s="3"/>
      <c r="D15" s="3"/>
      <c r="E15" s="3"/>
      <c r="F15" s="3"/>
      <c r="G15" s="3"/>
      <c r="H15" s="42"/>
      <c r="I15" s="3"/>
      <c r="J15" s="3"/>
      <c r="K15" s="3"/>
      <c r="L15" s="3"/>
      <c r="M15" s="3"/>
      <c r="N15" s="3"/>
    </row>
    <row r="16">
      <c r="A16" s="43" t="s">
        <v>31</v>
      </c>
      <c r="M16" s="3"/>
      <c r="N16" s="3"/>
    </row>
    <row r="17">
      <c r="A17" s="44" t="s">
        <v>32</v>
      </c>
      <c r="B17" s="44" t="s">
        <v>33</v>
      </c>
      <c r="C17" s="44" t="s">
        <v>7</v>
      </c>
      <c r="D17" s="44" t="s">
        <v>34</v>
      </c>
      <c r="E17" s="44" t="s">
        <v>35</v>
      </c>
      <c r="F17" s="44" t="s">
        <v>36</v>
      </c>
      <c r="G17" s="44" t="s">
        <v>37</v>
      </c>
      <c r="H17" s="44" t="s">
        <v>38</v>
      </c>
      <c r="I17" s="44" t="s">
        <v>39</v>
      </c>
      <c r="J17" s="44" t="s">
        <v>40</v>
      </c>
      <c r="K17" s="44" t="s">
        <v>41</v>
      </c>
      <c r="L17" s="44" t="s">
        <v>42</v>
      </c>
      <c r="M17" s="3"/>
      <c r="N17" s="3"/>
    </row>
    <row r="18">
      <c r="A18" s="45"/>
      <c r="B18" s="46"/>
      <c r="C18" s="48"/>
      <c r="D18" s="49"/>
      <c r="E18" s="48"/>
      <c r="F18" s="48"/>
      <c r="G18" s="51"/>
      <c r="H18" s="49"/>
      <c r="I18" s="48"/>
      <c r="J18" s="51"/>
      <c r="K18" s="54" t="str">
        <f t="shared" ref="K18:K77" si="4">IF(OR(N($J18)=0,N($G18)=0),"",$J18/$G18)</f>
        <v/>
      </c>
      <c r="L18" s="55"/>
      <c r="M18" s="3"/>
      <c r="N18" s="3"/>
    </row>
    <row r="19">
      <c r="A19" s="45"/>
      <c r="B19" s="46"/>
      <c r="C19" s="48"/>
      <c r="D19" s="49"/>
      <c r="E19" s="48"/>
      <c r="F19" s="48"/>
      <c r="G19" s="51"/>
      <c r="H19" s="49"/>
      <c r="I19" s="48"/>
      <c r="J19" s="57"/>
      <c r="K19" s="54" t="str">
        <f t="shared" si="4"/>
        <v/>
      </c>
      <c r="L19" s="55"/>
      <c r="M19" s="3"/>
      <c r="N19" s="3"/>
    </row>
    <row r="20">
      <c r="A20" s="45"/>
      <c r="B20" s="46"/>
      <c r="C20" s="48"/>
      <c r="D20" s="49"/>
      <c r="E20" s="48"/>
      <c r="F20" s="48"/>
      <c r="G20" s="51"/>
      <c r="H20" s="49"/>
      <c r="I20" s="48"/>
      <c r="J20" s="51"/>
      <c r="K20" s="54" t="str">
        <f t="shared" si="4"/>
        <v/>
      </c>
      <c r="L20" s="55"/>
      <c r="M20" s="3"/>
      <c r="N20" s="3"/>
    </row>
    <row r="21">
      <c r="A21" s="45"/>
      <c r="B21" s="46"/>
      <c r="C21" s="48"/>
      <c r="D21" s="49"/>
      <c r="E21" s="48"/>
      <c r="F21" s="48"/>
      <c r="G21" s="51"/>
      <c r="H21" s="49"/>
      <c r="I21" s="48"/>
      <c r="J21" s="57"/>
      <c r="K21" s="54" t="str">
        <f t="shared" si="4"/>
        <v/>
      </c>
      <c r="L21" s="55"/>
      <c r="M21" s="3"/>
      <c r="N21" s="3"/>
    </row>
    <row r="22">
      <c r="A22" s="45"/>
      <c r="B22" s="46"/>
      <c r="C22" s="48"/>
      <c r="D22" s="49"/>
      <c r="E22" s="48"/>
      <c r="F22" s="48"/>
      <c r="G22" s="51"/>
      <c r="H22" s="49"/>
      <c r="I22" s="48"/>
      <c r="J22" s="51"/>
      <c r="K22" s="54" t="str">
        <f t="shared" si="4"/>
        <v/>
      </c>
      <c r="L22" s="55"/>
      <c r="M22" s="3"/>
      <c r="N22" s="3"/>
    </row>
    <row r="23">
      <c r="A23" s="45"/>
      <c r="B23" s="46"/>
      <c r="C23" s="48"/>
      <c r="D23" s="49"/>
      <c r="E23" s="48"/>
      <c r="F23" s="48"/>
      <c r="G23" s="51"/>
      <c r="H23" s="49"/>
      <c r="I23" s="48"/>
      <c r="J23" s="57"/>
      <c r="K23" s="54" t="str">
        <f t="shared" si="4"/>
        <v/>
      </c>
      <c r="L23" s="55"/>
      <c r="M23" s="3"/>
      <c r="N23" s="3"/>
    </row>
    <row r="24">
      <c r="A24" s="45"/>
      <c r="B24" s="46"/>
      <c r="C24" s="48"/>
      <c r="D24" s="49"/>
      <c r="E24" s="48"/>
      <c r="F24" s="48"/>
      <c r="G24" s="51"/>
      <c r="H24" s="49"/>
      <c r="I24" s="48"/>
      <c r="J24" s="57"/>
      <c r="K24" s="54" t="str">
        <f t="shared" si="4"/>
        <v/>
      </c>
      <c r="L24" s="55"/>
      <c r="M24" s="3"/>
      <c r="N24" s="3"/>
    </row>
    <row r="25">
      <c r="A25" s="45"/>
      <c r="B25" s="46"/>
      <c r="C25" s="48"/>
      <c r="D25" s="49"/>
      <c r="E25" s="48"/>
      <c r="F25" s="48"/>
      <c r="G25" s="51"/>
      <c r="H25" s="49"/>
      <c r="I25" s="48"/>
      <c r="J25" s="57"/>
      <c r="K25" s="54" t="str">
        <f t="shared" si="4"/>
        <v/>
      </c>
      <c r="L25" s="55"/>
      <c r="M25" s="3"/>
      <c r="N25" s="3"/>
    </row>
    <row r="26">
      <c r="A26" s="45"/>
      <c r="B26" s="46"/>
      <c r="C26" s="48"/>
      <c r="D26" s="49"/>
      <c r="E26" s="48"/>
      <c r="F26" s="48"/>
      <c r="G26" s="51"/>
      <c r="H26" s="49"/>
      <c r="I26" s="48"/>
      <c r="J26" s="57"/>
      <c r="K26" s="54" t="str">
        <f t="shared" si="4"/>
        <v/>
      </c>
      <c r="L26" s="55"/>
      <c r="M26" s="3"/>
      <c r="N26" s="3"/>
    </row>
    <row r="27">
      <c r="A27" s="45"/>
      <c r="B27" s="46"/>
      <c r="C27" s="48"/>
      <c r="D27" s="49"/>
      <c r="E27" s="48"/>
      <c r="F27" s="48"/>
      <c r="G27" s="51"/>
      <c r="H27" s="49"/>
      <c r="I27" s="48"/>
      <c r="J27" s="57"/>
      <c r="K27" s="54" t="str">
        <f t="shared" si="4"/>
        <v/>
      </c>
      <c r="L27" s="55"/>
      <c r="M27" s="3"/>
      <c r="N27" s="3"/>
    </row>
    <row r="28">
      <c r="A28" s="45"/>
      <c r="B28" s="46"/>
      <c r="C28" s="48"/>
      <c r="D28" s="49"/>
      <c r="E28" s="48"/>
      <c r="F28" s="48"/>
      <c r="G28" s="51"/>
      <c r="H28" s="49"/>
      <c r="I28" s="48"/>
      <c r="J28" s="57"/>
      <c r="K28" s="54" t="str">
        <f t="shared" si="4"/>
        <v/>
      </c>
      <c r="L28" s="55"/>
      <c r="M28" s="3"/>
      <c r="N28" s="3"/>
    </row>
    <row r="29">
      <c r="A29" s="45"/>
      <c r="B29" s="46"/>
      <c r="C29" s="48"/>
      <c r="D29" s="49"/>
      <c r="E29" s="48"/>
      <c r="F29" s="48"/>
      <c r="G29" s="51"/>
      <c r="H29" s="49"/>
      <c r="I29" s="48"/>
      <c r="J29" s="57"/>
      <c r="K29" s="54" t="str">
        <f t="shared" si="4"/>
        <v/>
      </c>
      <c r="L29" s="55"/>
      <c r="M29" s="3"/>
      <c r="N29" s="3"/>
    </row>
    <row r="30">
      <c r="A30" s="45"/>
      <c r="B30" s="46"/>
      <c r="C30" s="48"/>
      <c r="D30" s="49"/>
      <c r="E30" s="48"/>
      <c r="F30" s="48"/>
      <c r="G30" s="51"/>
      <c r="H30" s="49"/>
      <c r="I30" s="48"/>
      <c r="J30" s="51"/>
      <c r="K30" s="54" t="str">
        <f t="shared" si="4"/>
        <v/>
      </c>
      <c r="L30" s="55"/>
      <c r="M30" s="3"/>
      <c r="N30" s="3"/>
    </row>
    <row r="31">
      <c r="A31" s="45"/>
      <c r="B31" s="46"/>
      <c r="C31" s="48"/>
      <c r="D31" s="49"/>
      <c r="E31" s="48"/>
      <c r="F31" s="48"/>
      <c r="G31" s="51"/>
      <c r="H31" s="49"/>
      <c r="I31" s="48"/>
      <c r="J31" s="51"/>
      <c r="K31" s="54" t="str">
        <f t="shared" si="4"/>
        <v/>
      </c>
      <c r="L31" s="55"/>
      <c r="M31" s="3"/>
      <c r="N31" s="3"/>
    </row>
    <row r="32">
      <c r="A32" s="45"/>
      <c r="B32" s="46"/>
      <c r="C32" s="48"/>
      <c r="D32" s="49"/>
      <c r="E32" s="48"/>
      <c r="F32" s="48"/>
      <c r="G32" s="51"/>
      <c r="H32" s="49"/>
      <c r="I32" s="48"/>
      <c r="J32" s="51"/>
      <c r="K32" s="54" t="str">
        <f t="shared" si="4"/>
        <v/>
      </c>
      <c r="L32" s="55"/>
      <c r="M32" s="3"/>
      <c r="N32" s="3"/>
    </row>
    <row r="33">
      <c r="A33" s="45"/>
      <c r="B33" s="46"/>
      <c r="C33" s="48"/>
      <c r="D33" s="49"/>
      <c r="E33" s="48"/>
      <c r="F33" s="48"/>
      <c r="G33" s="51"/>
      <c r="H33" s="49"/>
      <c r="I33" s="48"/>
      <c r="J33" s="57"/>
      <c r="K33" s="54" t="str">
        <f t="shared" si="4"/>
        <v/>
      </c>
      <c r="L33" s="55"/>
      <c r="M33" s="3"/>
      <c r="N33" s="3"/>
    </row>
    <row r="34">
      <c r="A34" s="45"/>
      <c r="B34" s="46"/>
      <c r="C34" s="48"/>
      <c r="D34" s="49"/>
      <c r="E34" s="48"/>
      <c r="F34" s="48"/>
      <c r="G34" s="51"/>
      <c r="H34" s="49"/>
      <c r="I34" s="48"/>
      <c r="J34" s="57"/>
      <c r="K34" s="54" t="str">
        <f t="shared" si="4"/>
        <v/>
      </c>
      <c r="L34" s="55"/>
      <c r="M34" s="3"/>
      <c r="N34" s="3"/>
    </row>
    <row r="35">
      <c r="A35" s="45"/>
      <c r="B35" s="46"/>
      <c r="C35" s="48"/>
      <c r="D35" s="49"/>
      <c r="E35" s="48"/>
      <c r="F35" s="48"/>
      <c r="G35" s="51"/>
      <c r="H35" s="49"/>
      <c r="I35" s="48"/>
      <c r="J35" s="57"/>
      <c r="K35" s="54" t="str">
        <f t="shared" si="4"/>
        <v/>
      </c>
      <c r="L35" s="55"/>
      <c r="M35" s="3"/>
      <c r="N35" s="3"/>
    </row>
    <row r="36">
      <c r="A36" s="45"/>
      <c r="B36" s="46"/>
      <c r="C36" s="48"/>
      <c r="D36" s="55"/>
      <c r="E36" s="55"/>
      <c r="F36" s="48"/>
      <c r="G36" s="51"/>
      <c r="H36" s="49"/>
      <c r="I36" s="48"/>
      <c r="J36" s="57"/>
      <c r="K36" s="54" t="str">
        <f t="shared" si="4"/>
        <v/>
      </c>
      <c r="L36" s="55"/>
      <c r="M36" s="3"/>
      <c r="N36" s="3"/>
    </row>
    <row r="37">
      <c r="A37" s="45"/>
      <c r="B37" s="46"/>
      <c r="C37" s="48"/>
      <c r="D37" s="55"/>
      <c r="E37" s="55"/>
      <c r="F37" s="48"/>
      <c r="G37" s="51"/>
      <c r="H37" s="49"/>
      <c r="I37" s="48"/>
      <c r="J37" s="57"/>
      <c r="K37" s="54" t="str">
        <f t="shared" si="4"/>
        <v/>
      </c>
      <c r="L37" s="55"/>
      <c r="M37" s="3"/>
      <c r="N37" s="3"/>
    </row>
    <row r="38">
      <c r="A38" s="45"/>
      <c r="B38" s="46"/>
      <c r="C38" s="48"/>
      <c r="D38" s="55"/>
      <c r="E38" s="48"/>
      <c r="F38" s="48"/>
      <c r="G38" s="51"/>
      <c r="H38" s="49"/>
      <c r="I38" s="48"/>
      <c r="J38" s="57"/>
      <c r="K38" s="54" t="str">
        <f t="shared" si="4"/>
        <v/>
      </c>
      <c r="L38" s="55"/>
      <c r="M38" s="3"/>
      <c r="N38" s="3"/>
    </row>
    <row r="39">
      <c r="A39" s="45"/>
      <c r="B39" s="46"/>
      <c r="C39" s="48"/>
      <c r="D39" s="55"/>
      <c r="E39" s="48"/>
      <c r="F39" s="48"/>
      <c r="G39" s="51"/>
      <c r="H39" s="49"/>
      <c r="I39" s="48"/>
      <c r="J39" s="57"/>
      <c r="K39" s="54" t="str">
        <f t="shared" si="4"/>
        <v/>
      </c>
      <c r="L39" s="55"/>
      <c r="M39" s="3"/>
      <c r="N39" s="3"/>
    </row>
    <row r="40">
      <c r="A40" s="45"/>
      <c r="B40" s="46"/>
      <c r="C40" s="48"/>
      <c r="D40" s="55"/>
      <c r="E40" s="48"/>
      <c r="F40" s="48"/>
      <c r="G40" s="51"/>
      <c r="H40" s="49"/>
      <c r="I40" s="48"/>
      <c r="J40" s="57"/>
      <c r="K40" s="54" t="str">
        <f t="shared" si="4"/>
        <v/>
      </c>
      <c r="L40" s="55"/>
      <c r="M40" s="3"/>
      <c r="N40" s="3"/>
    </row>
    <row r="41">
      <c r="A41" s="45"/>
      <c r="B41" s="46"/>
      <c r="C41" s="48"/>
      <c r="D41" s="55"/>
      <c r="E41" s="48"/>
      <c r="F41" s="48"/>
      <c r="G41" s="51"/>
      <c r="H41" s="49"/>
      <c r="I41" s="48"/>
      <c r="J41" s="57"/>
      <c r="K41" s="54" t="str">
        <f t="shared" si="4"/>
        <v/>
      </c>
      <c r="L41" s="55"/>
      <c r="M41" s="3"/>
      <c r="N41" s="3"/>
    </row>
    <row r="42">
      <c r="A42" s="45"/>
      <c r="B42" s="46"/>
      <c r="C42" s="48"/>
      <c r="D42" s="55"/>
      <c r="E42" s="48"/>
      <c r="F42" s="48"/>
      <c r="G42" s="51"/>
      <c r="H42" s="49"/>
      <c r="I42" s="48"/>
      <c r="J42" s="57"/>
      <c r="K42" s="54" t="str">
        <f t="shared" si="4"/>
        <v/>
      </c>
      <c r="L42" s="55"/>
      <c r="M42" s="3"/>
      <c r="N42" s="3"/>
    </row>
    <row r="43">
      <c r="A43" s="45"/>
      <c r="B43" s="46"/>
      <c r="C43" s="48"/>
      <c r="D43" s="55"/>
      <c r="E43" s="48"/>
      <c r="F43" s="55"/>
      <c r="G43" s="51"/>
      <c r="H43" s="49"/>
      <c r="I43" s="48"/>
      <c r="J43" s="57"/>
      <c r="K43" s="54" t="str">
        <f t="shared" si="4"/>
        <v/>
      </c>
      <c r="L43" s="55"/>
      <c r="M43" s="3"/>
      <c r="N43" s="3"/>
    </row>
    <row r="44">
      <c r="A44" s="45"/>
      <c r="B44" s="46"/>
      <c r="C44" s="48"/>
      <c r="D44" s="48"/>
      <c r="E44" s="48"/>
      <c r="F44" s="48"/>
      <c r="G44" s="51"/>
      <c r="H44" s="49"/>
      <c r="I44" s="48"/>
      <c r="J44" s="57"/>
      <c r="K44" s="54" t="str">
        <f t="shared" si="4"/>
        <v/>
      </c>
      <c r="L44" s="55"/>
      <c r="M44" s="3"/>
      <c r="N44" s="3"/>
    </row>
    <row r="45">
      <c r="A45" s="45"/>
      <c r="B45" s="46"/>
      <c r="C45" s="48"/>
      <c r="D45" s="48"/>
      <c r="E45" s="48"/>
      <c r="F45" s="48"/>
      <c r="G45" s="51"/>
      <c r="H45" s="49"/>
      <c r="I45" s="48"/>
      <c r="J45" s="57"/>
      <c r="K45" s="54" t="str">
        <f t="shared" si="4"/>
        <v/>
      </c>
      <c r="L45" s="55"/>
      <c r="M45" s="3"/>
      <c r="N45" s="3"/>
    </row>
    <row r="46">
      <c r="A46" s="45"/>
      <c r="B46" s="61"/>
      <c r="C46" s="55"/>
      <c r="D46" s="55"/>
      <c r="E46" s="55"/>
      <c r="F46" s="55"/>
      <c r="G46" s="57"/>
      <c r="H46" s="62"/>
      <c r="I46" s="55"/>
      <c r="J46" s="57"/>
      <c r="K46" s="54" t="str">
        <f t="shared" si="4"/>
        <v/>
      </c>
      <c r="L46" s="55"/>
      <c r="M46" s="3"/>
      <c r="N46" s="3"/>
    </row>
    <row r="47">
      <c r="A47" s="45"/>
      <c r="B47" s="61"/>
      <c r="C47" s="55"/>
      <c r="D47" s="55"/>
      <c r="E47" s="55"/>
      <c r="F47" s="55"/>
      <c r="G47" s="57"/>
      <c r="H47" s="62"/>
      <c r="I47" s="55"/>
      <c r="J47" s="57"/>
      <c r="K47" s="54" t="str">
        <f t="shared" si="4"/>
        <v/>
      </c>
      <c r="L47" s="55"/>
      <c r="M47" s="3"/>
      <c r="N47" s="3"/>
    </row>
    <row r="48">
      <c r="A48" s="45"/>
      <c r="B48" s="61"/>
      <c r="C48" s="55"/>
      <c r="D48" s="55"/>
      <c r="E48" s="55"/>
      <c r="F48" s="55"/>
      <c r="G48" s="57"/>
      <c r="H48" s="62"/>
      <c r="I48" s="55"/>
      <c r="J48" s="57"/>
      <c r="K48" s="54" t="str">
        <f t="shared" si="4"/>
        <v/>
      </c>
      <c r="L48" s="55"/>
      <c r="M48" s="3"/>
      <c r="N48" s="3"/>
    </row>
    <row r="49">
      <c r="A49" s="45"/>
      <c r="B49" s="61"/>
      <c r="C49" s="55"/>
      <c r="D49" s="55"/>
      <c r="E49" s="55"/>
      <c r="F49" s="55"/>
      <c r="G49" s="57"/>
      <c r="H49" s="62"/>
      <c r="I49" s="55"/>
      <c r="J49" s="57"/>
      <c r="K49" s="54" t="str">
        <f t="shared" si="4"/>
        <v/>
      </c>
      <c r="L49" s="55"/>
      <c r="M49" s="3"/>
      <c r="N49" s="3"/>
    </row>
    <row r="50">
      <c r="A50" s="45"/>
      <c r="B50" s="61"/>
      <c r="C50" s="55"/>
      <c r="D50" s="55"/>
      <c r="E50" s="55"/>
      <c r="F50" s="55"/>
      <c r="G50" s="57"/>
      <c r="H50" s="62"/>
      <c r="I50" s="55"/>
      <c r="J50" s="57"/>
      <c r="K50" s="54" t="str">
        <f t="shared" si="4"/>
        <v/>
      </c>
      <c r="L50" s="55"/>
      <c r="M50" s="3"/>
      <c r="N50" s="3"/>
    </row>
    <row r="51">
      <c r="A51" s="45"/>
      <c r="B51" s="61"/>
      <c r="C51" s="55"/>
      <c r="D51" s="55"/>
      <c r="E51" s="55"/>
      <c r="F51" s="55"/>
      <c r="G51" s="57"/>
      <c r="H51" s="62"/>
      <c r="I51" s="55"/>
      <c r="J51" s="57"/>
      <c r="K51" s="54" t="str">
        <f t="shared" si="4"/>
        <v/>
      </c>
      <c r="L51" s="55"/>
      <c r="M51" s="3"/>
      <c r="N51" s="3"/>
    </row>
    <row r="52">
      <c r="A52" s="45"/>
      <c r="B52" s="61"/>
      <c r="C52" s="55"/>
      <c r="D52" s="55"/>
      <c r="E52" s="55"/>
      <c r="F52" s="55"/>
      <c r="G52" s="57"/>
      <c r="H52" s="62"/>
      <c r="I52" s="55"/>
      <c r="J52" s="57"/>
      <c r="K52" s="54" t="str">
        <f t="shared" si="4"/>
        <v/>
      </c>
      <c r="L52" s="55"/>
      <c r="M52" s="3"/>
      <c r="N52" s="3"/>
    </row>
    <row r="53">
      <c r="A53" s="45"/>
      <c r="B53" s="61"/>
      <c r="C53" s="55"/>
      <c r="D53" s="55"/>
      <c r="E53" s="55"/>
      <c r="F53" s="55"/>
      <c r="G53" s="57"/>
      <c r="H53" s="62"/>
      <c r="I53" s="55"/>
      <c r="J53" s="57"/>
      <c r="K53" s="54" t="str">
        <f t="shared" si="4"/>
        <v/>
      </c>
      <c r="L53" s="55"/>
      <c r="M53" s="3"/>
      <c r="N53" s="3"/>
    </row>
    <row r="54">
      <c r="A54" s="45"/>
      <c r="B54" s="61"/>
      <c r="C54" s="55"/>
      <c r="D54" s="55"/>
      <c r="E54" s="55"/>
      <c r="F54" s="55"/>
      <c r="G54" s="57"/>
      <c r="H54" s="62"/>
      <c r="I54" s="55"/>
      <c r="J54" s="57"/>
      <c r="K54" s="54" t="str">
        <f t="shared" si="4"/>
        <v/>
      </c>
      <c r="L54" s="55"/>
      <c r="M54" s="3"/>
      <c r="N54" s="3"/>
    </row>
    <row r="55">
      <c r="A55" s="45"/>
      <c r="B55" s="61"/>
      <c r="C55" s="55"/>
      <c r="D55" s="55"/>
      <c r="E55" s="55"/>
      <c r="F55" s="55"/>
      <c r="G55" s="57"/>
      <c r="H55" s="62"/>
      <c r="I55" s="55"/>
      <c r="J55" s="57"/>
      <c r="K55" s="54" t="str">
        <f t="shared" si="4"/>
        <v/>
      </c>
      <c r="L55" s="55"/>
      <c r="M55" s="3"/>
      <c r="N55" s="3"/>
    </row>
    <row r="56">
      <c r="A56" s="45"/>
      <c r="B56" s="61"/>
      <c r="C56" s="55"/>
      <c r="D56" s="55"/>
      <c r="E56" s="55"/>
      <c r="F56" s="55"/>
      <c r="G56" s="57"/>
      <c r="H56" s="62"/>
      <c r="I56" s="55"/>
      <c r="J56" s="57"/>
      <c r="K56" s="54" t="str">
        <f t="shared" si="4"/>
        <v/>
      </c>
      <c r="L56" s="55"/>
      <c r="M56" s="3"/>
      <c r="N56" s="3"/>
    </row>
    <row r="57">
      <c r="A57" s="45"/>
      <c r="B57" s="61"/>
      <c r="C57" s="55"/>
      <c r="D57" s="55"/>
      <c r="E57" s="55"/>
      <c r="F57" s="55"/>
      <c r="G57" s="57"/>
      <c r="H57" s="62"/>
      <c r="I57" s="55"/>
      <c r="J57" s="57"/>
      <c r="K57" s="54" t="str">
        <f t="shared" si="4"/>
        <v/>
      </c>
      <c r="L57" s="55"/>
      <c r="M57" s="3"/>
      <c r="N57" s="3"/>
    </row>
    <row r="58">
      <c r="A58" s="45"/>
      <c r="B58" s="61"/>
      <c r="C58" s="55"/>
      <c r="D58" s="55"/>
      <c r="E58" s="55"/>
      <c r="F58" s="55"/>
      <c r="G58" s="57"/>
      <c r="H58" s="62"/>
      <c r="I58" s="55"/>
      <c r="J58" s="57"/>
      <c r="K58" s="54" t="str">
        <f t="shared" si="4"/>
        <v/>
      </c>
      <c r="L58" s="55"/>
      <c r="M58" s="3"/>
      <c r="N58" s="3"/>
    </row>
    <row r="59">
      <c r="A59" s="45"/>
      <c r="B59" s="61"/>
      <c r="C59" s="55"/>
      <c r="D59" s="55"/>
      <c r="E59" s="55"/>
      <c r="F59" s="55"/>
      <c r="G59" s="57"/>
      <c r="H59" s="62"/>
      <c r="I59" s="55"/>
      <c r="J59" s="57"/>
      <c r="K59" s="54" t="str">
        <f t="shared" si="4"/>
        <v/>
      </c>
      <c r="L59" s="55"/>
      <c r="M59" s="3"/>
      <c r="N59" s="3"/>
    </row>
    <row r="60">
      <c r="A60" s="45"/>
      <c r="B60" s="61"/>
      <c r="C60" s="55"/>
      <c r="D60" s="55"/>
      <c r="E60" s="55"/>
      <c r="F60" s="55"/>
      <c r="G60" s="57"/>
      <c r="H60" s="62"/>
      <c r="I60" s="55"/>
      <c r="J60" s="57"/>
      <c r="K60" s="54" t="str">
        <f t="shared" si="4"/>
        <v/>
      </c>
      <c r="L60" s="55"/>
      <c r="M60" s="3"/>
      <c r="N60" s="3"/>
    </row>
    <row r="61">
      <c r="A61" s="45"/>
      <c r="B61" s="61"/>
      <c r="C61" s="55"/>
      <c r="D61" s="55"/>
      <c r="E61" s="55"/>
      <c r="F61" s="55"/>
      <c r="G61" s="57"/>
      <c r="H61" s="62"/>
      <c r="I61" s="55"/>
      <c r="J61" s="57"/>
      <c r="K61" s="54" t="str">
        <f t="shared" si="4"/>
        <v/>
      </c>
      <c r="L61" s="55"/>
      <c r="M61" s="3"/>
      <c r="N61" s="3"/>
    </row>
    <row r="62">
      <c r="A62" s="45"/>
      <c r="B62" s="61"/>
      <c r="C62" s="55"/>
      <c r="D62" s="55"/>
      <c r="E62" s="55"/>
      <c r="F62" s="55"/>
      <c r="G62" s="57"/>
      <c r="H62" s="62"/>
      <c r="I62" s="55"/>
      <c r="J62" s="57"/>
      <c r="K62" s="54" t="str">
        <f t="shared" si="4"/>
        <v/>
      </c>
      <c r="L62" s="55"/>
      <c r="M62" s="3"/>
      <c r="N62" s="3"/>
    </row>
    <row r="63">
      <c r="A63" s="45"/>
      <c r="B63" s="61"/>
      <c r="C63" s="55"/>
      <c r="D63" s="55"/>
      <c r="E63" s="55"/>
      <c r="F63" s="55"/>
      <c r="G63" s="57"/>
      <c r="H63" s="62"/>
      <c r="I63" s="55"/>
      <c r="J63" s="57"/>
      <c r="K63" s="54" t="str">
        <f t="shared" si="4"/>
        <v/>
      </c>
      <c r="L63" s="55"/>
      <c r="M63" s="3"/>
      <c r="N63" s="3"/>
    </row>
    <row r="64">
      <c r="A64" s="45"/>
      <c r="B64" s="61"/>
      <c r="C64" s="55"/>
      <c r="D64" s="55"/>
      <c r="E64" s="55"/>
      <c r="F64" s="55"/>
      <c r="G64" s="57"/>
      <c r="H64" s="62"/>
      <c r="I64" s="55"/>
      <c r="J64" s="57"/>
      <c r="K64" s="54" t="str">
        <f t="shared" si="4"/>
        <v/>
      </c>
      <c r="L64" s="55"/>
      <c r="M64" s="3"/>
      <c r="N64" s="3"/>
    </row>
    <row r="65">
      <c r="A65" s="45"/>
      <c r="B65" s="61"/>
      <c r="C65" s="55"/>
      <c r="D65" s="55"/>
      <c r="E65" s="55"/>
      <c r="F65" s="55"/>
      <c r="G65" s="57"/>
      <c r="H65" s="62"/>
      <c r="I65" s="55"/>
      <c r="J65" s="57"/>
      <c r="K65" s="54" t="str">
        <f t="shared" si="4"/>
        <v/>
      </c>
      <c r="L65" s="55"/>
      <c r="M65" s="3"/>
      <c r="N65" s="3"/>
    </row>
    <row r="66">
      <c r="A66" s="45"/>
      <c r="B66" s="61"/>
      <c r="C66" s="55"/>
      <c r="D66" s="55"/>
      <c r="E66" s="55"/>
      <c r="F66" s="55"/>
      <c r="G66" s="57"/>
      <c r="H66" s="62"/>
      <c r="I66" s="55"/>
      <c r="J66" s="57"/>
      <c r="K66" s="54" t="str">
        <f t="shared" si="4"/>
        <v/>
      </c>
      <c r="L66" s="55"/>
      <c r="M66" s="3"/>
      <c r="N66" s="3"/>
    </row>
    <row r="67">
      <c r="A67" s="45"/>
      <c r="B67" s="61"/>
      <c r="C67" s="55"/>
      <c r="D67" s="55"/>
      <c r="E67" s="55"/>
      <c r="F67" s="55"/>
      <c r="G67" s="57"/>
      <c r="H67" s="62"/>
      <c r="I67" s="55"/>
      <c r="J67" s="57"/>
      <c r="K67" s="54" t="str">
        <f t="shared" si="4"/>
        <v/>
      </c>
      <c r="L67" s="55"/>
      <c r="M67" s="3"/>
      <c r="N67" s="3"/>
    </row>
    <row r="68">
      <c r="A68" s="45"/>
      <c r="B68" s="61"/>
      <c r="C68" s="55"/>
      <c r="D68" s="55"/>
      <c r="E68" s="55"/>
      <c r="F68" s="55"/>
      <c r="G68" s="57"/>
      <c r="H68" s="62"/>
      <c r="I68" s="55"/>
      <c r="J68" s="57"/>
      <c r="K68" s="54" t="str">
        <f t="shared" si="4"/>
        <v/>
      </c>
      <c r="L68" s="55"/>
      <c r="M68" s="3"/>
      <c r="N68" s="3"/>
    </row>
    <row r="69">
      <c r="A69" s="45"/>
      <c r="B69" s="61"/>
      <c r="C69" s="55"/>
      <c r="D69" s="55"/>
      <c r="E69" s="55"/>
      <c r="F69" s="55"/>
      <c r="G69" s="57"/>
      <c r="H69" s="62"/>
      <c r="I69" s="55"/>
      <c r="J69" s="57"/>
      <c r="K69" s="54" t="str">
        <f t="shared" si="4"/>
        <v/>
      </c>
      <c r="L69" s="55"/>
      <c r="M69" s="3"/>
      <c r="N69" s="3"/>
    </row>
    <row r="70">
      <c r="A70" s="45"/>
      <c r="B70" s="61"/>
      <c r="C70" s="55"/>
      <c r="D70" s="55"/>
      <c r="E70" s="55"/>
      <c r="F70" s="55"/>
      <c r="G70" s="57"/>
      <c r="H70" s="62"/>
      <c r="I70" s="55"/>
      <c r="J70" s="57"/>
      <c r="K70" s="54" t="str">
        <f t="shared" si="4"/>
        <v/>
      </c>
      <c r="L70" s="55"/>
      <c r="M70" s="3"/>
      <c r="N70" s="3"/>
    </row>
    <row r="71">
      <c r="A71" s="45"/>
      <c r="B71" s="61"/>
      <c r="C71" s="55"/>
      <c r="D71" s="55"/>
      <c r="E71" s="55"/>
      <c r="F71" s="55"/>
      <c r="G71" s="57"/>
      <c r="H71" s="62"/>
      <c r="I71" s="55"/>
      <c r="J71" s="57"/>
      <c r="K71" s="54" t="str">
        <f t="shared" si="4"/>
        <v/>
      </c>
      <c r="L71" s="55"/>
      <c r="M71" s="3"/>
      <c r="N71" s="3"/>
    </row>
    <row r="72">
      <c r="A72" s="45"/>
      <c r="B72" s="61"/>
      <c r="C72" s="55"/>
      <c r="D72" s="55"/>
      <c r="E72" s="55"/>
      <c r="F72" s="55"/>
      <c r="G72" s="57"/>
      <c r="H72" s="62"/>
      <c r="I72" s="55"/>
      <c r="J72" s="57"/>
      <c r="K72" s="54" t="str">
        <f t="shared" si="4"/>
        <v/>
      </c>
      <c r="L72" s="55"/>
      <c r="M72" s="3"/>
      <c r="N72" s="3"/>
    </row>
    <row r="73">
      <c r="A73" s="45"/>
      <c r="B73" s="61"/>
      <c r="C73" s="55"/>
      <c r="D73" s="55"/>
      <c r="E73" s="55"/>
      <c r="F73" s="55"/>
      <c r="G73" s="57"/>
      <c r="H73" s="62"/>
      <c r="I73" s="55"/>
      <c r="J73" s="57"/>
      <c r="K73" s="54" t="str">
        <f t="shared" si="4"/>
        <v/>
      </c>
      <c r="L73" s="55"/>
      <c r="M73" s="3"/>
      <c r="N73" s="3"/>
    </row>
    <row r="74">
      <c r="A74" s="45"/>
      <c r="B74" s="61"/>
      <c r="C74" s="55"/>
      <c r="D74" s="55"/>
      <c r="E74" s="55"/>
      <c r="F74" s="55"/>
      <c r="G74" s="57"/>
      <c r="H74" s="62"/>
      <c r="I74" s="55"/>
      <c r="J74" s="57"/>
      <c r="K74" s="54" t="str">
        <f t="shared" si="4"/>
        <v/>
      </c>
      <c r="L74" s="55"/>
      <c r="M74" s="3"/>
      <c r="N74" s="3"/>
    </row>
    <row r="75">
      <c r="A75" s="45"/>
      <c r="B75" s="61"/>
      <c r="C75" s="55"/>
      <c r="D75" s="55"/>
      <c r="E75" s="55"/>
      <c r="F75" s="55"/>
      <c r="G75" s="57"/>
      <c r="H75" s="62"/>
      <c r="I75" s="55"/>
      <c r="J75" s="57"/>
      <c r="K75" s="54" t="str">
        <f t="shared" si="4"/>
        <v/>
      </c>
      <c r="L75" s="55"/>
      <c r="M75" s="3"/>
      <c r="N75" s="3"/>
    </row>
    <row r="76">
      <c r="A76" s="45"/>
      <c r="B76" s="61"/>
      <c r="C76" s="55"/>
      <c r="D76" s="55"/>
      <c r="E76" s="55"/>
      <c r="F76" s="55"/>
      <c r="G76" s="57"/>
      <c r="H76" s="62"/>
      <c r="I76" s="55"/>
      <c r="J76" s="57"/>
      <c r="K76" s="54" t="str">
        <f t="shared" si="4"/>
        <v/>
      </c>
      <c r="L76" s="55"/>
      <c r="M76" s="3"/>
      <c r="N76" s="3"/>
    </row>
    <row r="77">
      <c r="A77" s="45"/>
      <c r="B77" s="61"/>
      <c r="C77" s="55"/>
      <c r="D77" s="55"/>
      <c r="E77" s="55"/>
      <c r="F77" s="55"/>
      <c r="G77" s="57"/>
      <c r="H77" s="62"/>
      <c r="I77" s="55"/>
      <c r="J77" s="57"/>
      <c r="K77" s="54" t="str">
        <f t="shared" si="4"/>
        <v/>
      </c>
      <c r="L77" s="55"/>
      <c r="M77" s="3"/>
      <c r="N77" s="3"/>
    </row>
    <row r="78">
      <c r="A78" s="64" t="s">
        <v>20</v>
      </c>
      <c r="B78" s="65"/>
      <c r="C78" s="65"/>
      <c r="D78" s="65"/>
      <c r="E78" s="65"/>
      <c r="F78" s="65"/>
      <c r="G78" s="66">
        <f>SUM(G18:G77)</f>
        <v>0</v>
      </c>
      <c r="H78" s="67"/>
      <c r="I78" s="65"/>
      <c r="J78" s="66">
        <f>SUM(J18:J77)</f>
        <v>0</v>
      </c>
      <c r="K78" s="68" t="str">
        <f>IFERROR(J78/G78,"")</f>
        <v/>
      </c>
      <c r="L78" s="65"/>
      <c r="M78" s="3"/>
      <c r="N78" s="3"/>
    </row>
    <row r="79">
      <c r="A79" s="3"/>
      <c r="B79" s="3"/>
      <c r="C79" s="3"/>
      <c r="D79" s="3"/>
      <c r="E79" s="3"/>
      <c r="F79" s="3"/>
      <c r="G79" s="3"/>
      <c r="H79" s="42"/>
      <c r="I79" s="3"/>
      <c r="J79" s="3"/>
      <c r="K79" s="3"/>
      <c r="L79" s="3"/>
      <c r="M79" s="3"/>
      <c r="N79" s="3"/>
    </row>
    <row r="80">
      <c r="A80" s="3"/>
      <c r="B80" s="3"/>
      <c r="C80" s="3"/>
      <c r="D80" s="3"/>
      <c r="E80" s="3"/>
      <c r="F80" s="3"/>
      <c r="G80" s="3"/>
      <c r="H80" s="42"/>
      <c r="I80" s="3"/>
      <c r="J80" s="3"/>
      <c r="K80" s="3"/>
      <c r="L80" s="3"/>
      <c r="M80" s="3"/>
      <c r="N80" s="3"/>
    </row>
    <row r="81">
      <c r="A81" s="3"/>
      <c r="B81" s="3"/>
      <c r="C81" s="3"/>
      <c r="D81" s="3"/>
      <c r="E81" s="3"/>
      <c r="F81" s="3"/>
      <c r="G81" s="3"/>
      <c r="H81" s="42"/>
      <c r="I81" s="3"/>
      <c r="J81" s="3"/>
      <c r="K81" s="3"/>
      <c r="L81" s="3"/>
      <c r="M81" s="3"/>
      <c r="N81" s="3"/>
    </row>
    <row r="82">
      <c r="A82" s="3"/>
      <c r="B82" s="3"/>
      <c r="C82" s="3"/>
      <c r="D82" s="3"/>
      <c r="E82" s="3"/>
      <c r="F82" s="3"/>
      <c r="G82" s="3"/>
      <c r="H82" s="42"/>
      <c r="I82" s="3"/>
      <c r="J82" s="3"/>
      <c r="K82" s="3"/>
      <c r="L82" s="3"/>
      <c r="M82" s="3"/>
      <c r="N82" s="3"/>
    </row>
    <row r="83">
      <c r="A83" s="3"/>
      <c r="B83" s="3"/>
      <c r="C83" s="3"/>
      <c r="D83" s="3"/>
      <c r="E83" s="3"/>
      <c r="F83" s="3"/>
      <c r="G83" s="3"/>
      <c r="H83" s="42"/>
      <c r="I83" s="3"/>
      <c r="J83" s="3"/>
      <c r="K83" s="3"/>
      <c r="L83" s="3"/>
      <c r="M83" s="3"/>
      <c r="N83" s="3"/>
    </row>
    <row r="84">
      <c r="A84" s="3"/>
      <c r="B84" s="3"/>
      <c r="C84" s="3"/>
      <c r="D84" s="3"/>
      <c r="E84" s="3"/>
      <c r="F84" s="3"/>
      <c r="G84" s="3"/>
      <c r="H84" s="42"/>
      <c r="I84" s="3"/>
      <c r="J84" s="3"/>
      <c r="K84" s="3"/>
      <c r="L84" s="3"/>
      <c r="M84" s="3"/>
      <c r="N84" s="3"/>
    </row>
    <row r="85">
      <c r="A85" s="3"/>
      <c r="B85" s="3"/>
      <c r="C85" s="3"/>
      <c r="D85" s="3"/>
      <c r="E85" s="3"/>
      <c r="F85" s="3"/>
      <c r="G85" s="3"/>
      <c r="H85" s="42"/>
      <c r="I85" s="3"/>
      <c r="J85" s="3"/>
      <c r="K85" s="3"/>
      <c r="L85" s="3"/>
      <c r="M85" s="3"/>
      <c r="N85" s="3"/>
    </row>
    <row r="86">
      <c r="A86" s="3"/>
      <c r="B86" s="3"/>
      <c r="C86" s="3"/>
      <c r="D86" s="3"/>
      <c r="E86" s="3"/>
      <c r="F86" s="3"/>
      <c r="G86" s="3"/>
      <c r="H86" s="42"/>
      <c r="I86" s="3"/>
      <c r="J86" s="3"/>
      <c r="K86" s="3"/>
      <c r="L86" s="3"/>
      <c r="M86" s="3"/>
      <c r="N86" s="3"/>
    </row>
    <row r="87">
      <c r="A87" s="3"/>
      <c r="B87" s="3"/>
      <c r="C87" s="3"/>
      <c r="D87" s="3"/>
      <c r="E87" s="3"/>
      <c r="F87" s="3"/>
      <c r="G87" s="3"/>
      <c r="H87" s="42"/>
      <c r="I87" s="3"/>
      <c r="J87" s="3"/>
      <c r="K87" s="3"/>
      <c r="L87" s="3"/>
      <c r="M87" s="3"/>
      <c r="N87" s="3"/>
    </row>
    <row r="88">
      <c r="A88" s="3"/>
      <c r="B88" s="3"/>
      <c r="C88" s="3"/>
      <c r="D88" s="3"/>
      <c r="E88" s="3"/>
      <c r="F88" s="3"/>
      <c r="G88" s="3"/>
      <c r="H88" s="42"/>
      <c r="I88" s="3"/>
      <c r="J88" s="3"/>
      <c r="K88" s="3"/>
      <c r="L88" s="3"/>
      <c r="M88" s="3"/>
      <c r="N88" s="3"/>
    </row>
    <row r="89">
      <c r="A89" s="3"/>
      <c r="B89" s="3"/>
      <c r="C89" s="3"/>
      <c r="D89" s="3"/>
      <c r="E89" s="3"/>
      <c r="F89" s="3"/>
      <c r="G89" s="3"/>
      <c r="H89" s="42"/>
      <c r="I89" s="3"/>
      <c r="J89" s="3"/>
      <c r="K89" s="3"/>
      <c r="L89" s="3"/>
      <c r="M89" s="3"/>
      <c r="N89" s="3"/>
    </row>
    <row r="90">
      <c r="A90" s="3"/>
      <c r="B90" s="3"/>
      <c r="C90" s="3"/>
      <c r="D90" s="3"/>
      <c r="E90" s="3"/>
      <c r="F90" s="3"/>
      <c r="G90" s="3"/>
      <c r="H90" s="42"/>
      <c r="I90" s="3"/>
      <c r="J90" s="3"/>
      <c r="K90" s="3"/>
      <c r="L90" s="3"/>
      <c r="M90" s="3"/>
      <c r="N90" s="3"/>
    </row>
    <row r="91">
      <c r="A91" s="3"/>
      <c r="B91" s="3"/>
      <c r="C91" s="3"/>
      <c r="D91" s="3"/>
      <c r="E91" s="3"/>
      <c r="F91" s="3"/>
      <c r="G91" s="3"/>
      <c r="H91" s="42"/>
      <c r="I91" s="3"/>
      <c r="J91" s="3"/>
      <c r="K91" s="3"/>
      <c r="L91" s="3"/>
      <c r="M91" s="3"/>
      <c r="N91" s="3"/>
    </row>
    <row r="92">
      <c r="A92" s="3"/>
      <c r="B92" s="3"/>
      <c r="C92" s="3"/>
      <c r="D92" s="3"/>
      <c r="E92" s="3"/>
      <c r="F92" s="3"/>
      <c r="G92" s="3"/>
      <c r="H92" s="42"/>
      <c r="I92" s="3"/>
      <c r="J92" s="3"/>
      <c r="K92" s="3"/>
      <c r="L92" s="3"/>
      <c r="M92" s="3"/>
      <c r="N92" s="3"/>
    </row>
    <row r="93">
      <c r="A93" s="3"/>
      <c r="B93" s="3"/>
      <c r="C93" s="3"/>
      <c r="D93" s="3"/>
      <c r="E93" s="3"/>
      <c r="F93" s="3"/>
      <c r="G93" s="3"/>
      <c r="H93" s="42"/>
      <c r="I93" s="3"/>
      <c r="J93" s="3"/>
      <c r="K93" s="3"/>
      <c r="L93" s="3"/>
      <c r="M93" s="3"/>
      <c r="N93" s="3"/>
    </row>
    <row r="94">
      <c r="A94" s="3"/>
      <c r="B94" s="3"/>
      <c r="C94" s="3"/>
      <c r="D94" s="3"/>
      <c r="E94" s="3"/>
      <c r="F94" s="3"/>
      <c r="G94" s="3"/>
      <c r="H94" s="42"/>
      <c r="I94" s="3"/>
      <c r="J94" s="3"/>
      <c r="K94" s="3"/>
      <c r="L94" s="3"/>
      <c r="M94" s="3"/>
      <c r="N94" s="3"/>
    </row>
    <row r="95">
      <c r="A95" s="3"/>
      <c r="B95" s="3"/>
      <c r="C95" s="3"/>
      <c r="D95" s="3"/>
      <c r="E95" s="3"/>
      <c r="F95" s="3"/>
      <c r="G95" s="3"/>
      <c r="H95" s="42"/>
      <c r="I95" s="3"/>
      <c r="J95" s="3"/>
      <c r="K95" s="3"/>
      <c r="L95" s="3"/>
      <c r="M95" s="3"/>
      <c r="N95" s="3"/>
    </row>
    <row r="96">
      <c r="A96" s="3"/>
      <c r="B96" s="3"/>
      <c r="C96" s="3"/>
      <c r="D96" s="3"/>
      <c r="E96" s="3"/>
      <c r="F96" s="3"/>
      <c r="G96" s="3"/>
      <c r="H96" s="42"/>
      <c r="I96" s="3"/>
      <c r="J96" s="3"/>
      <c r="K96" s="3"/>
      <c r="L96" s="3"/>
      <c r="M96" s="3"/>
      <c r="N96" s="3"/>
    </row>
    <row r="97">
      <c r="A97" s="3"/>
      <c r="B97" s="3"/>
      <c r="C97" s="3"/>
      <c r="D97" s="3"/>
      <c r="E97" s="3"/>
      <c r="F97" s="3"/>
      <c r="G97" s="3"/>
      <c r="H97" s="42"/>
      <c r="I97" s="3"/>
      <c r="J97" s="3"/>
      <c r="K97" s="3"/>
      <c r="L97" s="3"/>
      <c r="M97" s="3"/>
      <c r="N97" s="3"/>
    </row>
    <row r="98">
      <c r="A98" s="3"/>
      <c r="B98" s="3"/>
      <c r="C98" s="3"/>
      <c r="D98" s="3"/>
      <c r="E98" s="3"/>
      <c r="F98" s="3"/>
      <c r="G98" s="3"/>
      <c r="H98" s="42"/>
      <c r="I98" s="3"/>
      <c r="J98" s="3"/>
      <c r="K98" s="3"/>
      <c r="L98" s="3"/>
      <c r="M98" s="3"/>
      <c r="N98" s="3"/>
    </row>
    <row r="99">
      <c r="A99" s="3"/>
      <c r="B99" s="3"/>
      <c r="C99" s="3"/>
      <c r="D99" s="3"/>
      <c r="E99" s="3"/>
      <c r="F99" s="3"/>
      <c r="G99" s="3"/>
      <c r="H99" s="42"/>
      <c r="I99" s="3"/>
      <c r="J99" s="3"/>
      <c r="K99" s="3"/>
      <c r="L99" s="3"/>
      <c r="M99" s="3"/>
      <c r="N99" s="3"/>
    </row>
    <row r="100">
      <c r="A100" s="3"/>
      <c r="B100" s="3"/>
      <c r="C100" s="3"/>
      <c r="D100" s="3"/>
      <c r="E100" s="3"/>
      <c r="F100" s="3"/>
      <c r="G100" s="3"/>
      <c r="H100" s="42"/>
      <c r="I100" s="3"/>
      <c r="J100" s="3"/>
      <c r="K100" s="3"/>
      <c r="L100" s="3"/>
      <c r="M100" s="3"/>
      <c r="N100" s="3"/>
    </row>
  </sheetData>
  <mergeCells count="48">
    <mergeCell ref="A1:L1"/>
    <mergeCell ref="A2:L2"/>
    <mergeCell ref="A3:L3"/>
    <mergeCell ref="A4:C4"/>
    <mergeCell ref="D4:E4"/>
    <mergeCell ref="F4:G4"/>
    <mergeCell ref="J4:L4"/>
    <mergeCell ref="A5:C5"/>
    <mergeCell ref="D5:E5"/>
    <mergeCell ref="F5:G5"/>
    <mergeCell ref="J5:L5"/>
    <mergeCell ref="D6:E6"/>
    <mergeCell ref="F6:G6"/>
    <mergeCell ref="J6:L6"/>
    <mergeCell ref="J7:L7"/>
    <mergeCell ref="J8:L8"/>
    <mergeCell ref="J9:L9"/>
    <mergeCell ref="J10:L10"/>
    <mergeCell ref="J11:L11"/>
    <mergeCell ref="J12:L12"/>
    <mergeCell ref="J13:L13"/>
    <mergeCell ref="J14:L14"/>
    <mergeCell ref="A6:C6"/>
    <mergeCell ref="A7:C7"/>
    <mergeCell ref="D7:E7"/>
    <mergeCell ref="F7:G7"/>
    <mergeCell ref="A8:C8"/>
    <mergeCell ref="D8:E8"/>
    <mergeCell ref="F8:G8"/>
    <mergeCell ref="D11:E11"/>
    <mergeCell ref="F11:G11"/>
    <mergeCell ref="A9:C9"/>
    <mergeCell ref="D9:E9"/>
    <mergeCell ref="F9:G9"/>
    <mergeCell ref="A10:C10"/>
    <mergeCell ref="D10:E10"/>
    <mergeCell ref="F10:G10"/>
    <mergeCell ref="A11:C11"/>
    <mergeCell ref="D14:E14"/>
    <mergeCell ref="F14:G14"/>
    <mergeCell ref="A16:L16"/>
    <mergeCell ref="A12:C12"/>
    <mergeCell ref="D12:E12"/>
    <mergeCell ref="F12:G12"/>
    <mergeCell ref="A13:C13"/>
    <mergeCell ref="D13:E13"/>
    <mergeCell ref="F13:G13"/>
    <mergeCell ref="A14:C14"/>
  </mergeCells>
  <conditionalFormatting sqref="I18:I77">
    <cfRule type="cellIs" dxfId="0" priority="1" stopIfTrue="1" operator="equal">
      <formula>"Sakura"</formula>
    </cfRule>
  </conditionalFormatting>
  <conditionalFormatting sqref="I18:I77">
    <cfRule type="cellIs" dxfId="1" priority="2" stopIfTrue="1" operator="equal">
      <formula>"Q1"</formula>
    </cfRule>
  </conditionalFormatting>
  <dataValidations>
    <dataValidation type="list" allowBlank="1" sqref="H18:H77">
      <formula1>"对公转账,直付达人,蒲公英充值,主体公司支付,其他"</formula1>
    </dataValidation>
    <dataValidation type="list" allowBlank="1" sqref="I18:I77">
      <formula1>"Sakura,Q1"</formula1>
    </dataValidation>
    <dataValidation type="list" allowBlank="1" sqref="C18:C77">
      <formula1>"筆記+直播,直播坑位费,KOC圖文,視頻筆記預算,koc動画不报备,样品费,运费,風險保證金,小紅書專業號年審費用"</formula1>
    </dataValidation>
  </dataValidations>
  <drawing r:id="rId1"/>
</worksheet>
</file>