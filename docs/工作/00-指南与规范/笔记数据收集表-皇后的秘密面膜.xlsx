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图文KOC投放笔记" sheetId="1" state="visible" r:id="rId1"/>
    <sheet xmlns:r="http://schemas.openxmlformats.org/officeDocument/2006/relationships" name="② 视频KOC投放笔记" sheetId="2" state="visible" r:id="rId2"/>
    <sheet xmlns:r="http://schemas.openxmlformats.org/officeDocument/2006/relationships" name="③ 店铺自发笔记" sheetId="3" state="visible" r:id="rId3"/>
    <sheet xmlns:r="http://schemas.openxmlformats.org/officeDocument/2006/relationships" name="④ 素人笔记·留存追踪" sheetId="4" state="visible" r:id="rId4"/>
    <sheet xmlns:r="http://schemas.openxmlformats.org/officeDocument/2006/relationships" name="⑤ 总览Dashboard" sheetId="5" state="visible" r:id="rId5"/>
    <sheet xmlns:r="http://schemas.openxmlformats.org/officeDocument/2006/relationships" name="⑥ 填写说明" sheetId="6" state="visible" r:id="rId6"/>
    <sheet xmlns:r="http://schemas.openxmlformats.org/officeDocument/2006/relationships" name="选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Microsoft YaHei"/>
      <b val="1"/>
      <color rgb="00000000"/>
      <sz val="9"/>
    </font>
    <font>
      <name val="Microsoft YaHei"/>
      <b val="1"/>
      <color rgb="00FFFFFF"/>
      <sz val="10"/>
    </font>
    <font>
      <name val="Microsoft YaHei"/>
      <color rgb="00000000"/>
      <sz val="9"/>
    </font>
    <font>
      <name val="Microsoft YaHei"/>
      <b val="1"/>
      <color rgb="001F3864"/>
      <sz val="13"/>
    </font>
    <font>
      <name val="Microsoft YaHei"/>
      <color rgb="00808080"/>
      <sz val="9"/>
    </font>
    <font>
      <name val="Microsoft YaHei"/>
      <b val="1"/>
      <color rgb="00375623"/>
      <sz val="11"/>
    </font>
    <font>
      <name val="Microsoft YaHei"/>
      <b val="1"/>
      <color rgb="00FFFFFF"/>
      <sz val="9"/>
    </font>
    <font>
      <name val="Microsoft YaHei"/>
      <b val="1"/>
      <color rgb="001F3864"/>
      <sz val="12"/>
    </font>
    <font>
      <name val="Microsoft YaHei"/>
      <color rgb="00000000"/>
      <sz val="10"/>
    </font>
    <font>
      <name val="Microsoft YaHei"/>
      <b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BF6000"/>
      </patternFill>
    </fill>
    <fill>
      <patternFill patternType="solid">
        <fgColor rgb="00843C0C"/>
      </patternFill>
    </fill>
    <fill>
      <patternFill patternType="solid">
        <fgColor rgb="00525252"/>
      </patternFill>
    </fill>
    <fill>
      <patternFill patternType="solid">
        <fgColor rgb="007030A0"/>
      </patternFill>
    </fill>
    <fill>
      <patternFill patternType="solid">
        <fgColor rgb="00D6DCE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E6D9F2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164" fontId="3" fillId="16" borderId="1" applyAlignment="1" pivotButton="0" quotePrefix="0" xfId="0">
      <alignment horizontal="center" vertical="center" wrapText="1"/>
    </xf>
    <xf numFmtId="165" fontId="3" fillId="16" borderId="1" applyAlignment="1" pivotButton="0" quotePrefix="0" xfId="0">
      <alignment horizontal="center" vertical="center" wrapText="1"/>
    </xf>
    <xf numFmtId="3" fontId="3" fillId="1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规范</author>
  </authors>
  <commentList>
    <comment ref="K2" authorId="0" shapeId="0">
      <text>
        <t>面膜=化妆品红线词：美白/焕白/去黄/淡斑/抗老/抗衰/A醇/视黄醇/修复屏障/祛痘/医美/院线/极限词。改用：提亮/透亮/水润/服帖/细致毛孔。未过审(✅)不得投。</t>
      </text>
    </comment>
    <comment ref="AB2" authorId="0" shapeId="0">
      <text>
        <t>每轮贴截图云链接或编号(IMG_xxxx)，供品牌方复核。</t>
      </text>
    </comment>
  </commentList>
</comments>
</file>

<file path=xl/comments/comment2.xml><?xml version="1.0" encoding="utf-8"?>
<comments xmlns="http://schemas.openxmlformats.org/spreadsheetml/2006/main">
  <authors>
    <author>规范</author>
  </authors>
  <commentList>
    <comment ref="K2" authorId="0" shapeId="0">
      <text>
        <t>面膜=化妆品红线词：美白/焕白/去黄/淡斑/抗老/抗衰/A醇/视黄醇/修复屏障/祛痘/医美/院线/极限词。改用：提亮/透亮/水润/服帖/细致毛孔。未过审(✅)不得投。</t>
      </text>
    </comment>
    <comment ref="AB2" authorId="0" shapeId="0">
      <text>
        <t>每轮贴截图云链接或编号(IMG_xxxx)，供品牌方复核。</t>
      </text>
    </comment>
  </commentList>
</comments>
</file>

<file path=xl/comments/comment3.xml><?xml version="1.0" encoding="utf-8"?>
<comments xmlns="http://schemas.openxmlformats.org/spreadsheetml/2006/main">
  <authors>
    <author>规范</author>
  </authors>
  <commentList>
    <comment ref="H2" authorId="0" shapeId="0">
      <text>
        <t>面膜=化妆品红线词：美白/焕白/去黄/淡斑/抗老/抗衰/A醇/视黄醇/修复屏障/祛痘/医美/院线/极限词。改用：提亮/透亮/水润/服帖/细致毛孔。未过审(✅)不得投。</t>
      </text>
    </comment>
    <comment ref="W2" authorId="0" shapeId="0">
      <text>
        <t>每轮贴截图云链接或编号(IMG_xxxx)，供品牌方复核。</t>
      </text>
    </comment>
  </commentList>
</comments>
</file>

<file path=xl/comments/comment4.xml><?xml version="1.0" encoding="utf-8"?>
<comments xmlns="http://schemas.openxmlformats.org/spreadsheetml/2006/main">
  <authors>
    <author>规范</author>
  </authors>
  <commentList>
    <comment ref="G2" authorId="0" shapeId="0">
      <text>
        <t>素人自发笔记对品牌的口碑倾向：正面/中性/负面。</t>
      </text>
    </comment>
    <comment ref="O2" authorId="0" shapeId="0">
      <text>
        <t>每月观测一次，共3个月。状态：在=仍可见 / 已删除 / 限流(搜不到) / 改为无关。看留存时长。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6" customWidth="1" min="5" max="5"/>
    <col width="12" customWidth="1" min="6" max="6"/>
    <col width="9" customWidth="1" min="7" max="7"/>
    <col width="9" customWidth="1" min="8" max="8"/>
    <col width="14" customWidth="1" min="9" max="9"/>
    <col width="14" customWidth="1" min="10" max="10"/>
    <col width="9" customWidth="1" min="11" max="11"/>
    <col width="8" customWidth="1" min="12" max="12"/>
    <col width="8" customWidth="1" min="13" max="13"/>
    <col width="11" customWidth="1" min="14" max="14"/>
    <col width="8" customWidth="1" min="15" max="15"/>
    <col width="22" customWidth="1" min="16" max="16"/>
    <col width="16" customWidth="1" min="17" max="17"/>
    <col width="9" customWidth="1" min="18" max="18"/>
    <col width="8" customWidth="1" min="19" max="19"/>
    <col width="8" customWidth="1" min="20" max="20"/>
    <col width="14" customWidth="1" min="21" max="21"/>
    <col width="10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10" customWidth="1" min="28" max="28"/>
    <col width="10" customWidth="1" min="29" max="29"/>
    <col width="8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10" customWidth="1" min="36" max="36"/>
    <col width="8" customWidth="1" min="37" max="37"/>
    <col width="7" customWidth="1" min="38" max="38"/>
    <col width="7" customWidth="1" min="39" max="39"/>
    <col width="7" customWidth="1" min="40" max="40"/>
    <col width="7" customWidth="1" min="41" max="41"/>
    <col width="10" customWidth="1" min="42" max="42"/>
    <col width="8" customWidth="1" min="43" max="43"/>
    <col width="8" customWidth="1" min="44" max="44"/>
    <col width="8" customWidth="1" min="45" max="45"/>
    <col width="9" customWidth="1" min="46" max="46"/>
    <col width="10" customWidth="1" min="47" max="47"/>
    <col width="10" customWidth="1" min="48" max="48"/>
    <col width="8" customWidth="1" min="49" max="49"/>
    <col width="8" customWidth="1" min="50" max="50"/>
    <col width="10" customWidth="1" min="51" max="51"/>
    <col width="16" customWidth="1" min="52" max="52"/>
  </cols>
  <sheetData>
    <row r="1" ht="20" customHeight="1">
      <c r="A1" s="1" t="inlineStr">
        <is>
          <t>排期 · 投前确认</t>
        </is>
      </c>
      <c r="N1" s="2" t="inlineStr">
        <is>
          <t>投后 · 基础</t>
        </is>
      </c>
      <c r="V1" s="3" t="inlineStr">
        <is>
          <t>数据追踪 T+3</t>
        </is>
      </c>
      <c r="AC1" s="4" t="inlineStr">
        <is>
          <t>数据追踪 T+7</t>
        </is>
      </c>
      <c r="AJ1" s="5" t="inlineStr">
        <is>
          <t>数据追踪 T+15</t>
        </is>
      </c>
      <c r="AQ1" s="6" t="inlineStr">
        <is>
          <t>效率指标（自动）</t>
        </is>
      </c>
      <c r="AV1" s="7" t="inlineStr">
        <is>
          <t>结算 · 转化</t>
        </is>
      </c>
    </row>
    <row r="2" ht="30" customHeight="1">
      <c r="A2" s="8" t="inlineStr">
        <is>
          <t>序号</t>
        </is>
      </c>
      <c r="B2" s="8" t="inlineStr">
        <is>
          <t>状态</t>
        </is>
      </c>
      <c r="C2" s="8" t="inlineStr">
        <is>
          <t>计划发布日</t>
        </is>
      </c>
      <c r="D2" s="8" t="inlineStr">
        <is>
          <t>达人名称</t>
        </is>
      </c>
      <c r="E2" s="8" t="inlineStr">
        <is>
          <t>达人主页链接</t>
        </is>
      </c>
      <c r="F2" s="8" t="inlineStr">
        <is>
          <t>合作社/MCN</t>
        </is>
      </c>
      <c r="G2" s="8" t="inlineStr">
        <is>
          <t>达人层级</t>
        </is>
      </c>
      <c r="H2" s="8" t="inlineStr">
        <is>
          <t>内部对接人</t>
        </is>
      </c>
      <c r="I2" s="8" t="inlineStr">
        <is>
          <t>投放产品</t>
        </is>
      </c>
      <c r="J2" s="8" t="inlineStr">
        <is>
          <t>脚本/初稿链接</t>
        </is>
      </c>
      <c r="K2" s="8" t="inlineStr">
        <is>
          <t>合规审核</t>
        </is>
      </c>
      <c r="L2" s="8" t="inlineStr">
        <is>
          <t>审核人</t>
        </is>
      </c>
      <c r="M2" s="8" t="inlineStr">
        <is>
          <t>确认可投</t>
        </is>
      </c>
      <c r="N2" s="9" t="inlineStr">
        <is>
          <t>实际发布日</t>
        </is>
      </c>
      <c r="O2" s="9" t="inlineStr">
        <is>
          <t>发布月</t>
        </is>
      </c>
      <c r="P2" s="9" t="inlineStr">
        <is>
          <t>笔记标题</t>
        </is>
      </c>
      <c r="Q2" s="9" t="inlineStr">
        <is>
          <t>笔记链接</t>
        </is>
      </c>
      <c r="R2" s="9" t="inlineStr">
        <is>
          <t>图片数</t>
        </is>
      </c>
      <c r="S2" s="9" t="inlineStr">
        <is>
          <t>品牌词植入</t>
        </is>
      </c>
      <c r="T2" s="9" t="inlineStr">
        <is>
          <t>话题维护</t>
        </is>
      </c>
      <c r="U2" s="9" t="inlineStr">
        <is>
          <t>主话题词</t>
        </is>
      </c>
      <c r="V2" s="10" t="inlineStr">
        <is>
          <t>T+3采集日</t>
        </is>
      </c>
      <c r="W2" s="10" t="inlineStr">
        <is>
          <t>曝光</t>
        </is>
      </c>
      <c r="X2" s="10" t="inlineStr">
        <is>
          <t>点赞</t>
        </is>
      </c>
      <c r="Y2" s="10" t="inlineStr">
        <is>
          <t>收藏</t>
        </is>
      </c>
      <c r="Z2" s="10" t="inlineStr">
        <is>
          <t>评论</t>
        </is>
      </c>
      <c r="AA2" s="10" t="inlineStr">
        <is>
          <t>分享</t>
        </is>
      </c>
      <c r="AB2" s="10" t="inlineStr">
        <is>
          <t>证据截图</t>
        </is>
      </c>
      <c r="AC2" s="10" t="inlineStr">
        <is>
          <t>T+7采集日</t>
        </is>
      </c>
      <c r="AD2" s="10" t="inlineStr">
        <is>
          <t>曝光</t>
        </is>
      </c>
      <c r="AE2" s="10" t="inlineStr">
        <is>
          <t>点赞</t>
        </is>
      </c>
      <c r="AF2" s="10" t="inlineStr">
        <is>
          <t>收藏</t>
        </is>
      </c>
      <c r="AG2" s="10" t="inlineStr">
        <is>
          <t>评论</t>
        </is>
      </c>
      <c r="AH2" s="10" t="inlineStr">
        <is>
          <t>分享</t>
        </is>
      </c>
      <c r="AI2" s="10" t="inlineStr">
        <is>
          <t>证据截图</t>
        </is>
      </c>
      <c r="AJ2" s="11" t="inlineStr">
        <is>
          <t>T+15采集日</t>
        </is>
      </c>
      <c r="AK2" s="11" t="inlineStr">
        <is>
          <t>曝光</t>
        </is>
      </c>
      <c r="AL2" s="11" t="inlineStr">
        <is>
          <t>点赞</t>
        </is>
      </c>
      <c r="AM2" s="11" t="inlineStr">
        <is>
          <t>收藏</t>
        </is>
      </c>
      <c r="AN2" s="11" t="inlineStr">
        <is>
          <t>评论</t>
        </is>
      </c>
      <c r="AO2" s="11" t="inlineStr">
        <is>
          <t>分享</t>
        </is>
      </c>
      <c r="AP2" s="11" t="inlineStr">
        <is>
          <t>证据截图</t>
        </is>
      </c>
      <c r="AQ2" s="12" t="inlineStr">
        <is>
          <t>最终互动量</t>
        </is>
      </c>
      <c r="AR2" s="12" t="inlineStr">
        <is>
          <t>互动率</t>
        </is>
      </c>
      <c r="AS2" s="12" t="inlineStr">
        <is>
          <t>收藏率</t>
        </is>
      </c>
      <c r="AT2" s="12" t="inlineStr">
        <is>
          <t>CPE互动成本</t>
        </is>
      </c>
      <c r="AU2" s="12" t="inlineStr">
        <is>
          <t>CPM千次曝光</t>
        </is>
      </c>
      <c r="AV2" s="13" t="inlineStr">
        <is>
          <t>笔记费用(元)</t>
        </is>
      </c>
      <c r="AW2" s="13" t="inlineStr">
        <is>
          <t>笔直合作</t>
        </is>
      </c>
      <c r="AX2" s="13" t="inlineStr">
        <is>
          <t>结算状态</t>
        </is>
      </c>
      <c r="AY2" s="13" t="inlineStr">
        <is>
          <t>成交转化15天</t>
        </is>
      </c>
      <c r="AZ2" s="13" t="inlineStr">
        <is>
          <t>备注memo</t>
        </is>
      </c>
    </row>
    <row r="3">
      <c r="A3" s="14" t="n">
        <v>1</v>
      </c>
      <c r="B3" s="15" t="n"/>
      <c r="C3" s="15" t="n"/>
      <c r="D3" s="16" t="n"/>
      <c r="E3" s="16" t="n"/>
      <c r="F3" s="16" t="n"/>
      <c r="G3" s="15" t="n"/>
      <c r="H3" s="15" t="n"/>
      <c r="I3" s="16" t="n"/>
      <c r="J3" s="16" t="n"/>
      <c r="K3" s="15" t="n"/>
      <c r="L3" s="15" t="n"/>
      <c r="M3" s="15" t="n"/>
      <c r="N3" s="15" t="n"/>
      <c r="O3" s="17">
        <f>IF(N3="","",TEXT(N3,"YYYY-MM"))</f>
        <v/>
      </c>
      <c r="P3" s="16" t="n"/>
      <c r="Q3" s="16" t="n"/>
      <c r="R3" s="15" t="n"/>
      <c r="S3" s="15" t="n"/>
      <c r="T3" s="15" t="n"/>
      <c r="U3" s="16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7">
        <f>IF(AK3="","",AL3+AM3+AN3+AO3)</f>
        <v/>
      </c>
      <c r="AR3" s="18">
        <f>IF(OR(AK3="",AK3=0),"",AQ3/AK3)</f>
        <v/>
      </c>
      <c r="AS3" s="18">
        <f>IF(OR(AK3="",AK3=0),"",AM3/AK3)</f>
        <v/>
      </c>
      <c r="AT3" s="19">
        <f>IF(OR(AV3="",AQ3="",AQ3=0),"",AV3/AQ3)</f>
        <v/>
      </c>
      <c r="AU3" s="19">
        <f>IF(OR(AV3="",AK3="",AK3=0),"",AV3/AK3*1000)</f>
        <v/>
      </c>
      <c r="AV3" s="20" t="n"/>
      <c r="AW3" s="15" t="n"/>
      <c r="AX3" s="15" t="n"/>
      <c r="AY3" s="15" t="n"/>
      <c r="AZ3" s="16" t="n"/>
    </row>
    <row r="4">
      <c r="A4" s="14" t="n">
        <v>2</v>
      </c>
      <c r="B4" s="15" t="n"/>
      <c r="C4" s="15" t="n"/>
      <c r="D4" s="16" t="n"/>
      <c r="E4" s="16" t="n"/>
      <c r="F4" s="16" t="n"/>
      <c r="G4" s="15" t="n"/>
      <c r="H4" s="15" t="n"/>
      <c r="I4" s="16" t="n"/>
      <c r="J4" s="16" t="n"/>
      <c r="K4" s="15" t="n"/>
      <c r="L4" s="15" t="n"/>
      <c r="M4" s="15" t="n"/>
      <c r="N4" s="15" t="n"/>
      <c r="O4" s="17">
        <f>IF(N4="","",TEXT(N4,"YYYY-MM"))</f>
        <v/>
      </c>
      <c r="P4" s="16" t="n"/>
      <c r="Q4" s="16" t="n"/>
      <c r="R4" s="15" t="n"/>
      <c r="S4" s="15" t="n"/>
      <c r="T4" s="15" t="n"/>
      <c r="U4" s="16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7">
        <f>IF(AK4="","",AL4+AM4+AN4+AO4)</f>
        <v/>
      </c>
      <c r="AR4" s="18">
        <f>IF(OR(AK4="",AK4=0),"",AQ4/AK4)</f>
        <v/>
      </c>
      <c r="AS4" s="18">
        <f>IF(OR(AK4="",AK4=0),"",AM4/AK4)</f>
        <v/>
      </c>
      <c r="AT4" s="19">
        <f>IF(OR(AV4="",AQ4="",AQ4=0),"",AV4/AQ4)</f>
        <v/>
      </c>
      <c r="AU4" s="19">
        <f>IF(OR(AV4="",AK4="",AK4=0),"",AV4/AK4*1000)</f>
        <v/>
      </c>
      <c r="AV4" s="20" t="n"/>
      <c r="AW4" s="15" t="n"/>
      <c r="AX4" s="15" t="n"/>
      <c r="AY4" s="15" t="n"/>
      <c r="AZ4" s="16" t="n"/>
    </row>
    <row r="5">
      <c r="A5" s="14" t="n">
        <v>3</v>
      </c>
      <c r="B5" s="15" t="n"/>
      <c r="C5" s="15" t="n"/>
      <c r="D5" s="16" t="n"/>
      <c r="E5" s="16" t="n"/>
      <c r="F5" s="16" t="n"/>
      <c r="G5" s="15" t="n"/>
      <c r="H5" s="15" t="n"/>
      <c r="I5" s="16" t="n"/>
      <c r="J5" s="16" t="n"/>
      <c r="K5" s="15" t="n"/>
      <c r="L5" s="15" t="n"/>
      <c r="M5" s="15" t="n"/>
      <c r="N5" s="15" t="n"/>
      <c r="O5" s="17">
        <f>IF(N5="","",TEXT(N5,"YYYY-MM"))</f>
        <v/>
      </c>
      <c r="P5" s="16" t="n"/>
      <c r="Q5" s="16" t="n"/>
      <c r="R5" s="15" t="n"/>
      <c r="S5" s="15" t="n"/>
      <c r="T5" s="15" t="n"/>
      <c r="U5" s="16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7">
        <f>IF(AK5="","",AL5+AM5+AN5+AO5)</f>
        <v/>
      </c>
      <c r="AR5" s="18">
        <f>IF(OR(AK5="",AK5=0),"",AQ5/AK5)</f>
        <v/>
      </c>
      <c r="AS5" s="18">
        <f>IF(OR(AK5="",AK5=0),"",AM5/AK5)</f>
        <v/>
      </c>
      <c r="AT5" s="19">
        <f>IF(OR(AV5="",AQ5="",AQ5=0),"",AV5/AQ5)</f>
        <v/>
      </c>
      <c r="AU5" s="19">
        <f>IF(OR(AV5="",AK5="",AK5=0),"",AV5/AK5*1000)</f>
        <v/>
      </c>
      <c r="AV5" s="20" t="n"/>
      <c r="AW5" s="15" t="n"/>
      <c r="AX5" s="15" t="n"/>
      <c r="AY5" s="15" t="n"/>
      <c r="AZ5" s="16" t="n"/>
    </row>
    <row r="6">
      <c r="A6" s="14" t="n">
        <v>4</v>
      </c>
      <c r="B6" s="15" t="n"/>
      <c r="C6" s="15" t="n"/>
      <c r="D6" s="16" t="n"/>
      <c r="E6" s="16" t="n"/>
      <c r="F6" s="16" t="n"/>
      <c r="G6" s="15" t="n"/>
      <c r="H6" s="15" t="n"/>
      <c r="I6" s="16" t="n"/>
      <c r="J6" s="16" t="n"/>
      <c r="K6" s="15" t="n"/>
      <c r="L6" s="15" t="n"/>
      <c r="M6" s="15" t="n"/>
      <c r="N6" s="15" t="n"/>
      <c r="O6" s="17">
        <f>IF(N6="","",TEXT(N6,"YYYY-MM"))</f>
        <v/>
      </c>
      <c r="P6" s="16" t="n"/>
      <c r="Q6" s="16" t="n"/>
      <c r="R6" s="15" t="n"/>
      <c r="S6" s="15" t="n"/>
      <c r="T6" s="15" t="n"/>
      <c r="U6" s="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7">
        <f>IF(AK6="","",AL6+AM6+AN6+AO6)</f>
        <v/>
      </c>
      <c r="AR6" s="18">
        <f>IF(OR(AK6="",AK6=0),"",AQ6/AK6)</f>
        <v/>
      </c>
      <c r="AS6" s="18">
        <f>IF(OR(AK6="",AK6=0),"",AM6/AK6)</f>
        <v/>
      </c>
      <c r="AT6" s="19">
        <f>IF(OR(AV6="",AQ6="",AQ6=0),"",AV6/AQ6)</f>
        <v/>
      </c>
      <c r="AU6" s="19">
        <f>IF(OR(AV6="",AK6="",AK6=0),"",AV6/AK6*1000)</f>
        <v/>
      </c>
      <c r="AV6" s="20" t="n"/>
      <c r="AW6" s="15" t="n"/>
      <c r="AX6" s="15" t="n"/>
      <c r="AY6" s="15" t="n"/>
      <c r="AZ6" s="16" t="n"/>
    </row>
    <row r="7">
      <c r="A7" s="14" t="n">
        <v>5</v>
      </c>
      <c r="B7" s="15" t="n"/>
      <c r="C7" s="15" t="n"/>
      <c r="D7" s="16" t="n"/>
      <c r="E7" s="16" t="n"/>
      <c r="F7" s="16" t="n"/>
      <c r="G7" s="15" t="n"/>
      <c r="H7" s="15" t="n"/>
      <c r="I7" s="16" t="n"/>
      <c r="J7" s="16" t="n"/>
      <c r="K7" s="15" t="n"/>
      <c r="L7" s="15" t="n"/>
      <c r="M7" s="15" t="n"/>
      <c r="N7" s="15" t="n"/>
      <c r="O7" s="17">
        <f>IF(N7="","",TEXT(N7,"YYYY-MM"))</f>
        <v/>
      </c>
      <c r="P7" s="16" t="n"/>
      <c r="Q7" s="16" t="n"/>
      <c r="R7" s="15" t="n"/>
      <c r="S7" s="15" t="n"/>
      <c r="T7" s="15" t="n"/>
      <c r="U7" s="16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7">
        <f>IF(AK7="","",AL7+AM7+AN7+AO7)</f>
        <v/>
      </c>
      <c r="AR7" s="18">
        <f>IF(OR(AK7="",AK7=0),"",AQ7/AK7)</f>
        <v/>
      </c>
      <c r="AS7" s="18">
        <f>IF(OR(AK7="",AK7=0),"",AM7/AK7)</f>
        <v/>
      </c>
      <c r="AT7" s="19">
        <f>IF(OR(AV7="",AQ7="",AQ7=0),"",AV7/AQ7)</f>
        <v/>
      </c>
      <c r="AU7" s="19">
        <f>IF(OR(AV7="",AK7="",AK7=0),"",AV7/AK7*1000)</f>
        <v/>
      </c>
      <c r="AV7" s="20" t="n"/>
      <c r="AW7" s="15" t="n"/>
      <c r="AX7" s="15" t="n"/>
      <c r="AY7" s="15" t="n"/>
      <c r="AZ7" s="16" t="n"/>
    </row>
    <row r="8">
      <c r="A8" s="14" t="n">
        <v>6</v>
      </c>
      <c r="B8" s="15" t="n"/>
      <c r="C8" s="15" t="n"/>
      <c r="D8" s="16" t="n"/>
      <c r="E8" s="16" t="n"/>
      <c r="F8" s="16" t="n"/>
      <c r="G8" s="15" t="n"/>
      <c r="H8" s="15" t="n"/>
      <c r="I8" s="16" t="n"/>
      <c r="J8" s="16" t="n"/>
      <c r="K8" s="15" t="n"/>
      <c r="L8" s="15" t="n"/>
      <c r="M8" s="15" t="n"/>
      <c r="N8" s="15" t="n"/>
      <c r="O8" s="17">
        <f>IF(N8="","",TEXT(N8,"YYYY-MM"))</f>
        <v/>
      </c>
      <c r="P8" s="16" t="n"/>
      <c r="Q8" s="16" t="n"/>
      <c r="R8" s="15" t="n"/>
      <c r="S8" s="15" t="n"/>
      <c r="T8" s="15" t="n"/>
      <c r="U8" s="16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7">
        <f>IF(AK8="","",AL8+AM8+AN8+AO8)</f>
        <v/>
      </c>
      <c r="AR8" s="18">
        <f>IF(OR(AK8="",AK8=0),"",AQ8/AK8)</f>
        <v/>
      </c>
      <c r="AS8" s="18">
        <f>IF(OR(AK8="",AK8=0),"",AM8/AK8)</f>
        <v/>
      </c>
      <c r="AT8" s="19">
        <f>IF(OR(AV8="",AQ8="",AQ8=0),"",AV8/AQ8)</f>
        <v/>
      </c>
      <c r="AU8" s="19">
        <f>IF(OR(AV8="",AK8="",AK8=0),"",AV8/AK8*1000)</f>
        <v/>
      </c>
      <c r="AV8" s="20" t="n"/>
      <c r="AW8" s="15" t="n"/>
      <c r="AX8" s="15" t="n"/>
      <c r="AY8" s="15" t="n"/>
      <c r="AZ8" s="16" t="n"/>
    </row>
    <row r="9">
      <c r="A9" s="14" t="n">
        <v>7</v>
      </c>
      <c r="B9" s="15" t="n"/>
      <c r="C9" s="15" t="n"/>
      <c r="D9" s="16" t="n"/>
      <c r="E9" s="16" t="n"/>
      <c r="F9" s="16" t="n"/>
      <c r="G9" s="15" t="n"/>
      <c r="H9" s="15" t="n"/>
      <c r="I9" s="16" t="n"/>
      <c r="J9" s="16" t="n"/>
      <c r="K9" s="15" t="n"/>
      <c r="L9" s="15" t="n"/>
      <c r="M9" s="15" t="n"/>
      <c r="N9" s="15" t="n"/>
      <c r="O9" s="17">
        <f>IF(N9="","",TEXT(N9,"YYYY-MM"))</f>
        <v/>
      </c>
      <c r="P9" s="16" t="n"/>
      <c r="Q9" s="16" t="n"/>
      <c r="R9" s="15" t="n"/>
      <c r="S9" s="15" t="n"/>
      <c r="T9" s="15" t="n"/>
      <c r="U9" s="16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7">
        <f>IF(AK9="","",AL9+AM9+AN9+AO9)</f>
        <v/>
      </c>
      <c r="AR9" s="18">
        <f>IF(OR(AK9="",AK9=0),"",AQ9/AK9)</f>
        <v/>
      </c>
      <c r="AS9" s="18">
        <f>IF(OR(AK9="",AK9=0),"",AM9/AK9)</f>
        <v/>
      </c>
      <c r="AT9" s="19">
        <f>IF(OR(AV9="",AQ9="",AQ9=0),"",AV9/AQ9)</f>
        <v/>
      </c>
      <c r="AU9" s="19">
        <f>IF(OR(AV9="",AK9="",AK9=0),"",AV9/AK9*1000)</f>
        <v/>
      </c>
      <c r="AV9" s="20" t="n"/>
      <c r="AW9" s="15" t="n"/>
      <c r="AX9" s="15" t="n"/>
      <c r="AY9" s="15" t="n"/>
      <c r="AZ9" s="16" t="n"/>
    </row>
    <row r="10">
      <c r="A10" s="14" t="n">
        <v>8</v>
      </c>
      <c r="B10" s="15" t="n"/>
      <c r="C10" s="15" t="n"/>
      <c r="D10" s="16" t="n"/>
      <c r="E10" s="16" t="n"/>
      <c r="F10" s="16" t="n"/>
      <c r="G10" s="15" t="n"/>
      <c r="H10" s="15" t="n"/>
      <c r="I10" s="16" t="n"/>
      <c r="J10" s="16" t="n"/>
      <c r="K10" s="15" t="n"/>
      <c r="L10" s="15" t="n"/>
      <c r="M10" s="15" t="n"/>
      <c r="N10" s="15" t="n"/>
      <c r="O10" s="17">
        <f>IF(N10="","",TEXT(N10,"YYYY-MM"))</f>
        <v/>
      </c>
      <c r="P10" s="16" t="n"/>
      <c r="Q10" s="16" t="n"/>
      <c r="R10" s="15" t="n"/>
      <c r="S10" s="15" t="n"/>
      <c r="T10" s="15" t="n"/>
      <c r="U10" s="16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7">
        <f>IF(AK10="","",AL10+AM10+AN10+AO10)</f>
        <v/>
      </c>
      <c r="AR10" s="18">
        <f>IF(OR(AK10="",AK10=0),"",AQ10/AK10)</f>
        <v/>
      </c>
      <c r="AS10" s="18">
        <f>IF(OR(AK10="",AK10=0),"",AM10/AK10)</f>
        <v/>
      </c>
      <c r="AT10" s="19">
        <f>IF(OR(AV10="",AQ10="",AQ10=0),"",AV10/AQ10)</f>
        <v/>
      </c>
      <c r="AU10" s="19">
        <f>IF(OR(AV10="",AK10="",AK10=0),"",AV10/AK10*1000)</f>
        <v/>
      </c>
      <c r="AV10" s="20" t="n"/>
      <c r="AW10" s="15" t="n"/>
      <c r="AX10" s="15" t="n"/>
      <c r="AY10" s="15" t="n"/>
      <c r="AZ10" s="16" t="n"/>
    </row>
    <row r="11">
      <c r="A11" s="14" t="n">
        <v>9</v>
      </c>
      <c r="B11" s="15" t="n"/>
      <c r="C11" s="15" t="n"/>
      <c r="D11" s="16" t="n"/>
      <c r="E11" s="16" t="n"/>
      <c r="F11" s="16" t="n"/>
      <c r="G11" s="15" t="n"/>
      <c r="H11" s="15" t="n"/>
      <c r="I11" s="16" t="n"/>
      <c r="J11" s="16" t="n"/>
      <c r="K11" s="15" t="n"/>
      <c r="L11" s="15" t="n"/>
      <c r="M11" s="15" t="n"/>
      <c r="N11" s="15" t="n"/>
      <c r="O11" s="17">
        <f>IF(N11="","",TEXT(N11,"YYYY-MM"))</f>
        <v/>
      </c>
      <c r="P11" s="16" t="n"/>
      <c r="Q11" s="16" t="n"/>
      <c r="R11" s="15" t="n"/>
      <c r="S11" s="15" t="n"/>
      <c r="T11" s="15" t="n"/>
      <c r="U11" s="16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7">
        <f>IF(AK11="","",AL11+AM11+AN11+AO11)</f>
        <v/>
      </c>
      <c r="AR11" s="18">
        <f>IF(OR(AK11="",AK11=0),"",AQ11/AK11)</f>
        <v/>
      </c>
      <c r="AS11" s="18">
        <f>IF(OR(AK11="",AK11=0),"",AM11/AK11)</f>
        <v/>
      </c>
      <c r="AT11" s="19">
        <f>IF(OR(AV11="",AQ11="",AQ11=0),"",AV11/AQ11)</f>
        <v/>
      </c>
      <c r="AU11" s="19">
        <f>IF(OR(AV11="",AK11="",AK11=0),"",AV11/AK11*1000)</f>
        <v/>
      </c>
      <c r="AV11" s="20" t="n"/>
      <c r="AW11" s="15" t="n"/>
      <c r="AX11" s="15" t="n"/>
      <c r="AY11" s="15" t="n"/>
      <c r="AZ11" s="16" t="n"/>
    </row>
    <row r="12">
      <c r="A12" s="14" t="n">
        <v>10</v>
      </c>
      <c r="B12" s="15" t="n"/>
      <c r="C12" s="15" t="n"/>
      <c r="D12" s="16" t="n"/>
      <c r="E12" s="16" t="n"/>
      <c r="F12" s="16" t="n"/>
      <c r="G12" s="15" t="n"/>
      <c r="H12" s="15" t="n"/>
      <c r="I12" s="16" t="n"/>
      <c r="J12" s="16" t="n"/>
      <c r="K12" s="15" t="n"/>
      <c r="L12" s="15" t="n"/>
      <c r="M12" s="15" t="n"/>
      <c r="N12" s="15" t="n"/>
      <c r="O12" s="17">
        <f>IF(N12="","",TEXT(N12,"YYYY-MM"))</f>
        <v/>
      </c>
      <c r="P12" s="16" t="n"/>
      <c r="Q12" s="16" t="n"/>
      <c r="R12" s="15" t="n"/>
      <c r="S12" s="15" t="n"/>
      <c r="T12" s="15" t="n"/>
      <c r="U12" s="16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7">
        <f>IF(AK12="","",AL12+AM12+AN12+AO12)</f>
        <v/>
      </c>
      <c r="AR12" s="18">
        <f>IF(OR(AK12="",AK12=0),"",AQ12/AK12)</f>
        <v/>
      </c>
      <c r="AS12" s="18">
        <f>IF(OR(AK12="",AK12=0),"",AM12/AK12)</f>
        <v/>
      </c>
      <c r="AT12" s="19">
        <f>IF(OR(AV12="",AQ12="",AQ12=0),"",AV12/AQ12)</f>
        <v/>
      </c>
      <c r="AU12" s="19">
        <f>IF(OR(AV12="",AK12="",AK12=0),"",AV12/AK12*1000)</f>
        <v/>
      </c>
      <c r="AV12" s="20" t="n"/>
      <c r="AW12" s="15" t="n"/>
      <c r="AX12" s="15" t="n"/>
      <c r="AY12" s="15" t="n"/>
      <c r="AZ12" s="16" t="n"/>
    </row>
    <row r="13">
      <c r="A13" s="14" t="n">
        <v>11</v>
      </c>
      <c r="B13" s="15" t="n"/>
      <c r="C13" s="15" t="n"/>
      <c r="D13" s="16" t="n"/>
      <c r="E13" s="16" t="n"/>
      <c r="F13" s="16" t="n"/>
      <c r="G13" s="15" t="n"/>
      <c r="H13" s="15" t="n"/>
      <c r="I13" s="16" t="n"/>
      <c r="J13" s="16" t="n"/>
      <c r="K13" s="15" t="n"/>
      <c r="L13" s="15" t="n"/>
      <c r="M13" s="15" t="n"/>
      <c r="N13" s="15" t="n"/>
      <c r="O13" s="17">
        <f>IF(N13="","",TEXT(N13,"YYYY-MM"))</f>
        <v/>
      </c>
      <c r="P13" s="16" t="n"/>
      <c r="Q13" s="16" t="n"/>
      <c r="R13" s="15" t="n"/>
      <c r="S13" s="15" t="n"/>
      <c r="T13" s="15" t="n"/>
      <c r="U13" s="16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7">
        <f>IF(AK13="","",AL13+AM13+AN13+AO13)</f>
        <v/>
      </c>
      <c r="AR13" s="18">
        <f>IF(OR(AK13="",AK13=0),"",AQ13/AK13)</f>
        <v/>
      </c>
      <c r="AS13" s="18">
        <f>IF(OR(AK13="",AK13=0),"",AM13/AK13)</f>
        <v/>
      </c>
      <c r="AT13" s="19">
        <f>IF(OR(AV13="",AQ13="",AQ13=0),"",AV13/AQ13)</f>
        <v/>
      </c>
      <c r="AU13" s="19">
        <f>IF(OR(AV13="",AK13="",AK13=0),"",AV13/AK13*1000)</f>
        <v/>
      </c>
      <c r="AV13" s="20" t="n"/>
      <c r="AW13" s="15" t="n"/>
      <c r="AX13" s="15" t="n"/>
      <c r="AY13" s="15" t="n"/>
      <c r="AZ13" s="16" t="n"/>
    </row>
    <row r="14">
      <c r="A14" s="14" t="n">
        <v>12</v>
      </c>
      <c r="B14" s="15" t="n"/>
      <c r="C14" s="15" t="n"/>
      <c r="D14" s="16" t="n"/>
      <c r="E14" s="16" t="n"/>
      <c r="F14" s="16" t="n"/>
      <c r="G14" s="15" t="n"/>
      <c r="H14" s="15" t="n"/>
      <c r="I14" s="16" t="n"/>
      <c r="J14" s="16" t="n"/>
      <c r="K14" s="15" t="n"/>
      <c r="L14" s="15" t="n"/>
      <c r="M14" s="15" t="n"/>
      <c r="N14" s="15" t="n"/>
      <c r="O14" s="17">
        <f>IF(N14="","",TEXT(N14,"YYYY-MM"))</f>
        <v/>
      </c>
      <c r="P14" s="16" t="n"/>
      <c r="Q14" s="16" t="n"/>
      <c r="R14" s="15" t="n"/>
      <c r="S14" s="15" t="n"/>
      <c r="T14" s="15" t="n"/>
      <c r="U14" s="16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7">
        <f>IF(AK14="","",AL14+AM14+AN14+AO14)</f>
        <v/>
      </c>
      <c r="AR14" s="18">
        <f>IF(OR(AK14="",AK14=0),"",AQ14/AK14)</f>
        <v/>
      </c>
      <c r="AS14" s="18">
        <f>IF(OR(AK14="",AK14=0),"",AM14/AK14)</f>
        <v/>
      </c>
      <c r="AT14" s="19">
        <f>IF(OR(AV14="",AQ14="",AQ14=0),"",AV14/AQ14)</f>
        <v/>
      </c>
      <c r="AU14" s="19">
        <f>IF(OR(AV14="",AK14="",AK14=0),"",AV14/AK14*1000)</f>
        <v/>
      </c>
      <c r="AV14" s="20" t="n"/>
      <c r="AW14" s="15" t="n"/>
      <c r="AX14" s="15" t="n"/>
      <c r="AY14" s="15" t="n"/>
      <c r="AZ14" s="16" t="n"/>
    </row>
    <row r="15">
      <c r="A15" s="14" t="n">
        <v>13</v>
      </c>
      <c r="B15" s="15" t="n"/>
      <c r="C15" s="15" t="n"/>
      <c r="D15" s="16" t="n"/>
      <c r="E15" s="16" t="n"/>
      <c r="F15" s="16" t="n"/>
      <c r="G15" s="15" t="n"/>
      <c r="H15" s="15" t="n"/>
      <c r="I15" s="16" t="n"/>
      <c r="J15" s="16" t="n"/>
      <c r="K15" s="15" t="n"/>
      <c r="L15" s="15" t="n"/>
      <c r="M15" s="15" t="n"/>
      <c r="N15" s="15" t="n"/>
      <c r="O15" s="17">
        <f>IF(N15="","",TEXT(N15,"YYYY-MM"))</f>
        <v/>
      </c>
      <c r="P15" s="16" t="n"/>
      <c r="Q15" s="16" t="n"/>
      <c r="R15" s="15" t="n"/>
      <c r="S15" s="15" t="n"/>
      <c r="T15" s="15" t="n"/>
      <c r="U15" s="16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7">
        <f>IF(AK15="","",AL15+AM15+AN15+AO15)</f>
        <v/>
      </c>
      <c r="AR15" s="18">
        <f>IF(OR(AK15="",AK15=0),"",AQ15/AK15)</f>
        <v/>
      </c>
      <c r="AS15" s="18">
        <f>IF(OR(AK15="",AK15=0),"",AM15/AK15)</f>
        <v/>
      </c>
      <c r="AT15" s="19">
        <f>IF(OR(AV15="",AQ15="",AQ15=0),"",AV15/AQ15)</f>
        <v/>
      </c>
      <c r="AU15" s="19">
        <f>IF(OR(AV15="",AK15="",AK15=0),"",AV15/AK15*1000)</f>
        <v/>
      </c>
      <c r="AV15" s="20" t="n"/>
      <c r="AW15" s="15" t="n"/>
      <c r="AX15" s="15" t="n"/>
      <c r="AY15" s="15" t="n"/>
      <c r="AZ15" s="16" t="n"/>
    </row>
    <row r="16">
      <c r="A16" s="14" t="n">
        <v>14</v>
      </c>
      <c r="B16" s="15" t="n"/>
      <c r="C16" s="15" t="n"/>
      <c r="D16" s="16" t="n"/>
      <c r="E16" s="16" t="n"/>
      <c r="F16" s="16" t="n"/>
      <c r="G16" s="15" t="n"/>
      <c r="H16" s="15" t="n"/>
      <c r="I16" s="16" t="n"/>
      <c r="J16" s="16" t="n"/>
      <c r="K16" s="15" t="n"/>
      <c r="L16" s="15" t="n"/>
      <c r="M16" s="15" t="n"/>
      <c r="N16" s="15" t="n"/>
      <c r="O16" s="17">
        <f>IF(N16="","",TEXT(N16,"YYYY-MM"))</f>
        <v/>
      </c>
      <c r="P16" s="16" t="n"/>
      <c r="Q16" s="16" t="n"/>
      <c r="R16" s="15" t="n"/>
      <c r="S16" s="15" t="n"/>
      <c r="T16" s="15" t="n"/>
      <c r="U16" s="16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7">
        <f>IF(AK16="","",AL16+AM16+AN16+AO16)</f>
        <v/>
      </c>
      <c r="AR16" s="18">
        <f>IF(OR(AK16="",AK16=0),"",AQ16/AK16)</f>
        <v/>
      </c>
      <c r="AS16" s="18">
        <f>IF(OR(AK16="",AK16=0),"",AM16/AK16)</f>
        <v/>
      </c>
      <c r="AT16" s="19">
        <f>IF(OR(AV16="",AQ16="",AQ16=0),"",AV16/AQ16)</f>
        <v/>
      </c>
      <c r="AU16" s="19">
        <f>IF(OR(AV16="",AK16="",AK16=0),"",AV16/AK16*1000)</f>
        <v/>
      </c>
      <c r="AV16" s="20" t="n"/>
      <c r="AW16" s="15" t="n"/>
      <c r="AX16" s="15" t="n"/>
      <c r="AY16" s="15" t="n"/>
      <c r="AZ16" s="16" t="n"/>
    </row>
    <row r="17">
      <c r="A17" s="14" t="n">
        <v>15</v>
      </c>
      <c r="B17" s="15" t="n"/>
      <c r="C17" s="15" t="n"/>
      <c r="D17" s="16" t="n"/>
      <c r="E17" s="16" t="n"/>
      <c r="F17" s="16" t="n"/>
      <c r="G17" s="15" t="n"/>
      <c r="H17" s="15" t="n"/>
      <c r="I17" s="16" t="n"/>
      <c r="J17" s="16" t="n"/>
      <c r="K17" s="15" t="n"/>
      <c r="L17" s="15" t="n"/>
      <c r="M17" s="15" t="n"/>
      <c r="N17" s="15" t="n"/>
      <c r="O17" s="17">
        <f>IF(N17="","",TEXT(N17,"YYYY-MM"))</f>
        <v/>
      </c>
      <c r="P17" s="16" t="n"/>
      <c r="Q17" s="16" t="n"/>
      <c r="R17" s="15" t="n"/>
      <c r="S17" s="15" t="n"/>
      <c r="T17" s="15" t="n"/>
      <c r="U17" s="16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7">
        <f>IF(AK17="","",AL17+AM17+AN17+AO17)</f>
        <v/>
      </c>
      <c r="AR17" s="18">
        <f>IF(OR(AK17="",AK17=0),"",AQ17/AK17)</f>
        <v/>
      </c>
      <c r="AS17" s="18">
        <f>IF(OR(AK17="",AK17=0),"",AM17/AK17)</f>
        <v/>
      </c>
      <c r="AT17" s="19">
        <f>IF(OR(AV17="",AQ17="",AQ17=0),"",AV17/AQ17)</f>
        <v/>
      </c>
      <c r="AU17" s="19">
        <f>IF(OR(AV17="",AK17="",AK17=0),"",AV17/AK17*1000)</f>
        <v/>
      </c>
      <c r="AV17" s="20" t="n"/>
      <c r="AW17" s="15" t="n"/>
      <c r="AX17" s="15" t="n"/>
      <c r="AY17" s="15" t="n"/>
      <c r="AZ17" s="16" t="n"/>
    </row>
    <row r="18">
      <c r="A18" s="14" t="n">
        <v>16</v>
      </c>
      <c r="B18" s="15" t="n"/>
      <c r="C18" s="15" t="n"/>
      <c r="D18" s="16" t="n"/>
      <c r="E18" s="16" t="n"/>
      <c r="F18" s="16" t="n"/>
      <c r="G18" s="15" t="n"/>
      <c r="H18" s="15" t="n"/>
      <c r="I18" s="16" t="n"/>
      <c r="J18" s="16" t="n"/>
      <c r="K18" s="15" t="n"/>
      <c r="L18" s="15" t="n"/>
      <c r="M18" s="15" t="n"/>
      <c r="N18" s="15" t="n"/>
      <c r="O18" s="17">
        <f>IF(N18="","",TEXT(N18,"YYYY-MM"))</f>
        <v/>
      </c>
      <c r="P18" s="16" t="n"/>
      <c r="Q18" s="16" t="n"/>
      <c r="R18" s="15" t="n"/>
      <c r="S18" s="15" t="n"/>
      <c r="T18" s="15" t="n"/>
      <c r="U18" s="16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7">
        <f>IF(AK18="","",AL18+AM18+AN18+AO18)</f>
        <v/>
      </c>
      <c r="AR18" s="18">
        <f>IF(OR(AK18="",AK18=0),"",AQ18/AK18)</f>
        <v/>
      </c>
      <c r="AS18" s="18">
        <f>IF(OR(AK18="",AK18=0),"",AM18/AK18)</f>
        <v/>
      </c>
      <c r="AT18" s="19">
        <f>IF(OR(AV18="",AQ18="",AQ18=0),"",AV18/AQ18)</f>
        <v/>
      </c>
      <c r="AU18" s="19">
        <f>IF(OR(AV18="",AK18="",AK18=0),"",AV18/AK18*1000)</f>
        <v/>
      </c>
      <c r="AV18" s="20" t="n"/>
      <c r="AW18" s="15" t="n"/>
      <c r="AX18" s="15" t="n"/>
      <c r="AY18" s="15" t="n"/>
      <c r="AZ18" s="16" t="n"/>
    </row>
    <row r="19">
      <c r="A19" s="14" t="n">
        <v>17</v>
      </c>
      <c r="B19" s="15" t="n"/>
      <c r="C19" s="15" t="n"/>
      <c r="D19" s="16" t="n"/>
      <c r="E19" s="16" t="n"/>
      <c r="F19" s="16" t="n"/>
      <c r="G19" s="15" t="n"/>
      <c r="H19" s="15" t="n"/>
      <c r="I19" s="16" t="n"/>
      <c r="J19" s="16" t="n"/>
      <c r="K19" s="15" t="n"/>
      <c r="L19" s="15" t="n"/>
      <c r="M19" s="15" t="n"/>
      <c r="N19" s="15" t="n"/>
      <c r="O19" s="17">
        <f>IF(N19="","",TEXT(N19,"YYYY-MM"))</f>
        <v/>
      </c>
      <c r="P19" s="16" t="n"/>
      <c r="Q19" s="16" t="n"/>
      <c r="R19" s="15" t="n"/>
      <c r="S19" s="15" t="n"/>
      <c r="T19" s="15" t="n"/>
      <c r="U19" s="16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7">
        <f>IF(AK19="","",AL19+AM19+AN19+AO19)</f>
        <v/>
      </c>
      <c r="AR19" s="18">
        <f>IF(OR(AK19="",AK19=0),"",AQ19/AK19)</f>
        <v/>
      </c>
      <c r="AS19" s="18">
        <f>IF(OR(AK19="",AK19=0),"",AM19/AK19)</f>
        <v/>
      </c>
      <c r="AT19" s="19">
        <f>IF(OR(AV19="",AQ19="",AQ19=0),"",AV19/AQ19)</f>
        <v/>
      </c>
      <c r="AU19" s="19">
        <f>IF(OR(AV19="",AK19="",AK19=0),"",AV19/AK19*1000)</f>
        <v/>
      </c>
      <c r="AV19" s="20" t="n"/>
      <c r="AW19" s="15" t="n"/>
      <c r="AX19" s="15" t="n"/>
      <c r="AY19" s="15" t="n"/>
      <c r="AZ19" s="16" t="n"/>
    </row>
    <row r="20">
      <c r="A20" s="14" t="n">
        <v>18</v>
      </c>
      <c r="B20" s="15" t="n"/>
      <c r="C20" s="15" t="n"/>
      <c r="D20" s="16" t="n"/>
      <c r="E20" s="16" t="n"/>
      <c r="F20" s="16" t="n"/>
      <c r="G20" s="15" t="n"/>
      <c r="H20" s="15" t="n"/>
      <c r="I20" s="16" t="n"/>
      <c r="J20" s="16" t="n"/>
      <c r="K20" s="15" t="n"/>
      <c r="L20" s="15" t="n"/>
      <c r="M20" s="15" t="n"/>
      <c r="N20" s="15" t="n"/>
      <c r="O20" s="17">
        <f>IF(N20="","",TEXT(N20,"YYYY-MM"))</f>
        <v/>
      </c>
      <c r="P20" s="16" t="n"/>
      <c r="Q20" s="16" t="n"/>
      <c r="R20" s="15" t="n"/>
      <c r="S20" s="15" t="n"/>
      <c r="T20" s="15" t="n"/>
      <c r="U20" s="16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7">
        <f>IF(AK20="","",AL20+AM20+AN20+AO20)</f>
        <v/>
      </c>
      <c r="AR20" s="18">
        <f>IF(OR(AK20="",AK20=0),"",AQ20/AK20)</f>
        <v/>
      </c>
      <c r="AS20" s="18">
        <f>IF(OR(AK20="",AK20=0),"",AM20/AK20)</f>
        <v/>
      </c>
      <c r="AT20" s="19">
        <f>IF(OR(AV20="",AQ20="",AQ20=0),"",AV20/AQ20)</f>
        <v/>
      </c>
      <c r="AU20" s="19">
        <f>IF(OR(AV20="",AK20="",AK20=0),"",AV20/AK20*1000)</f>
        <v/>
      </c>
      <c r="AV20" s="20" t="n"/>
      <c r="AW20" s="15" t="n"/>
      <c r="AX20" s="15" t="n"/>
      <c r="AY20" s="15" t="n"/>
      <c r="AZ20" s="16" t="n"/>
    </row>
    <row r="21">
      <c r="A21" s="14" t="n">
        <v>19</v>
      </c>
      <c r="B21" s="15" t="n"/>
      <c r="C21" s="15" t="n"/>
      <c r="D21" s="16" t="n"/>
      <c r="E21" s="16" t="n"/>
      <c r="F21" s="16" t="n"/>
      <c r="G21" s="15" t="n"/>
      <c r="H21" s="15" t="n"/>
      <c r="I21" s="16" t="n"/>
      <c r="J21" s="16" t="n"/>
      <c r="K21" s="15" t="n"/>
      <c r="L21" s="15" t="n"/>
      <c r="M21" s="15" t="n"/>
      <c r="N21" s="15" t="n"/>
      <c r="O21" s="17">
        <f>IF(N21="","",TEXT(N21,"YYYY-MM"))</f>
        <v/>
      </c>
      <c r="P21" s="16" t="n"/>
      <c r="Q21" s="16" t="n"/>
      <c r="R21" s="15" t="n"/>
      <c r="S21" s="15" t="n"/>
      <c r="T21" s="15" t="n"/>
      <c r="U21" s="16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7">
        <f>IF(AK21="","",AL21+AM21+AN21+AO21)</f>
        <v/>
      </c>
      <c r="AR21" s="18">
        <f>IF(OR(AK21="",AK21=0),"",AQ21/AK21)</f>
        <v/>
      </c>
      <c r="AS21" s="18">
        <f>IF(OR(AK21="",AK21=0),"",AM21/AK21)</f>
        <v/>
      </c>
      <c r="AT21" s="19">
        <f>IF(OR(AV21="",AQ21="",AQ21=0),"",AV21/AQ21)</f>
        <v/>
      </c>
      <c r="AU21" s="19">
        <f>IF(OR(AV21="",AK21="",AK21=0),"",AV21/AK21*1000)</f>
        <v/>
      </c>
      <c r="AV21" s="20" t="n"/>
      <c r="AW21" s="15" t="n"/>
      <c r="AX21" s="15" t="n"/>
      <c r="AY21" s="15" t="n"/>
      <c r="AZ21" s="16" t="n"/>
    </row>
    <row r="22">
      <c r="A22" s="14" t="n">
        <v>20</v>
      </c>
      <c r="B22" s="15" t="n"/>
      <c r="C22" s="15" t="n"/>
      <c r="D22" s="16" t="n"/>
      <c r="E22" s="16" t="n"/>
      <c r="F22" s="16" t="n"/>
      <c r="G22" s="15" t="n"/>
      <c r="H22" s="15" t="n"/>
      <c r="I22" s="16" t="n"/>
      <c r="J22" s="16" t="n"/>
      <c r="K22" s="15" t="n"/>
      <c r="L22" s="15" t="n"/>
      <c r="M22" s="15" t="n"/>
      <c r="N22" s="15" t="n"/>
      <c r="O22" s="17">
        <f>IF(N22="","",TEXT(N22,"YYYY-MM"))</f>
        <v/>
      </c>
      <c r="P22" s="16" t="n"/>
      <c r="Q22" s="16" t="n"/>
      <c r="R22" s="15" t="n"/>
      <c r="S22" s="15" t="n"/>
      <c r="T22" s="15" t="n"/>
      <c r="U22" s="16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7">
        <f>IF(AK22="","",AL22+AM22+AN22+AO22)</f>
        <v/>
      </c>
      <c r="AR22" s="18">
        <f>IF(OR(AK22="",AK22=0),"",AQ22/AK22)</f>
        <v/>
      </c>
      <c r="AS22" s="18">
        <f>IF(OR(AK22="",AK22=0),"",AM22/AK22)</f>
        <v/>
      </c>
      <c r="AT22" s="19">
        <f>IF(OR(AV22="",AQ22="",AQ22=0),"",AV22/AQ22)</f>
        <v/>
      </c>
      <c r="AU22" s="19">
        <f>IF(OR(AV22="",AK22="",AK22=0),"",AV22/AK22*1000)</f>
        <v/>
      </c>
      <c r="AV22" s="20" t="n"/>
      <c r="AW22" s="15" t="n"/>
      <c r="AX22" s="15" t="n"/>
      <c r="AY22" s="15" t="n"/>
      <c r="AZ22" s="16" t="n"/>
    </row>
    <row r="23">
      <c r="A23" s="14" t="n">
        <v>21</v>
      </c>
      <c r="B23" s="15" t="n"/>
      <c r="C23" s="15" t="n"/>
      <c r="D23" s="16" t="n"/>
      <c r="E23" s="16" t="n"/>
      <c r="F23" s="16" t="n"/>
      <c r="G23" s="15" t="n"/>
      <c r="H23" s="15" t="n"/>
      <c r="I23" s="16" t="n"/>
      <c r="J23" s="16" t="n"/>
      <c r="K23" s="15" t="n"/>
      <c r="L23" s="15" t="n"/>
      <c r="M23" s="15" t="n"/>
      <c r="N23" s="15" t="n"/>
      <c r="O23" s="17">
        <f>IF(N23="","",TEXT(N23,"YYYY-MM"))</f>
        <v/>
      </c>
      <c r="P23" s="16" t="n"/>
      <c r="Q23" s="16" t="n"/>
      <c r="R23" s="15" t="n"/>
      <c r="S23" s="15" t="n"/>
      <c r="T23" s="15" t="n"/>
      <c r="U23" s="16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7">
        <f>IF(AK23="","",AL23+AM23+AN23+AO23)</f>
        <v/>
      </c>
      <c r="AR23" s="18">
        <f>IF(OR(AK23="",AK23=0),"",AQ23/AK23)</f>
        <v/>
      </c>
      <c r="AS23" s="18">
        <f>IF(OR(AK23="",AK23=0),"",AM23/AK23)</f>
        <v/>
      </c>
      <c r="AT23" s="19">
        <f>IF(OR(AV23="",AQ23="",AQ23=0),"",AV23/AQ23)</f>
        <v/>
      </c>
      <c r="AU23" s="19">
        <f>IF(OR(AV23="",AK23="",AK23=0),"",AV23/AK23*1000)</f>
        <v/>
      </c>
      <c r="AV23" s="20" t="n"/>
      <c r="AW23" s="15" t="n"/>
      <c r="AX23" s="15" t="n"/>
      <c r="AY23" s="15" t="n"/>
      <c r="AZ23" s="16" t="n"/>
    </row>
    <row r="24">
      <c r="A24" s="14" t="n">
        <v>22</v>
      </c>
      <c r="B24" s="15" t="n"/>
      <c r="C24" s="15" t="n"/>
      <c r="D24" s="16" t="n"/>
      <c r="E24" s="16" t="n"/>
      <c r="F24" s="16" t="n"/>
      <c r="G24" s="15" t="n"/>
      <c r="H24" s="15" t="n"/>
      <c r="I24" s="16" t="n"/>
      <c r="J24" s="16" t="n"/>
      <c r="K24" s="15" t="n"/>
      <c r="L24" s="15" t="n"/>
      <c r="M24" s="15" t="n"/>
      <c r="N24" s="15" t="n"/>
      <c r="O24" s="17">
        <f>IF(N24="","",TEXT(N24,"YYYY-MM"))</f>
        <v/>
      </c>
      <c r="P24" s="16" t="n"/>
      <c r="Q24" s="16" t="n"/>
      <c r="R24" s="15" t="n"/>
      <c r="S24" s="15" t="n"/>
      <c r="T24" s="15" t="n"/>
      <c r="U24" s="16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7">
        <f>IF(AK24="","",AL24+AM24+AN24+AO24)</f>
        <v/>
      </c>
      <c r="AR24" s="18">
        <f>IF(OR(AK24="",AK24=0),"",AQ24/AK24)</f>
        <v/>
      </c>
      <c r="AS24" s="18">
        <f>IF(OR(AK24="",AK24=0),"",AM24/AK24)</f>
        <v/>
      </c>
      <c r="AT24" s="19">
        <f>IF(OR(AV24="",AQ24="",AQ24=0),"",AV24/AQ24)</f>
        <v/>
      </c>
      <c r="AU24" s="19">
        <f>IF(OR(AV24="",AK24="",AK24=0),"",AV24/AK24*1000)</f>
        <v/>
      </c>
      <c r="AV24" s="20" t="n"/>
      <c r="AW24" s="15" t="n"/>
      <c r="AX24" s="15" t="n"/>
      <c r="AY24" s="15" t="n"/>
      <c r="AZ24" s="16" t="n"/>
    </row>
    <row r="25">
      <c r="A25" s="14" t="n">
        <v>23</v>
      </c>
      <c r="B25" s="15" t="n"/>
      <c r="C25" s="15" t="n"/>
      <c r="D25" s="16" t="n"/>
      <c r="E25" s="16" t="n"/>
      <c r="F25" s="16" t="n"/>
      <c r="G25" s="15" t="n"/>
      <c r="H25" s="15" t="n"/>
      <c r="I25" s="16" t="n"/>
      <c r="J25" s="16" t="n"/>
      <c r="K25" s="15" t="n"/>
      <c r="L25" s="15" t="n"/>
      <c r="M25" s="15" t="n"/>
      <c r="N25" s="15" t="n"/>
      <c r="O25" s="17">
        <f>IF(N25="","",TEXT(N25,"YYYY-MM"))</f>
        <v/>
      </c>
      <c r="P25" s="16" t="n"/>
      <c r="Q25" s="16" t="n"/>
      <c r="R25" s="15" t="n"/>
      <c r="S25" s="15" t="n"/>
      <c r="T25" s="15" t="n"/>
      <c r="U25" s="16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7">
        <f>IF(AK25="","",AL25+AM25+AN25+AO25)</f>
        <v/>
      </c>
      <c r="AR25" s="18">
        <f>IF(OR(AK25="",AK25=0),"",AQ25/AK25)</f>
        <v/>
      </c>
      <c r="AS25" s="18">
        <f>IF(OR(AK25="",AK25=0),"",AM25/AK25)</f>
        <v/>
      </c>
      <c r="AT25" s="19">
        <f>IF(OR(AV25="",AQ25="",AQ25=0),"",AV25/AQ25)</f>
        <v/>
      </c>
      <c r="AU25" s="19">
        <f>IF(OR(AV25="",AK25="",AK25=0),"",AV25/AK25*1000)</f>
        <v/>
      </c>
      <c r="AV25" s="20" t="n"/>
      <c r="AW25" s="15" t="n"/>
      <c r="AX25" s="15" t="n"/>
      <c r="AY25" s="15" t="n"/>
      <c r="AZ25" s="16" t="n"/>
    </row>
    <row r="26">
      <c r="A26" s="14" t="n">
        <v>24</v>
      </c>
      <c r="B26" s="15" t="n"/>
      <c r="C26" s="15" t="n"/>
      <c r="D26" s="16" t="n"/>
      <c r="E26" s="16" t="n"/>
      <c r="F26" s="16" t="n"/>
      <c r="G26" s="15" t="n"/>
      <c r="H26" s="15" t="n"/>
      <c r="I26" s="16" t="n"/>
      <c r="J26" s="16" t="n"/>
      <c r="K26" s="15" t="n"/>
      <c r="L26" s="15" t="n"/>
      <c r="M26" s="15" t="n"/>
      <c r="N26" s="15" t="n"/>
      <c r="O26" s="17">
        <f>IF(N26="","",TEXT(N26,"YYYY-MM"))</f>
        <v/>
      </c>
      <c r="P26" s="16" t="n"/>
      <c r="Q26" s="16" t="n"/>
      <c r="R26" s="15" t="n"/>
      <c r="S26" s="15" t="n"/>
      <c r="T26" s="15" t="n"/>
      <c r="U26" s="16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7">
        <f>IF(AK26="","",AL26+AM26+AN26+AO26)</f>
        <v/>
      </c>
      <c r="AR26" s="18">
        <f>IF(OR(AK26="",AK26=0),"",AQ26/AK26)</f>
        <v/>
      </c>
      <c r="AS26" s="18">
        <f>IF(OR(AK26="",AK26=0),"",AM26/AK26)</f>
        <v/>
      </c>
      <c r="AT26" s="19">
        <f>IF(OR(AV26="",AQ26="",AQ26=0),"",AV26/AQ26)</f>
        <v/>
      </c>
      <c r="AU26" s="19">
        <f>IF(OR(AV26="",AK26="",AK26=0),"",AV26/AK26*1000)</f>
        <v/>
      </c>
      <c r="AV26" s="20" t="n"/>
      <c r="AW26" s="15" t="n"/>
      <c r="AX26" s="15" t="n"/>
      <c r="AY26" s="15" t="n"/>
      <c r="AZ26" s="16" t="n"/>
    </row>
    <row r="27">
      <c r="A27" s="14" t="n">
        <v>25</v>
      </c>
      <c r="B27" s="15" t="n"/>
      <c r="C27" s="15" t="n"/>
      <c r="D27" s="16" t="n"/>
      <c r="E27" s="16" t="n"/>
      <c r="F27" s="16" t="n"/>
      <c r="G27" s="15" t="n"/>
      <c r="H27" s="15" t="n"/>
      <c r="I27" s="16" t="n"/>
      <c r="J27" s="16" t="n"/>
      <c r="K27" s="15" t="n"/>
      <c r="L27" s="15" t="n"/>
      <c r="M27" s="15" t="n"/>
      <c r="N27" s="15" t="n"/>
      <c r="O27" s="17">
        <f>IF(N27="","",TEXT(N27,"YYYY-MM"))</f>
        <v/>
      </c>
      <c r="P27" s="16" t="n"/>
      <c r="Q27" s="16" t="n"/>
      <c r="R27" s="15" t="n"/>
      <c r="S27" s="15" t="n"/>
      <c r="T27" s="15" t="n"/>
      <c r="U27" s="16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7">
        <f>IF(AK27="","",AL27+AM27+AN27+AO27)</f>
        <v/>
      </c>
      <c r="AR27" s="18">
        <f>IF(OR(AK27="",AK27=0),"",AQ27/AK27)</f>
        <v/>
      </c>
      <c r="AS27" s="18">
        <f>IF(OR(AK27="",AK27=0),"",AM27/AK27)</f>
        <v/>
      </c>
      <c r="AT27" s="19">
        <f>IF(OR(AV27="",AQ27="",AQ27=0),"",AV27/AQ27)</f>
        <v/>
      </c>
      <c r="AU27" s="19">
        <f>IF(OR(AV27="",AK27="",AK27=0),"",AV27/AK27*1000)</f>
        <v/>
      </c>
      <c r="AV27" s="20" t="n"/>
      <c r="AW27" s="15" t="n"/>
      <c r="AX27" s="15" t="n"/>
      <c r="AY27" s="15" t="n"/>
      <c r="AZ27" s="16" t="n"/>
    </row>
    <row r="28">
      <c r="A28" s="14" t="n">
        <v>26</v>
      </c>
      <c r="B28" s="15" t="n"/>
      <c r="C28" s="15" t="n"/>
      <c r="D28" s="16" t="n"/>
      <c r="E28" s="16" t="n"/>
      <c r="F28" s="16" t="n"/>
      <c r="G28" s="15" t="n"/>
      <c r="H28" s="15" t="n"/>
      <c r="I28" s="16" t="n"/>
      <c r="J28" s="16" t="n"/>
      <c r="K28" s="15" t="n"/>
      <c r="L28" s="15" t="n"/>
      <c r="M28" s="15" t="n"/>
      <c r="N28" s="15" t="n"/>
      <c r="O28" s="17">
        <f>IF(N28="","",TEXT(N28,"YYYY-MM"))</f>
        <v/>
      </c>
      <c r="P28" s="16" t="n"/>
      <c r="Q28" s="16" t="n"/>
      <c r="R28" s="15" t="n"/>
      <c r="S28" s="15" t="n"/>
      <c r="T28" s="15" t="n"/>
      <c r="U28" s="16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7">
        <f>IF(AK28="","",AL28+AM28+AN28+AO28)</f>
        <v/>
      </c>
      <c r="AR28" s="18">
        <f>IF(OR(AK28="",AK28=0),"",AQ28/AK28)</f>
        <v/>
      </c>
      <c r="AS28" s="18">
        <f>IF(OR(AK28="",AK28=0),"",AM28/AK28)</f>
        <v/>
      </c>
      <c r="AT28" s="19">
        <f>IF(OR(AV28="",AQ28="",AQ28=0),"",AV28/AQ28)</f>
        <v/>
      </c>
      <c r="AU28" s="19">
        <f>IF(OR(AV28="",AK28="",AK28=0),"",AV28/AK28*1000)</f>
        <v/>
      </c>
      <c r="AV28" s="20" t="n"/>
      <c r="AW28" s="15" t="n"/>
      <c r="AX28" s="15" t="n"/>
      <c r="AY28" s="15" t="n"/>
      <c r="AZ28" s="16" t="n"/>
    </row>
    <row r="29">
      <c r="A29" s="14" t="n">
        <v>27</v>
      </c>
      <c r="B29" s="15" t="n"/>
      <c r="C29" s="15" t="n"/>
      <c r="D29" s="16" t="n"/>
      <c r="E29" s="16" t="n"/>
      <c r="F29" s="16" t="n"/>
      <c r="G29" s="15" t="n"/>
      <c r="H29" s="15" t="n"/>
      <c r="I29" s="16" t="n"/>
      <c r="J29" s="16" t="n"/>
      <c r="K29" s="15" t="n"/>
      <c r="L29" s="15" t="n"/>
      <c r="M29" s="15" t="n"/>
      <c r="N29" s="15" t="n"/>
      <c r="O29" s="17">
        <f>IF(N29="","",TEXT(N29,"YYYY-MM"))</f>
        <v/>
      </c>
      <c r="P29" s="16" t="n"/>
      <c r="Q29" s="16" t="n"/>
      <c r="R29" s="15" t="n"/>
      <c r="S29" s="15" t="n"/>
      <c r="T29" s="15" t="n"/>
      <c r="U29" s="16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7">
        <f>IF(AK29="","",AL29+AM29+AN29+AO29)</f>
        <v/>
      </c>
      <c r="AR29" s="18">
        <f>IF(OR(AK29="",AK29=0),"",AQ29/AK29)</f>
        <v/>
      </c>
      <c r="AS29" s="18">
        <f>IF(OR(AK29="",AK29=0),"",AM29/AK29)</f>
        <v/>
      </c>
      <c r="AT29" s="19">
        <f>IF(OR(AV29="",AQ29="",AQ29=0),"",AV29/AQ29)</f>
        <v/>
      </c>
      <c r="AU29" s="19">
        <f>IF(OR(AV29="",AK29="",AK29=0),"",AV29/AK29*1000)</f>
        <v/>
      </c>
      <c r="AV29" s="20" t="n"/>
      <c r="AW29" s="15" t="n"/>
      <c r="AX29" s="15" t="n"/>
      <c r="AY29" s="15" t="n"/>
      <c r="AZ29" s="16" t="n"/>
    </row>
    <row r="30">
      <c r="A30" s="14" t="n">
        <v>28</v>
      </c>
      <c r="B30" s="15" t="n"/>
      <c r="C30" s="15" t="n"/>
      <c r="D30" s="16" t="n"/>
      <c r="E30" s="16" t="n"/>
      <c r="F30" s="16" t="n"/>
      <c r="G30" s="15" t="n"/>
      <c r="H30" s="15" t="n"/>
      <c r="I30" s="16" t="n"/>
      <c r="J30" s="16" t="n"/>
      <c r="K30" s="15" t="n"/>
      <c r="L30" s="15" t="n"/>
      <c r="M30" s="15" t="n"/>
      <c r="N30" s="15" t="n"/>
      <c r="O30" s="17">
        <f>IF(N30="","",TEXT(N30,"YYYY-MM"))</f>
        <v/>
      </c>
      <c r="P30" s="16" t="n"/>
      <c r="Q30" s="16" t="n"/>
      <c r="R30" s="15" t="n"/>
      <c r="S30" s="15" t="n"/>
      <c r="T30" s="15" t="n"/>
      <c r="U30" s="16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7">
        <f>IF(AK30="","",AL30+AM30+AN30+AO30)</f>
        <v/>
      </c>
      <c r="AR30" s="18">
        <f>IF(OR(AK30="",AK30=0),"",AQ30/AK30)</f>
        <v/>
      </c>
      <c r="AS30" s="18">
        <f>IF(OR(AK30="",AK30=0),"",AM30/AK30)</f>
        <v/>
      </c>
      <c r="AT30" s="19">
        <f>IF(OR(AV30="",AQ30="",AQ30=0),"",AV30/AQ30)</f>
        <v/>
      </c>
      <c r="AU30" s="19">
        <f>IF(OR(AV30="",AK30="",AK30=0),"",AV30/AK30*1000)</f>
        <v/>
      </c>
      <c r="AV30" s="20" t="n"/>
      <c r="AW30" s="15" t="n"/>
      <c r="AX30" s="15" t="n"/>
      <c r="AY30" s="15" t="n"/>
      <c r="AZ30" s="16" t="n"/>
    </row>
    <row r="31">
      <c r="A31" s="14" t="n">
        <v>29</v>
      </c>
      <c r="B31" s="15" t="n"/>
      <c r="C31" s="15" t="n"/>
      <c r="D31" s="16" t="n"/>
      <c r="E31" s="16" t="n"/>
      <c r="F31" s="16" t="n"/>
      <c r="G31" s="15" t="n"/>
      <c r="H31" s="15" t="n"/>
      <c r="I31" s="16" t="n"/>
      <c r="J31" s="16" t="n"/>
      <c r="K31" s="15" t="n"/>
      <c r="L31" s="15" t="n"/>
      <c r="M31" s="15" t="n"/>
      <c r="N31" s="15" t="n"/>
      <c r="O31" s="17">
        <f>IF(N31="","",TEXT(N31,"YYYY-MM"))</f>
        <v/>
      </c>
      <c r="P31" s="16" t="n"/>
      <c r="Q31" s="16" t="n"/>
      <c r="R31" s="15" t="n"/>
      <c r="S31" s="15" t="n"/>
      <c r="T31" s="15" t="n"/>
      <c r="U31" s="16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7">
        <f>IF(AK31="","",AL31+AM31+AN31+AO31)</f>
        <v/>
      </c>
      <c r="AR31" s="18">
        <f>IF(OR(AK31="",AK31=0),"",AQ31/AK31)</f>
        <v/>
      </c>
      <c r="AS31" s="18">
        <f>IF(OR(AK31="",AK31=0),"",AM31/AK31)</f>
        <v/>
      </c>
      <c r="AT31" s="19">
        <f>IF(OR(AV31="",AQ31="",AQ31=0),"",AV31/AQ31)</f>
        <v/>
      </c>
      <c r="AU31" s="19">
        <f>IF(OR(AV31="",AK31="",AK31=0),"",AV31/AK31*1000)</f>
        <v/>
      </c>
      <c r="AV31" s="20" t="n"/>
      <c r="AW31" s="15" t="n"/>
      <c r="AX31" s="15" t="n"/>
      <c r="AY31" s="15" t="n"/>
      <c r="AZ31" s="16" t="n"/>
    </row>
    <row r="32">
      <c r="A32" s="14" t="n">
        <v>30</v>
      </c>
      <c r="B32" s="15" t="n"/>
      <c r="C32" s="15" t="n"/>
      <c r="D32" s="16" t="n"/>
      <c r="E32" s="16" t="n"/>
      <c r="F32" s="16" t="n"/>
      <c r="G32" s="15" t="n"/>
      <c r="H32" s="15" t="n"/>
      <c r="I32" s="16" t="n"/>
      <c r="J32" s="16" t="n"/>
      <c r="K32" s="15" t="n"/>
      <c r="L32" s="15" t="n"/>
      <c r="M32" s="15" t="n"/>
      <c r="N32" s="15" t="n"/>
      <c r="O32" s="17">
        <f>IF(N32="","",TEXT(N32,"YYYY-MM"))</f>
        <v/>
      </c>
      <c r="P32" s="16" t="n"/>
      <c r="Q32" s="16" t="n"/>
      <c r="R32" s="15" t="n"/>
      <c r="S32" s="15" t="n"/>
      <c r="T32" s="15" t="n"/>
      <c r="U32" s="16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7">
        <f>IF(AK32="","",AL32+AM32+AN32+AO32)</f>
        <v/>
      </c>
      <c r="AR32" s="18">
        <f>IF(OR(AK32="",AK32=0),"",AQ32/AK32)</f>
        <v/>
      </c>
      <c r="AS32" s="18">
        <f>IF(OR(AK32="",AK32=0),"",AM32/AK32)</f>
        <v/>
      </c>
      <c r="AT32" s="19">
        <f>IF(OR(AV32="",AQ32="",AQ32=0),"",AV32/AQ32)</f>
        <v/>
      </c>
      <c r="AU32" s="19">
        <f>IF(OR(AV32="",AK32="",AK32=0),"",AV32/AK32*1000)</f>
        <v/>
      </c>
      <c r="AV32" s="20" t="n"/>
      <c r="AW32" s="15" t="n"/>
      <c r="AX32" s="15" t="n"/>
      <c r="AY32" s="15" t="n"/>
      <c r="AZ32" s="16" t="n"/>
    </row>
    <row r="33">
      <c r="A33" s="14" t="n">
        <v>31</v>
      </c>
      <c r="B33" s="15" t="n"/>
      <c r="C33" s="15" t="n"/>
      <c r="D33" s="16" t="n"/>
      <c r="E33" s="16" t="n"/>
      <c r="F33" s="16" t="n"/>
      <c r="G33" s="15" t="n"/>
      <c r="H33" s="15" t="n"/>
      <c r="I33" s="16" t="n"/>
      <c r="J33" s="16" t="n"/>
      <c r="K33" s="15" t="n"/>
      <c r="L33" s="15" t="n"/>
      <c r="M33" s="15" t="n"/>
      <c r="N33" s="15" t="n"/>
      <c r="O33" s="17">
        <f>IF(N33="","",TEXT(N33,"YYYY-MM"))</f>
        <v/>
      </c>
      <c r="P33" s="16" t="n"/>
      <c r="Q33" s="16" t="n"/>
      <c r="R33" s="15" t="n"/>
      <c r="S33" s="15" t="n"/>
      <c r="T33" s="15" t="n"/>
      <c r="U33" s="16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7">
        <f>IF(AK33="","",AL33+AM33+AN33+AO33)</f>
        <v/>
      </c>
      <c r="AR33" s="18">
        <f>IF(OR(AK33="",AK33=0),"",AQ33/AK33)</f>
        <v/>
      </c>
      <c r="AS33" s="18">
        <f>IF(OR(AK33="",AK33=0),"",AM33/AK33)</f>
        <v/>
      </c>
      <c r="AT33" s="19">
        <f>IF(OR(AV33="",AQ33="",AQ33=0),"",AV33/AQ33)</f>
        <v/>
      </c>
      <c r="AU33" s="19">
        <f>IF(OR(AV33="",AK33="",AK33=0),"",AV33/AK33*1000)</f>
        <v/>
      </c>
      <c r="AV33" s="20" t="n"/>
      <c r="AW33" s="15" t="n"/>
      <c r="AX33" s="15" t="n"/>
      <c r="AY33" s="15" t="n"/>
      <c r="AZ33" s="16" t="n"/>
    </row>
    <row r="34">
      <c r="A34" s="14" t="n">
        <v>32</v>
      </c>
      <c r="B34" s="15" t="n"/>
      <c r="C34" s="15" t="n"/>
      <c r="D34" s="16" t="n"/>
      <c r="E34" s="16" t="n"/>
      <c r="F34" s="16" t="n"/>
      <c r="G34" s="15" t="n"/>
      <c r="H34" s="15" t="n"/>
      <c r="I34" s="16" t="n"/>
      <c r="J34" s="16" t="n"/>
      <c r="K34" s="15" t="n"/>
      <c r="L34" s="15" t="n"/>
      <c r="M34" s="15" t="n"/>
      <c r="N34" s="15" t="n"/>
      <c r="O34" s="17">
        <f>IF(N34="","",TEXT(N34,"YYYY-MM"))</f>
        <v/>
      </c>
      <c r="P34" s="16" t="n"/>
      <c r="Q34" s="16" t="n"/>
      <c r="R34" s="15" t="n"/>
      <c r="S34" s="15" t="n"/>
      <c r="T34" s="15" t="n"/>
      <c r="U34" s="16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7">
        <f>IF(AK34="","",AL34+AM34+AN34+AO34)</f>
        <v/>
      </c>
      <c r="AR34" s="18">
        <f>IF(OR(AK34="",AK34=0),"",AQ34/AK34)</f>
        <v/>
      </c>
      <c r="AS34" s="18">
        <f>IF(OR(AK34="",AK34=0),"",AM34/AK34)</f>
        <v/>
      </c>
      <c r="AT34" s="19">
        <f>IF(OR(AV34="",AQ34="",AQ34=0),"",AV34/AQ34)</f>
        <v/>
      </c>
      <c r="AU34" s="19">
        <f>IF(OR(AV34="",AK34="",AK34=0),"",AV34/AK34*1000)</f>
        <v/>
      </c>
      <c r="AV34" s="20" t="n"/>
      <c r="AW34" s="15" t="n"/>
      <c r="AX34" s="15" t="n"/>
      <c r="AY34" s="15" t="n"/>
      <c r="AZ34" s="16" t="n"/>
    </row>
    <row r="35">
      <c r="A35" s="14" t="n">
        <v>33</v>
      </c>
      <c r="B35" s="15" t="n"/>
      <c r="C35" s="15" t="n"/>
      <c r="D35" s="16" t="n"/>
      <c r="E35" s="16" t="n"/>
      <c r="F35" s="16" t="n"/>
      <c r="G35" s="15" t="n"/>
      <c r="H35" s="15" t="n"/>
      <c r="I35" s="16" t="n"/>
      <c r="J35" s="16" t="n"/>
      <c r="K35" s="15" t="n"/>
      <c r="L35" s="15" t="n"/>
      <c r="M35" s="15" t="n"/>
      <c r="N35" s="15" t="n"/>
      <c r="O35" s="17">
        <f>IF(N35="","",TEXT(N35,"YYYY-MM"))</f>
        <v/>
      </c>
      <c r="P35" s="16" t="n"/>
      <c r="Q35" s="16" t="n"/>
      <c r="R35" s="15" t="n"/>
      <c r="S35" s="15" t="n"/>
      <c r="T35" s="15" t="n"/>
      <c r="U35" s="16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7">
        <f>IF(AK35="","",AL35+AM35+AN35+AO35)</f>
        <v/>
      </c>
      <c r="AR35" s="18">
        <f>IF(OR(AK35="",AK35=0),"",AQ35/AK35)</f>
        <v/>
      </c>
      <c r="AS35" s="18">
        <f>IF(OR(AK35="",AK35=0),"",AM35/AK35)</f>
        <v/>
      </c>
      <c r="AT35" s="19">
        <f>IF(OR(AV35="",AQ35="",AQ35=0),"",AV35/AQ35)</f>
        <v/>
      </c>
      <c r="AU35" s="19">
        <f>IF(OR(AV35="",AK35="",AK35=0),"",AV35/AK35*1000)</f>
        <v/>
      </c>
      <c r="AV35" s="20" t="n"/>
      <c r="AW35" s="15" t="n"/>
      <c r="AX35" s="15" t="n"/>
      <c r="AY35" s="15" t="n"/>
      <c r="AZ35" s="16" t="n"/>
    </row>
    <row r="36">
      <c r="A36" s="14" t="n">
        <v>34</v>
      </c>
      <c r="B36" s="15" t="n"/>
      <c r="C36" s="15" t="n"/>
      <c r="D36" s="16" t="n"/>
      <c r="E36" s="16" t="n"/>
      <c r="F36" s="16" t="n"/>
      <c r="G36" s="15" t="n"/>
      <c r="H36" s="15" t="n"/>
      <c r="I36" s="16" t="n"/>
      <c r="J36" s="16" t="n"/>
      <c r="K36" s="15" t="n"/>
      <c r="L36" s="15" t="n"/>
      <c r="M36" s="15" t="n"/>
      <c r="N36" s="15" t="n"/>
      <c r="O36" s="17">
        <f>IF(N36="","",TEXT(N36,"YYYY-MM"))</f>
        <v/>
      </c>
      <c r="P36" s="16" t="n"/>
      <c r="Q36" s="16" t="n"/>
      <c r="R36" s="15" t="n"/>
      <c r="S36" s="15" t="n"/>
      <c r="T36" s="15" t="n"/>
      <c r="U36" s="16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7">
        <f>IF(AK36="","",AL36+AM36+AN36+AO36)</f>
        <v/>
      </c>
      <c r="AR36" s="18">
        <f>IF(OR(AK36="",AK36=0),"",AQ36/AK36)</f>
        <v/>
      </c>
      <c r="AS36" s="18">
        <f>IF(OR(AK36="",AK36=0),"",AM36/AK36)</f>
        <v/>
      </c>
      <c r="AT36" s="19">
        <f>IF(OR(AV36="",AQ36="",AQ36=0),"",AV36/AQ36)</f>
        <v/>
      </c>
      <c r="AU36" s="19">
        <f>IF(OR(AV36="",AK36="",AK36=0),"",AV36/AK36*1000)</f>
        <v/>
      </c>
      <c r="AV36" s="20" t="n"/>
      <c r="AW36" s="15" t="n"/>
      <c r="AX36" s="15" t="n"/>
      <c r="AY36" s="15" t="n"/>
      <c r="AZ36" s="16" t="n"/>
    </row>
    <row r="37">
      <c r="A37" s="14" t="n">
        <v>35</v>
      </c>
      <c r="B37" s="15" t="n"/>
      <c r="C37" s="15" t="n"/>
      <c r="D37" s="16" t="n"/>
      <c r="E37" s="16" t="n"/>
      <c r="F37" s="16" t="n"/>
      <c r="G37" s="15" t="n"/>
      <c r="H37" s="15" t="n"/>
      <c r="I37" s="16" t="n"/>
      <c r="J37" s="16" t="n"/>
      <c r="K37" s="15" t="n"/>
      <c r="L37" s="15" t="n"/>
      <c r="M37" s="15" t="n"/>
      <c r="N37" s="15" t="n"/>
      <c r="O37" s="17">
        <f>IF(N37="","",TEXT(N37,"YYYY-MM"))</f>
        <v/>
      </c>
      <c r="P37" s="16" t="n"/>
      <c r="Q37" s="16" t="n"/>
      <c r="R37" s="15" t="n"/>
      <c r="S37" s="15" t="n"/>
      <c r="T37" s="15" t="n"/>
      <c r="U37" s="16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7">
        <f>IF(AK37="","",AL37+AM37+AN37+AO37)</f>
        <v/>
      </c>
      <c r="AR37" s="18">
        <f>IF(OR(AK37="",AK37=0),"",AQ37/AK37)</f>
        <v/>
      </c>
      <c r="AS37" s="18">
        <f>IF(OR(AK37="",AK37=0),"",AM37/AK37)</f>
        <v/>
      </c>
      <c r="AT37" s="19">
        <f>IF(OR(AV37="",AQ37="",AQ37=0),"",AV37/AQ37)</f>
        <v/>
      </c>
      <c r="AU37" s="19">
        <f>IF(OR(AV37="",AK37="",AK37=0),"",AV37/AK37*1000)</f>
        <v/>
      </c>
      <c r="AV37" s="20" t="n"/>
      <c r="AW37" s="15" t="n"/>
      <c r="AX37" s="15" t="n"/>
      <c r="AY37" s="15" t="n"/>
      <c r="AZ37" s="16" t="n"/>
    </row>
    <row r="38">
      <c r="A38" s="14" t="n">
        <v>36</v>
      </c>
      <c r="B38" s="15" t="n"/>
      <c r="C38" s="15" t="n"/>
      <c r="D38" s="16" t="n"/>
      <c r="E38" s="16" t="n"/>
      <c r="F38" s="16" t="n"/>
      <c r="G38" s="15" t="n"/>
      <c r="H38" s="15" t="n"/>
      <c r="I38" s="16" t="n"/>
      <c r="J38" s="16" t="n"/>
      <c r="K38" s="15" t="n"/>
      <c r="L38" s="15" t="n"/>
      <c r="M38" s="15" t="n"/>
      <c r="N38" s="15" t="n"/>
      <c r="O38" s="17">
        <f>IF(N38="","",TEXT(N38,"YYYY-MM"))</f>
        <v/>
      </c>
      <c r="P38" s="16" t="n"/>
      <c r="Q38" s="16" t="n"/>
      <c r="R38" s="15" t="n"/>
      <c r="S38" s="15" t="n"/>
      <c r="T38" s="15" t="n"/>
      <c r="U38" s="16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7">
        <f>IF(AK38="","",AL38+AM38+AN38+AO38)</f>
        <v/>
      </c>
      <c r="AR38" s="18">
        <f>IF(OR(AK38="",AK38=0),"",AQ38/AK38)</f>
        <v/>
      </c>
      <c r="AS38" s="18">
        <f>IF(OR(AK38="",AK38=0),"",AM38/AK38)</f>
        <v/>
      </c>
      <c r="AT38" s="19">
        <f>IF(OR(AV38="",AQ38="",AQ38=0),"",AV38/AQ38)</f>
        <v/>
      </c>
      <c r="AU38" s="19">
        <f>IF(OR(AV38="",AK38="",AK38=0),"",AV38/AK38*1000)</f>
        <v/>
      </c>
      <c r="AV38" s="20" t="n"/>
      <c r="AW38" s="15" t="n"/>
      <c r="AX38" s="15" t="n"/>
      <c r="AY38" s="15" t="n"/>
      <c r="AZ38" s="16" t="n"/>
    </row>
    <row r="39">
      <c r="A39" s="14" t="n">
        <v>37</v>
      </c>
      <c r="B39" s="15" t="n"/>
      <c r="C39" s="15" t="n"/>
      <c r="D39" s="16" t="n"/>
      <c r="E39" s="16" t="n"/>
      <c r="F39" s="16" t="n"/>
      <c r="G39" s="15" t="n"/>
      <c r="H39" s="15" t="n"/>
      <c r="I39" s="16" t="n"/>
      <c r="J39" s="16" t="n"/>
      <c r="K39" s="15" t="n"/>
      <c r="L39" s="15" t="n"/>
      <c r="M39" s="15" t="n"/>
      <c r="N39" s="15" t="n"/>
      <c r="O39" s="17">
        <f>IF(N39="","",TEXT(N39,"YYYY-MM"))</f>
        <v/>
      </c>
      <c r="P39" s="16" t="n"/>
      <c r="Q39" s="16" t="n"/>
      <c r="R39" s="15" t="n"/>
      <c r="S39" s="15" t="n"/>
      <c r="T39" s="15" t="n"/>
      <c r="U39" s="16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7">
        <f>IF(AK39="","",AL39+AM39+AN39+AO39)</f>
        <v/>
      </c>
      <c r="AR39" s="18">
        <f>IF(OR(AK39="",AK39=0),"",AQ39/AK39)</f>
        <v/>
      </c>
      <c r="AS39" s="18">
        <f>IF(OR(AK39="",AK39=0),"",AM39/AK39)</f>
        <v/>
      </c>
      <c r="AT39" s="19">
        <f>IF(OR(AV39="",AQ39="",AQ39=0),"",AV39/AQ39)</f>
        <v/>
      </c>
      <c r="AU39" s="19">
        <f>IF(OR(AV39="",AK39="",AK39=0),"",AV39/AK39*1000)</f>
        <v/>
      </c>
      <c r="AV39" s="20" t="n"/>
      <c r="AW39" s="15" t="n"/>
      <c r="AX39" s="15" t="n"/>
      <c r="AY39" s="15" t="n"/>
      <c r="AZ39" s="16" t="n"/>
    </row>
    <row r="40">
      <c r="A40" s="14" t="n">
        <v>38</v>
      </c>
      <c r="B40" s="15" t="n"/>
      <c r="C40" s="15" t="n"/>
      <c r="D40" s="16" t="n"/>
      <c r="E40" s="16" t="n"/>
      <c r="F40" s="16" t="n"/>
      <c r="G40" s="15" t="n"/>
      <c r="H40" s="15" t="n"/>
      <c r="I40" s="16" t="n"/>
      <c r="J40" s="16" t="n"/>
      <c r="K40" s="15" t="n"/>
      <c r="L40" s="15" t="n"/>
      <c r="M40" s="15" t="n"/>
      <c r="N40" s="15" t="n"/>
      <c r="O40" s="17">
        <f>IF(N40="","",TEXT(N40,"YYYY-MM"))</f>
        <v/>
      </c>
      <c r="P40" s="16" t="n"/>
      <c r="Q40" s="16" t="n"/>
      <c r="R40" s="15" t="n"/>
      <c r="S40" s="15" t="n"/>
      <c r="T40" s="15" t="n"/>
      <c r="U40" s="16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7">
        <f>IF(AK40="","",AL40+AM40+AN40+AO40)</f>
        <v/>
      </c>
      <c r="AR40" s="18">
        <f>IF(OR(AK40="",AK40=0),"",AQ40/AK40)</f>
        <v/>
      </c>
      <c r="AS40" s="18">
        <f>IF(OR(AK40="",AK40=0),"",AM40/AK40)</f>
        <v/>
      </c>
      <c r="AT40" s="19">
        <f>IF(OR(AV40="",AQ40="",AQ40=0),"",AV40/AQ40)</f>
        <v/>
      </c>
      <c r="AU40" s="19">
        <f>IF(OR(AV40="",AK40="",AK40=0),"",AV40/AK40*1000)</f>
        <v/>
      </c>
      <c r="AV40" s="20" t="n"/>
      <c r="AW40" s="15" t="n"/>
      <c r="AX40" s="15" t="n"/>
      <c r="AY40" s="15" t="n"/>
      <c r="AZ40" s="16" t="n"/>
    </row>
    <row r="41">
      <c r="A41" s="14" t="n">
        <v>39</v>
      </c>
      <c r="B41" s="15" t="n"/>
      <c r="C41" s="15" t="n"/>
      <c r="D41" s="16" t="n"/>
      <c r="E41" s="16" t="n"/>
      <c r="F41" s="16" t="n"/>
      <c r="G41" s="15" t="n"/>
      <c r="H41" s="15" t="n"/>
      <c r="I41" s="16" t="n"/>
      <c r="J41" s="16" t="n"/>
      <c r="K41" s="15" t="n"/>
      <c r="L41" s="15" t="n"/>
      <c r="M41" s="15" t="n"/>
      <c r="N41" s="15" t="n"/>
      <c r="O41" s="17">
        <f>IF(N41="","",TEXT(N41,"YYYY-MM"))</f>
        <v/>
      </c>
      <c r="P41" s="16" t="n"/>
      <c r="Q41" s="16" t="n"/>
      <c r="R41" s="15" t="n"/>
      <c r="S41" s="15" t="n"/>
      <c r="T41" s="15" t="n"/>
      <c r="U41" s="16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7">
        <f>IF(AK41="","",AL41+AM41+AN41+AO41)</f>
        <v/>
      </c>
      <c r="AR41" s="18">
        <f>IF(OR(AK41="",AK41=0),"",AQ41/AK41)</f>
        <v/>
      </c>
      <c r="AS41" s="18">
        <f>IF(OR(AK41="",AK41=0),"",AM41/AK41)</f>
        <v/>
      </c>
      <c r="AT41" s="19">
        <f>IF(OR(AV41="",AQ41="",AQ41=0),"",AV41/AQ41)</f>
        <v/>
      </c>
      <c r="AU41" s="19">
        <f>IF(OR(AV41="",AK41="",AK41=0),"",AV41/AK41*1000)</f>
        <v/>
      </c>
      <c r="AV41" s="20" t="n"/>
      <c r="AW41" s="15" t="n"/>
      <c r="AX41" s="15" t="n"/>
      <c r="AY41" s="15" t="n"/>
      <c r="AZ41" s="16" t="n"/>
    </row>
    <row r="42">
      <c r="A42" s="14" t="n">
        <v>40</v>
      </c>
      <c r="B42" s="15" t="n"/>
      <c r="C42" s="15" t="n"/>
      <c r="D42" s="16" t="n"/>
      <c r="E42" s="16" t="n"/>
      <c r="F42" s="16" t="n"/>
      <c r="G42" s="15" t="n"/>
      <c r="H42" s="15" t="n"/>
      <c r="I42" s="16" t="n"/>
      <c r="J42" s="16" t="n"/>
      <c r="K42" s="15" t="n"/>
      <c r="L42" s="15" t="n"/>
      <c r="M42" s="15" t="n"/>
      <c r="N42" s="15" t="n"/>
      <c r="O42" s="17">
        <f>IF(N42="","",TEXT(N42,"YYYY-MM"))</f>
        <v/>
      </c>
      <c r="P42" s="16" t="n"/>
      <c r="Q42" s="16" t="n"/>
      <c r="R42" s="15" t="n"/>
      <c r="S42" s="15" t="n"/>
      <c r="T42" s="15" t="n"/>
      <c r="U42" s="16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7">
        <f>IF(AK42="","",AL42+AM42+AN42+AO42)</f>
        <v/>
      </c>
      <c r="AR42" s="18">
        <f>IF(OR(AK42="",AK42=0),"",AQ42/AK42)</f>
        <v/>
      </c>
      <c r="AS42" s="18">
        <f>IF(OR(AK42="",AK42=0),"",AM42/AK42)</f>
        <v/>
      </c>
      <c r="AT42" s="19">
        <f>IF(OR(AV42="",AQ42="",AQ42=0),"",AV42/AQ42)</f>
        <v/>
      </c>
      <c r="AU42" s="19">
        <f>IF(OR(AV42="",AK42="",AK42=0),"",AV42/AK42*1000)</f>
        <v/>
      </c>
      <c r="AV42" s="20" t="n"/>
      <c r="AW42" s="15" t="n"/>
      <c r="AX42" s="15" t="n"/>
      <c r="AY42" s="15" t="n"/>
      <c r="AZ42" s="16" t="n"/>
    </row>
  </sheetData>
  <mergeCells count="7">
    <mergeCell ref="N1:U1"/>
    <mergeCell ref="A1:M1"/>
    <mergeCell ref="AV1:AZ1"/>
    <mergeCell ref="AC1:AI1"/>
    <mergeCell ref="AQ1:AU1"/>
    <mergeCell ref="V1:AB1"/>
    <mergeCell ref="AJ1:AP1"/>
  </mergeCells>
  <dataValidations count="11">
    <dataValidation sqref="B3:B42" showDropDown="0" showInputMessage="0" showErrorMessage="0" allowBlank="1" type="list">
      <formula1>=选项!$A$2:$A$6</formula1>
    </dataValidation>
    <dataValidation sqref="G3:G42" showDropDown="0" showInputMessage="0" showErrorMessage="0" allowBlank="1" type="list">
      <formula1>=选项!$B$2:$B$5</formula1>
    </dataValidation>
    <dataValidation sqref="H3:H42" showDropDown="0" showInputMessage="0" showErrorMessage="0" allowBlank="1" type="list">
      <formula1>=选项!$C$2:$C$5</formula1>
    </dataValidation>
    <dataValidation sqref="I3:I42" showDropDown="0" showInputMessage="0" showErrorMessage="0" allowBlank="1" type="list">
      <formula1>=选项!$M$2:$M$7</formula1>
    </dataValidation>
    <dataValidation sqref="K3:K42" showDropDown="0" showInputMessage="0" showErrorMessage="0" allowBlank="1" type="list">
      <formula1>=选项!$F$2:$F$5</formula1>
    </dataValidation>
    <dataValidation sqref="L3:L42" showDropDown="0" showInputMessage="0" showErrorMessage="0" allowBlank="1" type="list">
      <formula1>=选项!$G$2:$G$4</formula1>
    </dataValidation>
    <dataValidation sqref="M3:M42" showDropDown="0" showInputMessage="0" showErrorMessage="0" allowBlank="1" type="list">
      <formula1>=选项!$H$2:$H$3</formula1>
    </dataValidation>
    <dataValidation sqref="S3:S42" showDropDown="0" showInputMessage="0" showErrorMessage="0" allowBlank="1" type="list">
      <formula1>=选项!$H$2:$H$3</formula1>
    </dataValidation>
    <dataValidation sqref="T3:T42" showDropDown="0" showInputMessage="0" showErrorMessage="0" allowBlank="1" type="list">
      <formula1>=选项!$I$2:$I$4</formula1>
    </dataValidation>
    <dataValidation sqref="AW3:AW42" showDropDown="0" showInputMessage="0" showErrorMessage="0" allowBlank="1" type="list">
      <formula1>=选项!$H$2:$H$3</formula1>
    </dataValidation>
    <dataValidation sqref="AX3:AX42" showDropDown="0" showInputMessage="0" showErrorMessage="0" allowBlank="1" type="list">
      <formula1>=选项!$J$2:$J$4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6" customWidth="1" min="5" max="5"/>
    <col width="12" customWidth="1" min="6" max="6"/>
    <col width="9" customWidth="1" min="7" max="7"/>
    <col width="9" customWidth="1" min="8" max="8"/>
    <col width="14" customWidth="1" min="9" max="9"/>
    <col width="14" customWidth="1" min="10" max="10"/>
    <col width="9" customWidth="1" min="11" max="11"/>
    <col width="8" customWidth="1" min="12" max="12"/>
    <col width="8" customWidth="1" min="13" max="13"/>
    <col width="11" customWidth="1" min="14" max="14"/>
    <col width="8" customWidth="1" min="15" max="15"/>
    <col width="22" customWidth="1" min="16" max="16"/>
    <col width="16" customWidth="1" min="17" max="17"/>
    <col width="9" customWidth="1" min="18" max="18"/>
    <col width="8" customWidth="1" min="19" max="19"/>
    <col width="8" customWidth="1" min="20" max="20"/>
    <col width="14" customWidth="1" min="21" max="21"/>
    <col width="10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10" customWidth="1" min="28" max="28"/>
    <col width="10" customWidth="1" min="29" max="29"/>
    <col width="8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10" customWidth="1" min="36" max="36"/>
    <col width="8" customWidth="1" min="37" max="37"/>
    <col width="7" customWidth="1" min="38" max="38"/>
    <col width="7" customWidth="1" min="39" max="39"/>
    <col width="7" customWidth="1" min="40" max="40"/>
    <col width="7" customWidth="1" min="41" max="41"/>
    <col width="10" customWidth="1" min="42" max="42"/>
    <col width="8" customWidth="1" min="43" max="43"/>
    <col width="8" customWidth="1" min="44" max="44"/>
    <col width="8" customWidth="1" min="45" max="45"/>
    <col width="9" customWidth="1" min="46" max="46"/>
    <col width="10" customWidth="1" min="47" max="47"/>
    <col width="10" customWidth="1" min="48" max="48"/>
    <col width="8" customWidth="1" min="49" max="49"/>
    <col width="8" customWidth="1" min="50" max="50"/>
    <col width="10" customWidth="1" min="51" max="51"/>
    <col width="16" customWidth="1" min="52" max="52"/>
  </cols>
  <sheetData>
    <row r="1" ht="20" customHeight="1">
      <c r="A1" s="1" t="inlineStr">
        <is>
          <t>排期 · 投前确认</t>
        </is>
      </c>
      <c r="N1" s="2" t="inlineStr">
        <is>
          <t>投后 · 基础</t>
        </is>
      </c>
      <c r="V1" s="3" t="inlineStr">
        <is>
          <t>数据追踪 T+3</t>
        </is>
      </c>
      <c r="AC1" s="4" t="inlineStr">
        <is>
          <t>数据追踪 T+7</t>
        </is>
      </c>
      <c r="AJ1" s="5" t="inlineStr">
        <is>
          <t>数据追踪 T+15</t>
        </is>
      </c>
      <c r="AQ1" s="6" t="inlineStr">
        <is>
          <t>效率指标（自动）</t>
        </is>
      </c>
      <c r="AV1" s="7" t="inlineStr">
        <is>
          <t>结算 · 转化</t>
        </is>
      </c>
    </row>
    <row r="2" ht="30" customHeight="1">
      <c r="A2" s="8" t="inlineStr">
        <is>
          <t>序号</t>
        </is>
      </c>
      <c r="B2" s="8" t="inlineStr">
        <is>
          <t>状态</t>
        </is>
      </c>
      <c r="C2" s="8" t="inlineStr">
        <is>
          <t>计划发布日</t>
        </is>
      </c>
      <c r="D2" s="8" t="inlineStr">
        <is>
          <t>达人名称</t>
        </is>
      </c>
      <c r="E2" s="8" t="inlineStr">
        <is>
          <t>达人主页链接</t>
        </is>
      </c>
      <c r="F2" s="8" t="inlineStr">
        <is>
          <t>合作社/MCN</t>
        </is>
      </c>
      <c r="G2" s="8" t="inlineStr">
        <is>
          <t>达人层级</t>
        </is>
      </c>
      <c r="H2" s="8" t="inlineStr">
        <is>
          <t>内部对接人</t>
        </is>
      </c>
      <c r="I2" s="8" t="inlineStr">
        <is>
          <t>投放产品</t>
        </is>
      </c>
      <c r="J2" s="8" t="inlineStr">
        <is>
          <t>脚本/初稿链接</t>
        </is>
      </c>
      <c r="K2" s="8" t="inlineStr">
        <is>
          <t>合规审核</t>
        </is>
      </c>
      <c r="L2" s="8" t="inlineStr">
        <is>
          <t>审核人</t>
        </is>
      </c>
      <c r="M2" s="8" t="inlineStr">
        <is>
          <t>确认可投</t>
        </is>
      </c>
      <c r="N2" s="9" t="inlineStr">
        <is>
          <t>实际发布日</t>
        </is>
      </c>
      <c r="O2" s="9" t="inlineStr">
        <is>
          <t>发布月</t>
        </is>
      </c>
      <c r="P2" s="9" t="inlineStr">
        <is>
          <t>笔记标题</t>
        </is>
      </c>
      <c r="Q2" s="9" t="inlineStr">
        <is>
          <t>笔记链接</t>
        </is>
      </c>
      <c r="R2" s="9" t="inlineStr">
        <is>
          <t>视频时长(秒)</t>
        </is>
      </c>
      <c r="S2" s="9" t="inlineStr">
        <is>
          <t>品牌词植入</t>
        </is>
      </c>
      <c r="T2" s="9" t="inlineStr">
        <is>
          <t>话题维护</t>
        </is>
      </c>
      <c r="U2" s="9" t="inlineStr">
        <is>
          <t>主话题词</t>
        </is>
      </c>
      <c r="V2" s="10" t="inlineStr">
        <is>
          <t>T+3采集日</t>
        </is>
      </c>
      <c r="W2" s="10" t="inlineStr">
        <is>
          <t>曝光</t>
        </is>
      </c>
      <c r="X2" s="10" t="inlineStr">
        <is>
          <t>点赞</t>
        </is>
      </c>
      <c r="Y2" s="10" t="inlineStr">
        <is>
          <t>收藏</t>
        </is>
      </c>
      <c r="Z2" s="10" t="inlineStr">
        <is>
          <t>评论</t>
        </is>
      </c>
      <c r="AA2" s="10" t="inlineStr">
        <is>
          <t>分享</t>
        </is>
      </c>
      <c r="AB2" s="10" t="inlineStr">
        <is>
          <t>证据截图</t>
        </is>
      </c>
      <c r="AC2" s="10" t="inlineStr">
        <is>
          <t>T+7采集日</t>
        </is>
      </c>
      <c r="AD2" s="10" t="inlineStr">
        <is>
          <t>曝光</t>
        </is>
      </c>
      <c r="AE2" s="10" t="inlineStr">
        <is>
          <t>点赞</t>
        </is>
      </c>
      <c r="AF2" s="10" t="inlineStr">
        <is>
          <t>收藏</t>
        </is>
      </c>
      <c r="AG2" s="10" t="inlineStr">
        <is>
          <t>评论</t>
        </is>
      </c>
      <c r="AH2" s="10" t="inlineStr">
        <is>
          <t>分享</t>
        </is>
      </c>
      <c r="AI2" s="10" t="inlineStr">
        <is>
          <t>证据截图</t>
        </is>
      </c>
      <c r="AJ2" s="11" t="inlineStr">
        <is>
          <t>T+15采集日</t>
        </is>
      </c>
      <c r="AK2" s="11" t="inlineStr">
        <is>
          <t>曝光</t>
        </is>
      </c>
      <c r="AL2" s="11" t="inlineStr">
        <is>
          <t>点赞</t>
        </is>
      </c>
      <c r="AM2" s="11" t="inlineStr">
        <is>
          <t>收藏</t>
        </is>
      </c>
      <c r="AN2" s="11" t="inlineStr">
        <is>
          <t>评论</t>
        </is>
      </c>
      <c r="AO2" s="11" t="inlineStr">
        <is>
          <t>分享</t>
        </is>
      </c>
      <c r="AP2" s="11" t="inlineStr">
        <is>
          <t>证据截图</t>
        </is>
      </c>
      <c r="AQ2" s="12" t="inlineStr">
        <is>
          <t>最终互动量</t>
        </is>
      </c>
      <c r="AR2" s="12" t="inlineStr">
        <is>
          <t>互动率</t>
        </is>
      </c>
      <c r="AS2" s="12" t="inlineStr">
        <is>
          <t>收藏率</t>
        </is>
      </c>
      <c r="AT2" s="12" t="inlineStr">
        <is>
          <t>CPE互动成本</t>
        </is>
      </c>
      <c r="AU2" s="12" t="inlineStr">
        <is>
          <t>CPM千次曝光</t>
        </is>
      </c>
      <c r="AV2" s="13" t="inlineStr">
        <is>
          <t>笔记费用(元)</t>
        </is>
      </c>
      <c r="AW2" s="13" t="inlineStr">
        <is>
          <t>笔直合作</t>
        </is>
      </c>
      <c r="AX2" s="13" t="inlineStr">
        <is>
          <t>结算状态</t>
        </is>
      </c>
      <c r="AY2" s="13" t="inlineStr">
        <is>
          <t>成交转化15天</t>
        </is>
      </c>
      <c r="AZ2" s="13" t="inlineStr">
        <is>
          <t>备注memo</t>
        </is>
      </c>
    </row>
    <row r="3">
      <c r="A3" s="14" t="n">
        <v>1</v>
      </c>
      <c r="B3" s="15" t="n"/>
      <c r="C3" s="15" t="n"/>
      <c r="D3" s="16" t="n"/>
      <c r="E3" s="16" t="n"/>
      <c r="F3" s="16" t="n"/>
      <c r="G3" s="15" t="n"/>
      <c r="H3" s="15" t="n"/>
      <c r="I3" s="16" t="n"/>
      <c r="J3" s="16" t="n"/>
      <c r="K3" s="15" t="n"/>
      <c r="L3" s="15" t="n"/>
      <c r="M3" s="15" t="n"/>
      <c r="N3" s="15" t="n"/>
      <c r="O3" s="17">
        <f>IF(N3="","",TEXT(N3,"YYYY-MM"))</f>
        <v/>
      </c>
      <c r="P3" s="16" t="n"/>
      <c r="Q3" s="16" t="n"/>
      <c r="R3" s="15" t="n"/>
      <c r="S3" s="15" t="n"/>
      <c r="T3" s="15" t="n"/>
      <c r="U3" s="16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7">
        <f>IF(AK3="","",AL3+AM3+AN3+AO3)</f>
        <v/>
      </c>
      <c r="AR3" s="18">
        <f>IF(OR(AK3="",AK3=0),"",AQ3/AK3)</f>
        <v/>
      </c>
      <c r="AS3" s="18">
        <f>IF(OR(AK3="",AK3=0),"",AM3/AK3)</f>
        <v/>
      </c>
      <c r="AT3" s="19">
        <f>IF(OR(AV3="",AQ3="",AQ3=0),"",AV3/AQ3)</f>
        <v/>
      </c>
      <c r="AU3" s="19">
        <f>IF(OR(AV3="",AK3="",AK3=0),"",AV3/AK3*1000)</f>
        <v/>
      </c>
      <c r="AV3" s="20" t="n"/>
      <c r="AW3" s="15" t="n"/>
      <c r="AX3" s="15" t="n"/>
      <c r="AY3" s="15" t="n"/>
      <c r="AZ3" s="16" t="n"/>
    </row>
    <row r="4">
      <c r="A4" s="14" t="n">
        <v>2</v>
      </c>
      <c r="B4" s="15" t="n"/>
      <c r="C4" s="15" t="n"/>
      <c r="D4" s="16" t="n"/>
      <c r="E4" s="16" t="n"/>
      <c r="F4" s="16" t="n"/>
      <c r="G4" s="15" t="n"/>
      <c r="H4" s="15" t="n"/>
      <c r="I4" s="16" t="n"/>
      <c r="J4" s="16" t="n"/>
      <c r="K4" s="15" t="n"/>
      <c r="L4" s="15" t="n"/>
      <c r="M4" s="15" t="n"/>
      <c r="N4" s="15" t="n"/>
      <c r="O4" s="17">
        <f>IF(N4="","",TEXT(N4,"YYYY-MM"))</f>
        <v/>
      </c>
      <c r="P4" s="16" t="n"/>
      <c r="Q4" s="16" t="n"/>
      <c r="R4" s="15" t="n"/>
      <c r="S4" s="15" t="n"/>
      <c r="T4" s="15" t="n"/>
      <c r="U4" s="16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7">
        <f>IF(AK4="","",AL4+AM4+AN4+AO4)</f>
        <v/>
      </c>
      <c r="AR4" s="18">
        <f>IF(OR(AK4="",AK4=0),"",AQ4/AK4)</f>
        <v/>
      </c>
      <c r="AS4" s="18">
        <f>IF(OR(AK4="",AK4=0),"",AM4/AK4)</f>
        <v/>
      </c>
      <c r="AT4" s="19">
        <f>IF(OR(AV4="",AQ4="",AQ4=0),"",AV4/AQ4)</f>
        <v/>
      </c>
      <c r="AU4" s="19">
        <f>IF(OR(AV4="",AK4="",AK4=0),"",AV4/AK4*1000)</f>
        <v/>
      </c>
      <c r="AV4" s="20" t="n"/>
      <c r="AW4" s="15" t="n"/>
      <c r="AX4" s="15" t="n"/>
      <c r="AY4" s="15" t="n"/>
      <c r="AZ4" s="16" t="n"/>
    </row>
    <row r="5">
      <c r="A5" s="14" t="n">
        <v>3</v>
      </c>
      <c r="B5" s="15" t="n"/>
      <c r="C5" s="15" t="n"/>
      <c r="D5" s="16" t="n"/>
      <c r="E5" s="16" t="n"/>
      <c r="F5" s="16" t="n"/>
      <c r="G5" s="15" t="n"/>
      <c r="H5" s="15" t="n"/>
      <c r="I5" s="16" t="n"/>
      <c r="J5" s="16" t="n"/>
      <c r="K5" s="15" t="n"/>
      <c r="L5" s="15" t="n"/>
      <c r="M5" s="15" t="n"/>
      <c r="N5" s="15" t="n"/>
      <c r="O5" s="17">
        <f>IF(N5="","",TEXT(N5,"YYYY-MM"))</f>
        <v/>
      </c>
      <c r="P5" s="16" t="n"/>
      <c r="Q5" s="16" t="n"/>
      <c r="R5" s="15" t="n"/>
      <c r="S5" s="15" t="n"/>
      <c r="T5" s="15" t="n"/>
      <c r="U5" s="16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7">
        <f>IF(AK5="","",AL5+AM5+AN5+AO5)</f>
        <v/>
      </c>
      <c r="AR5" s="18">
        <f>IF(OR(AK5="",AK5=0),"",AQ5/AK5)</f>
        <v/>
      </c>
      <c r="AS5" s="18">
        <f>IF(OR(AK5="",AK5=0),"",AM5/AK5)</f>
        <v/>
      </c>
      <c r="AT5" s="19">
        <f>IF(OR(AV5="",AQ5="",AQ5=0),"",AV5/AQ5)</f>
        <v/>
      </c>
      <c r="AU5" s="19">
        <f>IF(OR(AV5="",AK5="",AK5=0),"",AV5/AK5*1000)</f>
        <v/>
      </c>
      <c r="AV5" s="20" t="n"/>
      <c r="AW5" s="15" t="n"/>
      <c r="AX5" s="15" t="n"/>
      <c r="AY5" s="15" t="n"/>
      <c r="AZ5" s="16" t="n"/>
    </row>
    <row r="6">
      <c r="A6" s="14" t="n">
        <v>4</v>
      </c>
      <c r="B6" s="15" t="n"/>
      <c r="C6" s="15" t="n"/>
      <c r="D6" s="16" t="n"/>
      <c r="E6" s="16" t="n"/>
      <c r="F6" s="16" t="n"/>
      <c r="G6" s="15" t="n"/>
      <c r="H6" s="15" t="n"/>
      <c r="I6" s="16" t="n"/>
      <c r="J6" s="16" t="n"/>
      <c r="K6" s="15" t="n"/>
      <c r="L6" s="15" t="n"/>
      <c r="M6" s="15" t="n"/>
      <c r="N6" s="15" t="n"/>
      <c r="O6" s="17">
        <f>IF(N6="","",TEXT(N6,"YYYY-MM"))</f>
        <v/>
      </c>
      <c r="P6" s="16" t="n"/>
      <c r="Q6" s="16" t="n"/>
      <c r="R6" s="15" t="n"/>
      <c r="S6" s="15" t="n"/>
      <c r="T6" s="15" t="n"/>
      <c r="U6" s="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7">
        <f>IF(AK6="","",AL6+AM6+AN6+AO6)</f>
        <v/>
      </c>
      <c r="AR6" s="18">
        <f>IF(OR(AK6="",AK6=0),"",AQ6/AK6)</f>
        <v/>
      </c>
      <c r="AS6" s="18">
        <f>IF(OR(AK6="",AK6=0),"",AM6/AK6)</f>
        <v/>
      </c>
      <c r="AT6" s="19">
        <f>IF(OR(AV6="",AQ6="",AQ6=0),"",AV6/AQ6)</f>
        <v/>
      </c>
      <c r="AU6" s="19">
        <f>IF(OR(AV6="",AK6="",AK6=0),"",AV6/AK6*1000)</f>
        <v/>
      </c>
      <c r="AV6" s="20" t="n"/>
      <c r="AW6" s="15" t="n"/>
      <c r="AX6" s="15" t="n"/>
      <c r="AY6" s="15" t="n"/>
      <c r="AZ6" s="16" t="n"/>
    </row>
    <row r="7">
      <c r="A7" s="14" t="n">
        <v>5</v>
      </c>
      <c r="B7" s="15" t="n"/>
      <c r="C7" s="15" t="n"/>
      <c r="D7" s="16" t="n"/>
      <c r="E7" s="16" t="n"/>
      <c r="F7" s="16" t="n"/>
      <c r="G7" s="15" t="n"/>
      <c r="H7" s="15" t="n"/>
      <c r="I7" s="16" t="n"/>
      <c r="J7" s="16" t="n"/>
      <c r="K7" s="15" t="n"/>
      <c r="L7" s="15" t="n"/>
      <c r="M7" s="15" t="n"/>
      <c r="N7" s="15" t="n"/>
      <c r="O7" s="17">
        <f>IF(N7="","",TEXT(N7,"YYYY-MM"))</f>
        <v/>
      </c>
      <c r="P7" s="16" t="n"/>
      <c r="Q7" s="16" t="n"/>
      <c r="R7" s="15" t="n"/>
      <c r="S7" s="15" t="n"/>
      <c r="T7" s="15" t="n"/>
      <c r="U7" s="16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7">
        <f>IF(AK7="","",AL7+AM7+AN7+AO7)</f>
        <v/>
      </c>
      <c r="AR7" s="18">
        <f>IF(OR(AK7="",AK7=0),"",AQ7/AK7)</f>
        <v/>
      </c>
      <c r="AS7" s="18">
        <f>IF(OR(AK7="",AK7=0),"",AM7/AK7)</f>
        <v/>
      </c>
      <c r="AT7" s="19">
        <f>IF(OR(AV7="",AQ7="",AQ7=0),"",AV7/AQ7)</f>
        <v/>
      </c>
      <c r="AU7" s="19">
        <f>IF(OR(AV7="",AK7="",AK7=0),"",AV7/AK7*1000)</f>
        <v/>
      </c>
      <c r="AV7" s="20" t="n"/>
      <c r="AW7" s="15" t="n"/>
      <c r="AX7" s="15" t="n"/>
      <c r="AY7" s="15" t="n"/>
      <c r="AZ7" s="16" t="n"/>
    </row>
    <row r="8">
      <c r="A8" s="14" t="n">
        <v>6</v>
      </c>
      <c r="B8" s="15" t="n"/>
      <c r="C8" s="15" t="n"/>
      <c r="D8" s="16" t="n"/>
      <c r="E8" s="16" t="n"/>
      <c r="F8" s="16" t="n"/>
      <c r="G8" s="15" t="n"/>
      <c r="H8" s="15" t="n"/>
      <c r="I8" s="16" t="n"/>
      <c r="J8" s="16" t="n"/>
      <c r="K8" s="15" t="n"/>
      <c r="L8" s="15" t="n"/>
      <c r="M8" s="15" t="n"/>
      <c r="N8" s="15" t="n"/>
      <c r="O8" s="17">
        <f>IF(N8="","",TEXT(N8,"YYYY-MM"))</f>
        <v/>
      </c>
      <c r="P8" s="16" t="n"/>
      <c r="Q8" s="16" t="n"/>
      <c r="R8" s="15" t="n"/>
      <c r="S8" s="15" t="n"/>
      <c r="T8" s="15" t="n"/>
      <c r="U8" s="16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7">
        <f>IF(AK8="","",AL8+AM8+AN8+AO8)</f>
        <v/>
      </c>
      <c r="AR8" s="18">
        <f>IF(OR(AK8="",AK8=0),"",AQ8/AK8)</f>
        <v/>
      </c>
      <c r="AS8" s="18">
        <f>IF(OR(AK8="",AK8=0),"",AM8/AK8)</f>
        <v/>
      </c>
      <c r="AT8" s="19">
        <f>IF(OR(AV8="",AQ8="",AQ8=0),"",AV8/AQ8)</f>
        <v/>
      </c>
      <c r="AU8" s="19">
        <f>IF(OR(AV8="",AK8="",AK8=0),"",AV8/AK8*1000)</f>
        <v/>
      </c>
      <c r="AV8" s="20" t="n"/>
      <c r="AW8" s="15" t="n"/>
      <c r="AX8" s="15" t="n"/>
      <c r="AY8" s="15" t="n"/>
      <c r="AZ8" s="16" t="n"/>
    </row>
    <row r="9">
      <c r="A9" s="14" t="n">
        <v>7</v>
      </c>
      <c r="B9" s="15" t="n"/>
      <c r="C9" s="15" t="n"/>
      <c r="D9" s="16" t="n"/>
      <c r="E9" s="16" t="n"/>
      <c r="F9" s="16" t="n"/>
      <c r="G9" s="15" t="n"/>
      <c r="H9" s="15" t="n"/>
      <c r="I9" s="16" t="n"/>
      <c r="J9" s="16" t="n"/>
      <c r="K9" s="15" t="n"/>
      <c r="L9" s="15" t="n"/>
      <c r="M9" s="15" t="n"/>
      <c r="N9" s="15" t="n"/>
      <c r="O9" s="17">
        <f>IF(N9="","",TEXT(N9,"YYYY-MM"))</f>
        <v/>
      </c>
      <c r="P9" s="16" t="n"/>
      <c r="Q9" s="16" t="n"/>
      <c r="R9" s="15" t="n"/>
      <c r="S9" s="15" t="n"/>
      <c r="T9" s="15" t="n"/>
      <c r="U9" s="16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7">
        <f>IF(AK9="","",AL9+AM9+AN9+AO9)</f>
        <v/>
      </c>
      <c r="AR9" s="18">
        <f>IF(OR(AK9="",AK9=0),"",AQ9/AK9)</f>
        <v/>
      </c>
      <c r="AS9" s="18">
        <f>IF(OR(AK9="",AK9=0),"",AM9/AK9)</f>
        <v/>
      </c>
      <c r="AT9" s="19">
        <f>IF(OR(AV9="",AQ9="",AQ9=0),"",AV9/AQ9)</f>
        <v/>
      </c>
      <c r="AU9" s="19">
        <f>IF(OR(AV9="",AK9="",AK9=0),"",AV9/AK9*1000)</f>
        <v/>
      </c>
      <c r="AV9" s="20" t="n"/>
      <c r="AW9" s="15" t="n"/>
      <c r="AX9" s="15" t="n"/>
      <c r="AY9" s="15" t="n"/>
      <c r="AZ9" s="16" t="n"/>
    </row>
    <row r="10">
      <c r="A10" s="14" t="n">
        <v>8</v>
      </c>
      <c r="B10" s="15" t="n"/>
      <c r="C10" s="15" t="n"/>
      <c r="D10" s="16" t="n"/>
      <c r="E10" s="16" t="n"/>
      <c r="F10" s="16" t="n"/>
      <c r="G10" s="15" t="n"/>
      <c r="H10" s="15" t="n"/>
      <c r="I10" s="16" t="n"/>
      <c r="J10" s="16" t="n"/>
      <c r="K10" s="15" t="n"/>
      <c r="L10" s="15" t="n"/>
      <c r="M10" s="15" t="n"/>
      <c r="N10" s="15" t="n"/>
      <c r="O10" s="17">
        <f>IF(N10="","",TEXT(N10,"YYYY-MM"))</f>
        <v/>
      </c>
      <c r="P10" s="16" t="n"/>
      <c r="Q10" s="16" t="n"/>
      <c r="R10" s="15" t="n"/>
      <c r="S10" s="15" t="n"/>
      <c r="T10" s="15" t="n"/>
      <c r="U10" s="16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7">
        <f>IF(AK10="","",AL10+AM10+AN10+AO10)</f>
        <v/>
      </c>
      <c r="AR10" s="18">
        <f>IF(OR(AK10="",AK10=0),"",AQ10/AK10)</f>
        <v/>
      </c>
      <c r="AS10" s="18">
        <f>IF(OR(AK10="",AK10=0),"",AM10/AK10)</f>
        <v/>
      </c>
      <c r="AT10" s="19">
        <f>IF(OR(AV10="",AQ10="",AQ10=0),"",AV10/AQ10)</f>
        <v/>
      </c>
      <c r="AU10" s="19">
        <f>IF(OR(AV10="",AK10="",AK10=0),"",AV10/AK10*1000)</f>
        <v/>
      </c>
      <c r="AV10" s="20" t="n"/>
      <c r="AW10" s="15" t="n"/>
      <c r="AX10" s="15" t="n"/>
      <c r="AY10" s="15" t="n"/>
      <c r="AZ10" s="16" t="n"/>
    </row>
    <row r="11">
      <c r="A11" s="14" t="n">
        <v>9</v>
      </c>
      <c r="B11" s="15" t="n"/>
      <c r="C11" s="15" t="n"/>
      <c r="D11" s="16" t="n"/>
      <c r="E11" s="16" t="n"/>
      <c r="F11" s="16" t="n"/>
      <c r="G11" s="15" t="n"/>
      <c r="H11" s="15" t="n"/>
      <c r="I11" s="16" t="n"/>
      <c r="J11" s="16" t="n"/>
      <c r="K11" s="15" t="n"/>
      <c r="L11" s="15" t="n"/>
      <c r="M11" s="15" t="n"/>
      <c r="N11" s="15" t="n"/>
      <c r="O11" s="17">
        <f>IF(N11="","",TEXT(N11,"YYYY-MM"))</f>
        <v/>
      </c>
      <c r="P11" s="16" t="n"/>
      <c r="Q11" s="16" t="n"/>
      <c r="R11" s="15" t="n"/>
      <c r="S11" s="15" t="n"/>
      <c r="T11" s="15" t="n"/>
      <c r="U11" s="16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7">
        <f>IF(AK11="","",AL11+AM11+AN11+AO11)</f>
        <v/>
      </c>
      <c r="AR11" s="18">
        <f>IF(OR(AK11="",AK11=0),"",AQ11/AK11)</f>
        <v/>
      </c>
      <c r="AS11" s="18">
        <f>IF(OR(AK11="",AK11=0),"",AM11/AK11)</f>
        <v/>
      </c>
      <c r="AT11" s="19">
        <f>IF(OR(AV11="",AQ11="",AQ11=0),"",AV11/AQ11)</f>
        <v/>
      </c>
      <c r="AU11" s="19">
        <f>IF(OR(AV11="",AK11="",AK11=0),"",AV11/AK11*1000)</f>
        <v/>
      </c>
      <c r="AV11" s="20" t="n"/>
      <c r="AW11" s="15" t="n"/>
      <c r="AX11" s="15" t="n"/>
      <c r="AY11" s="15" t="n"/>
      <c r="AZ11" s="16" t="n"/>
    </row>
    <row r="12">
      <c r="A12" s="14" t="n">
        <v>10</v>
      </c>
      <c r="B12" s="15" t="n"/>
      <c r="C12" s="15" t="n"/>
      <c r="D12" s="16" t="n"/>
      <c r="E12" s="16" t="n"/>
      <c r="F12" s="16" t="n"/>
      <c r="G12" s="15" t="n"/>
      <c r="H12" s="15" t="n"/>
      <c r="I12" s="16" t="n"/>
      <c r="J12" s="16" t="n"/>
      <c r="K12" s="15" t="n"/>
      <c r="L12" s="15" t="n"/>
      <c r="M12" s="15" t="n"/>
      <c r="N12" s="15" t="n"/>
      <c r="O12" s="17">
        <f>IF(N12="","",TEXT(N12,"YYYY-MM"))</f>
        <v/>
      </c>
      <c r="P12" s="16" t="n"/>
      <c r="Q12" s="16" t="n"/>
      <c r="R12" s="15" t="n"/>
      <c r="S12" s="15" t="n"/>
      <c r="T12" s="15" t="n"/>
      <c r="U12" s="16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7">
        <f>IF(AK12="","",AL12+AM12+AN12+AO12)</f>
        <v/>
      </c>
      <c r="AR12" s="18">
        <f>IF(OR(AK12="",AK12=0),"",AQ12/AK12)</f>
        <v/>
      </c>
      <c r="AS12" s="18">
        <f>IF(OR(AK12="",AK12=0),"",AM12/AK12)</f>
        <v/>
      </c>
      <c r="AT12" s="19">
        <f>IF(OR(AV12="",AQ12="",AQ12=0),"",AV12/AQ12)</f>
        <v/>
      </c>
      <c r="AU12" s="19">
        <f>IF(OR(AV12="",AK12="",AK12=0),"",AV12/AK12*1000)</f>
        <v/>
      </c>
      <c r="AV12" s="20" t="n"/>
      <c r="AW12" s="15" t="n"/>
      <c r="AX12" s="15" t="n"/>
      <c r="AY12" s="15" t="n"/>
      <c r="AZ12" s="16" t="n"/>
    </row>
    <row r="13">
      <c r="A13" s="14" t="n">
        <v>11</v>
      </c>
      <c r="B13" s="15" t="n"/>
      <c r="C13" s="15" t="n"/>
      <c r="D13" s="16" t="n"/>
      <c r="E13" s="16" t="n"/>
      <c r="F13" s="16" t="n"/>
      <c r="G13" s="15" t="n"/>
      <c r="H13" s="15" t="n"/>
      <c r="I13" s="16" t="n"/>
      <c r="J13" s="16" t="n"/>
      <c r="K13" s="15" t="n"/>
      <c r="L13" s="15" t="n"/>
      <c r="M13" s="15" t="n"/>
      <c r="N13" s="15" t="n"/>
      <c r="O13" s="17">
        <f>IF(N13="","",TEXT(N13,"YYYY-MM"))</f>
        <v/>
      </c>
      <c r="P13" s="16" t="n"/>
      <c r="Q13" s="16" t="n"/>
      <c r="R13" s="15" t="n"/>
      <c r="S13" s="15" t="n"/>
      <c r="T13" s="15" t="n"/>
      <c r="U13" s="16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7">
        <f>IF(AK13="","",AL13+AM13+AN13+AO13)</f>
        <v/>
      </c>
      <c r="AR13" s="18">
        <f>IF(OR(AK13="",AK13=0),"",AQ13/AK13)</f>
        <v/>
      </c>
      <c r="AS13" s="18">
        <f>IF(OR(AK13="",AK13=0),"",AM13/AK13)</f>
        <v/>
      </c>
      <c r="AT13" s="19">
        <f>IF(OR(AV13="",AQ13="",AQ13=0),"",AV13/AQ13)</f>
        <v/>
      </c>
      <c r="AU13" s="19">
        <f>IF(OR(AV13="",AK13="",AK13=0),"",AV13/AK13*1000)</f>
        <v/>
      </c>
      <c r="AV13" s="20" t="n"/>
      <c r="AW13" s="15" t="n"/>
      <c r="AX13" s="15" t="n"/>
      <c r="AY13" s="15" t="n"/>
      <c r="AZ13" s="16" t="n"/>
    </row>
    <row r="14">
      <c r="A14" s="14" t="n">
        <v>12</v>
      </c>
      <c r="B14" s="15" t="n"/>
      <c r="C14" s="15" t="n"/>
      <c r="D14" s="16" t="n"/>
      <c r="E14" s="16" t="n"/>
      <c r="F14" s="16" t="n"/>
      <c r="G14" s="15" t="n"/>
      <c r="H14" s="15" t="n"/>
      <c r="I14" s="16" t="n"/>
      <c r="J14" s="16" t="n"/>
      <c r="K14" s="15" t="n"/>
      <c r="L14" s="15" t="n"/>
      <c r="M14" s="15" t="n"/>
      <c r="N14" s="15" t="n"/>
      <c r="O14" s="17">
        <f>IF(N14="","",TEXT(N14,"YYYY-MM"))</f>
        <v/>
      </c>
      <c r="P14" s="16" t="n"/>
      <c r="Q14" s="16" t="n"/>
      <c r="R14" s="15" t="n"/>
      <c r="S14" s="15" t="n"/>
      <c r="T14" s="15" t="n"/>
      <c r="U14" s="16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7">
        <f>IF(AK14="","",AL14+AM14+AN14+AO14)</f>
        <v/>
      </c>
      <c r="AR14" s="18">
        <f>IF(OR(AK14="",AK14=0),"",AQ14/AK14)</f>
        <v/>
      </c>
      <c r="AS14" s="18">
        <f>IF(OR(AK14="",AK14=0),"",AM14/AK14)</f>
        <v/>
      </c>
      <c r="AT14" s="19">
        <f>IF(OR(AV14="",AQ14="",AQ14=0),"",AV14/AQ14)</f>
        <v/>
      </c>
      <c r="AU14" s="19">
        <f>IF(OR(AV14="",AK14="",AK14=0),"",AV14/AK14*1000)</f>
        <v/>
      </c>
      <c r="AV14" s="20" t="n"/>
      <c r="AW14" s="15" t="n"/>
      <c r="AX14" s="15" t="n"/>
      <c r="AY14" s="15" t="n"/>
      <c r="AZ14" s="16" t="n"/>
    </row>
    <row r="15">
      <c r="A15" s="14" t="n">
        <v>13</v>
      </c>
      <c r="B15" s="15" t="n"/>
      <c r="C15" s="15" t="n"/>
      <c r="D15" s="16" t="n"/>
      <c r="E15" s="16" t="n"/>
      <c r="F15" s="16" t="n"/>
      <c r="G15" s="15" t="n"/>
      <c r="H15" s="15" t="n"/>
      <c r="I15" s="16" t="n"/>
      <c r="J15" s="16" t="n"/>
      <c r="K15" s="15" t="n"/>
      <c r="L15" s="15" t="n"/>
      <c r="M15" s="15" t="n"/>
      <c r="N15" s="15" t="n"/>
      <c r="O15" s="17">
        <f>IF(N15="","",TEXT(N15,"YYYY-MM"))</f>
        <v/>
      </c>
      <c r="P15" s="16" t="n"/>
      <c r="Q15" s="16" t="n"/>
      <c r="R15" s="15" t="n"/>
      <c r="S15" s="15" t="n"/>
      <c r="T15" s="15" t="n"/>
      <c r="U15" s="16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7">
        <f>IF(AK15="","",AL15+AM15+AN15+AO15)</f>
        <v/>
      </c>
      <c r="AR15" s="18">
        <f>IF(OR(AK15="",AK15=0),"",AQ15/AK15)</f>
        <v/>
      </c>
      <c r="AS15" s="18">
        <f>IF(OR(AK15="",AK15=0),"",AM15/AK15)</f>
        <v/>
      </c>
      <c r="AT15" s="19">
        <f>IF(OR(AV15="",AQ15="",AQ15=0),"",AV15/AQ15)</f>
        <v/>
      </c>
      <c r="AU15" s="19">
        <f>IF(OR(AV15="",AK15="",AK15=0),"",AV15/AK15*1000)</f>
        <v/>
      </c>
      <c r="AV15" s="20" t="n"/>
      <c r="AW15" s="15" t="n"/>
      <c r="AX15" s="15" t="n"/>
      <c r="AY15" s="15" t="n"/>
      <c r="AZ15" s="16" t="n"/>
    </row>
    <row r="16">
      <c r="A16" s="14" t="n">
        <v>14</v>
      </c>
      <c r="B16" s="15" t="n"/>
      <c r="C16" s="15" t="n"/>
      <c r="D16" s="16" t="n"/>
      <c r="E16" s="16" t="n"/>
      <c r="F16" s="16" t="n"/>
      <c r="G16" s="15" t="n"/>
      <c r="H16" s="15" t="n"/>
      <c r="I16" s="16" t="n"/>
      <c r="J16" s="16" t="n"/>
      <c r="K16" s="15" t="n"/>
      <c r="L16" s="15" t="n"/>
      <c r="M16" s="15" t="n"/>
      <c r="N16" s="15" t="n"/>
      <c r="O16" s="17">
        <f>IF(N16="","",TEXT(N16,"YYYY-MM"))</f>
        <v/>
      </c>
      <c r="P16" s="16" t="n"/>
      <c r="Q16" s="16" t="n"/>
      <c r="R16" s="15" t="n"/>
      <c r="S16" s="15" t="n"/>
      <c r="T16" s="15" t="n"/>
      <c r="U16" s="16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7">
        <f>IF(AK16="","",AL16+AM16+AN16+AO16)</f>
        <v/>
      </c>
      <c r="AR16" s="18">
        <f>IF(OR(AK16="",AK16=0),"",AQ16/AK16)</f>
        <v/>
      </c>
      <c r="AS16" s="18">
        <f>IF(OR(AK16="",AK16=0),"",AM16/AK16)</f>
        <v/>
      </c>
      <c r="AT16" s="19">
        <f>IF(OR(AV16="",AQ16="",AQ16=0),"",AV16/AQ16)</f>
        <v/>
      </c>
      <c r="AU16" s="19">
        <f>IF(OR(AV16="",AK16="",AK16=0),"",AV16/AK16*1000)</f>
        <v/>
      </c>
      <c r="AV16" s="20" t="n"/>
      <c r="AW16" s="15" t="n"/>
      <c r="AX16" s="15" t="n"/>
      <c r="AY16" s="15" t="n"/>
      <c r="AZ16" s="16" t="n"/>
    </row>
    <row r="17">
      <c r="A17" s="14" t="n">
        <v>15</v>
      </c>
      <c r="B17" s="15" t="n"/>
      <c r="C17" s="15" t="n"/>
      <c r="D17" s="16" t="n"/>
      <c r="E17" s="16" t="n"/>
      <c r="F17" s="16" t="n"/>
      <c r="G17" s="15" t="n"/>
      <c r="H17" s="15" t="n"/>
      <c r="I17" s="16" t="n"/>
      <c r="J17" s="16" t="n"/>
      <c r="K17" s="15" t="n"/>
      <c r="L17" s="15" t="n"/>
      <c r="M17" s="15" t="n"/>
      <c r="N17" s="15" t="n"/>
      <c r="O17" s="17">
        <f>IF(N17="","",TEXT(N17,"YYYY-MM"))</f>
        <v/>
      </c>
      <c r="P17" s="16" t="n"/>
      <c r="Q17" s="16" t="n"/>
      <c r="R17" s="15" t="n"/>
      <c r="S17" s="15" t="n"/>
      <c r="T17" s="15" t="n"/>
      <c r="U17" s="16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7">
        <f>IF(AK17="","",AL17+AM17+AN17+AO17)</f>
        <v/>
      </c>
      <c r="AR17" s="18">
        <f>IF(OR(AK17="",AK17=0),"",AQ17/AK17)</f>
        <v/>
      </c>
      <c r="AS17" s="18">
        <f>IF(OR(AK17="",AK17=0),"",AM17/AK17)</f>
        <v/>
      </c>
      <c r="AT17" s="19">
        <f>IF(OR(AV17="",AQ17="",AQ17=0),"",AV17/AQ17)</f>
        <v/>
      </c>
      <c r="AU17" s="19">
        <f>IF(OR(AV17="",AK17="",AK17=0),"",AV17/AK17*1000)</f>
        <v/>
      </c>
      <c r="AV17" s="20" t="n"/>
      <c r="AW17" s="15" t="n"/>
      <c r="AX17" s="15" t="n"/>
      <c r="AY17" s="15" t="n"/>
      <c r="AZ17" s="16" t="n"/>
    </row>
    <row r="18">
      <c r="A18" s="14" t="n">
        <v>16</v>
      </c>
      <c r="B18" s="15" t="n"/>
      <c r="C18" s="15" t="n"/>
      <c r="D18" s="16" t="n"/>
      <c r="E18" s="16" t="n"/>
      <c r="F18" s="16" t="n"/>
      <c r="G18" s="15" t="n"/>
      <c r="H18" s="15" t="n"/>
      <c r="I18" s="16" t="n"/>
      <c r="J18" s="16" t="n"/>
      <c r="K18" s="15" t="n"/>
      <c r="L18" s="15" t="n"/>
      <c r="M18" s="15" t="n"/>
      <c r="N18" s="15" t="n"/>
      <c r="O18" s="17">
        <f>IF(N18="","",TEXT(N18,"YYYY-MM"))</f>
        <v/>
      </c>
      <c r="P18" s="16" t="n"/>
      <c r="Q18" s="16" t="n"/>
      <c r="R18" s="15" t="n"/>
      <c r="S18" s="15" t="n"/>
      <c r="T18" s="15" t="n"/>
      <c r="U18" s="16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7">
        <f>IF(AK18="","",AL18+AM18+AN18+AO18)</f>
        <v/>
      </c>
      <c r="AR18" s="18">
        <f>IF(OR(AK18="",AK18=0),"",AQ18/AK18)</f>
        <v/>
      </c>
      <c r="AS18" s="18">
        <f>IF(OR(AK18="",AK18=0),"",AM18/AK18)</f>
        <v/>
      </c>
      <c r="AT18" s="19">
        <f>IF(OR(AV18="",AQ18="",AQ18=0),"",AV18/AQ18)</f>
        <v/>
      </c>
      <c r="AU18" s="19">
        <f>IF(OR(AV18="",AK18="",AK18=0),"",AV18/AK18*1000)</f>
        <v/>
      </c>
      <c r="AV18" s="20" t="n"/>
      <c r="AW18" s="15" t="n"/>
      <c r="AX18" s="15" t="n"/>
      <c r="AY18" s="15" t="n"/>
      <c r="AZ18" s="16" t="n"/>
    </row>
    <row r="19">
      <c r="A19" s="14" t="n">
        <v>17</v>
      </c>
      <c r="B19" s="15" t="n"/>
      <c r="C19" s="15" t="n"/>
      <c r="D19" s="16" t="n"/>
      <c r="E19" s="16" t="n"/>
      <c r="F19" s="16" t="n"/>
      <c r="G19" s="15" t="n"/>
      <c r="H19" s="15" t="n"/>
      <c r="I19" s="16" t="n"/>
      <c r="J19" s="16" t="n"/>
      <c r="K19" s="15" t="n"/>
      <c r="L19" s="15" t="n"/>
      <c r="M19" s="15" t="n"/>
      <c r="N19" s="15" t="n"/>
      <c r="O19" s="17">
        <f>IF(N19="","",TEXT(N19,"YYYY-MM"))</f>
        <v/>
      </c>
      <c r="P19" s="16" t="n"/>
      <c r="Q19" s="16" t="n"/>
      <c r="R19" s="15" t="n"/>
      <c r="S19" s="15" t="n"/>
      <c r="T19" s="15" t="n"/>
      <c r="U19" s="16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7">
        <f>IF(AK19="","",AL19+AM19+AN19+AO19)</f>
        <v/>
      </c>
      <c r="AR19" s="18">
        <f>IF(OR(AK19="",AK19=0),"",AQ19/AK19)</f>
        <v/>
      </c>
      <c r="AS19" s="18">
        <f>IF(OR(AK19="",AK19=0),"",AM19/AK19)</f>
        <v/>
      </c>
      <c r="AT19" s="19">
        <f>IF(OR(AV19="",AQ19="",AQ19=0),"",AV19/AQ19)</f>
        <v/>
      </c>
      <c r="AU19" s="19">
        <f>IF(OR(AV19="",AK19="",AK19=0),"",AV19/AK19*1000)</f>
        <v/>
      </c>
      <c r="AV19" s="20" t="n"/>
      <c r="AW19" s="15" t="n"/>
      <c r="AX19" s="15" t="n"/>
      <c r="AY19" s="15" t="n"/>
      <c r="AZ19" s="16" t="n"/>
    </row>
    <row r="20">
      <c r="A20" s="14" t="n">
        <v>18</v>
      </c>
      <c r="B20" s="15" t="n"/>
      <c r="C20" s="15" t="n"/>
      <c r="D20" s="16" t="n"/>
      <c r="E20" s="16" t="n"/>
      <c r="F20" s="16" t="n"/>
      <c r="G20" s="15" t="n"/>
      <c r="H20" s="15" t="n"/>
      <c r="I20" s="16" t="n"/>
      <c r="J20" s="16" t="n"/>
      <c r="K20" s="15" t="n"/>
      <c r="L20" s="15" t="n"/>
      <c r="M20" s="15" t="n"/>
      <c r="N20" s="15" t="n"/>
      <c r="O20" s="17">
        <f>IF(N20="","",TEXT(N20,"YYYY-MM"))</f>
        <v/>
      </c>
      <c r="P20" s="16" t="n"/>
      <c r="Q20" s="16" t="n"/>
      <c r="R20" s="15" t="n"/>
      <c r="S20" s="15" t="n"/>
      <c r="T20" s="15" t="n"/>
      <c r="U20" s="16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7">
        <f>IF(AK20="","",AL20+AM20+AN20+AO20)</f>
        <v/>
      </c>
      <c r="AR20" s="18">
        <f>IF(OR(AK20="",AK20=0),"",AQ20/AK20)</f>
        <v/>
      </c>
      <c r="AS20" s="18">
        <f>IF(OR(AK20="",AK20=0),"",AM20/AK20)</f>
        <v/>
      </c>
      <c r="AT20" s="19">
        <f>IF(OR(AV20="",AQ20="",AQ20=0),"",AV20/AQ20)</f>
        <v/>
      </c>
      <c r="AU20" s="19">
        <f>IF(OR(AV20="",AK20="",AK20=0),"",AV20/AK20*1000)</f>
        <v/>
      </c>
      <c r="AV20" s="20" t="n"/>
      <c r="AW20" s="15" t="n"/>
      <c r="AX20" s="15" t="n"/>
      <c r="AY20" s="15" t="n"/>
      <c r="AZ20" s="16" t="n"/>
    </row>
    <row r="21">
      <c r="A21" s="14" t="n">
        <v>19</v>
      </c>
      <c r="B21" s="15" t="n"/>
      <c r="C21" s="15" t="n"/>
      <c r="D21" s="16" t="n"/>
      <c r="E21" s="16" t="n"/>
      <c r="F21" s="16" t="n"/>
      <c r="G21" s="15" t="n"/>
      <c r="H21" s="15" t="n"/>
      <c r="I21" s="16" t="n"/>
      <c r="J21" s="16" t="n"/>
      <c r="K21" s="15" t="n"/>
      <c r="L21" s="15" t="n"/>
      <c r="M21" s="15" t="n"/>
      <c r="N21" s="15" t="n"/>
      <c r="O21" s="17">
        <f>IF(N21="","",TEXT(N21,"YYYY-MM"))</f>
        <v/>
      </c>
      <c r="P21" s="16" t="n"/>
      <c r="Q21" s="16" t="n"/>
      <c r="R21" s="15" t="n"/>
      <c r="S21" s="15" t="n"/>
      <c r="T21" s="15" t="n"/>
      <c r="U21" s="16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7">
        <f>IF(AK21="","",AL21+AM21+AN21+AO21)</f>
        <v/>
      </c>
      <c r="AR21" s="18">
        <f>IF(OR(AK21="",AK21=0),"",AQ21/AK21)</f>
        <v/>
      </c>
      <c r="AS21" s="18">
        <f>IF(OR(AK21="",AK21=0),"",AM21/AK21)</f>
        <v/>
      </c>
      <c r="AT21" s="19">
        <f>IF(OR(AV21="",AQ21="",AQ21=0),"",AV21/AQ21)</f>
        <v/>
      </c>
      <c r="AU21" s="19">
        <f>IF(OR(AV21="",AK21="",AK21=0),"",AV21/AK21*1000)</f>
        <v/>
      </c>
      <c r="AV21" s="20" t="n"/>
      <c r="AW21" s="15" t="n"/>
      <c r="AX21" s="15" t="n"/>
      <c r="AY21" s="15" t="n"/>
      <c r="AZ21" s="16" t="n"/>
    </row>
    <row r="22">
      <c r="A22" s="14" t="n">
        <v>20</v>
      </c>
      <c r="B22" s="15" t="n"/>
      <c r="C22" s="15" t="n"/>
      <c r="D22" s="16" t="n"/>
      <c r="E22" s="16" t="n"/>
      <c r="F22" s="16" t="n"/>
      <c r="G22" s="15" t="n"/>
      <c r="H22" s="15" t="n"/>
      <c r="I22" s="16" t="n"/>
      <c r="J22" s="16" t="n"/>
      <c r="K22" s="15" t="n"/>
      <c r="L22" s="15" t="n"/>
      <c r="M22" s="15" t="n"/>
      <c r="N22" s="15" t="n"/>
      <c r="O22" s="17">
        <f>IF(N22="","",TEXT(N22,"YYYY-MM"))</f>
        <v/>
      </c>
      <c r="P22" s="16" t="n"/>
      <c r="Q22" s="16" t="n"/>
      <c r="R22" s="15" t="n"/>
      <c r="S22" s="15" t="n"/>
      <c r="T22" s="15" t="n"/>
      <c r="U22" s="16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7">
        <f>IF(AK22="","",AL22+AM22+AN22+AO22)</f>
        <v/>
      </c>
      <c r="AR22" s="18">
        <f>IF(OR(AK22="",AK22=0),"",AQ22/AK22)</f>
        <v/>
      </c>
      <c r="AS22" s="18">
        <f>IF(OR(AK22="",AK22=0),"",AM22/AK22)</f>
        <v/>
      </c>
      <c r="AT22" s="19">
        <f>IF(OR(AV22="",AQ22="",AQ22=0),"",AV22/AQ22)</f>
        <v/>
      </c>
      <c r="AU22" s="19">
        <f>IF(OR(AV22="",AK22="",AK22=0),"",AV22/AK22*1000)</f>
        <v/>
      </c>
      <c r="AV22" s="20" t="n"/>
      <c r="AW22" s="15" t="n"/>
      <c r="AX22" s="15" t="n"/>
      <c r="AY22" s="15" t="n"/>
      <c r="AZ22" s="16" t="n"/>
    </row>
    <row r="23">
      <c r="A23" s="14" t="n">
        <v>21</v>
      </c>
      <c r="B23" s="15" t="n"/>
      <c r="C23" s="15" t="n"/>
      <c r="D23" s="16" t="n"/>
      <c r="E23" s="16" t="n"/>
      <c r="F23" s="16" t="n"/>
      <c r="G23" s="15" t="n"/>
      <c r="H23" s="15" t="n"/>
      <c r="I23" s="16" t="n"/>
      <c r="J23" s="16" t="n"/>
      <c r="K23" s="15" t="n"/>
      <c r="L23" s="15" t="n"/>
      <c r="M23" s="15" t="n"/>
      <c r="N23" s="15" t="n"/>
      <c r="O23" s="17">
        <f>IF(N23="","",TEXT(N23,"YYYY-MM"))</f>
        <v/>
      </c>
      <c r="P23" s="16" t="n"/>
      <c r="Q23" s="16" t="n"/>
      <c r="R23" s="15" t="n"/>
      <c r="S23" s="15" t="n"/>
      <c r="T23" s="15" t="n"/>
      <c r="U23" s="16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7">
        <f>IF(AK23="","",AL23+AM23+AN23+AO23)</f>
        <v/>
      </c>
      <c r="AR23" s="18">
        <f>IF(OR(AK23="",AK23=0),"",AQ23/AK23)</f>
        <v/>
      </c>
      <c r="AS23" s="18">
        <f>IF(OR(AK23="",AK23=0),"",AM23/AK23)</f>
        <v/>
      </c>
      <c r="AT23" s="19">
        <f>IF(OR(AV23="",AQ23="",AQ23=0),"",AV23/AQ23)</f>
        <v/>
      </c>
      <c r="AU23" s="19">
        <f>IF(OR(AV23="",AK23="",AK23=0),"",AV23/AK23*1000)</f>
        <v/>
      </c>
      <c r="AV23" s="20" t="n"/>
      <c r="AW23" s="15" t="n"/>
      <c r="AX23" s="15" t="n"/>
      <c r="AY23" s="15" t="n"/>
      <c r="AZ23" s="16" t="n"/>
    </row>
    <row r="24">
      <c r="A24" s="14" t="n">
        <v>22</v>
      </c>
      <c r="B24" s="15" t="n"/>
      <c r="C24" s="15" t="n"/>
      <c r="D24" s="16" t="n"/>
      <c r="E24" s="16" t="n"/>
      <c r="F24" s="16" t="n"/>
      <c r="G24" s="15" t="n"/>
      <c r="H24" s="15" t="n"/>
      <c r="I24" s="16" t="n"/>
      <c r="J24" s="16" t="n"/>
      <c r="K24" s="15" t="n"/>
      <c r="L24" s="15" t="n"/>
      <c r="M24" s="15" t="n"/>
      <c r="N24" s="15" t="n"/>
      <c r="O24" s="17">
        <f>IF(N24="","",TEXT(N24,"YYYY-MM"))</f>
        <v/>
      </c>
      <c r="P24" s="16" t="n"/>
      <c r="Q24" s="16" t="n"/>
      <c r="R24" s="15" t="n"/>
      <c r="S24" s="15" t="n"/>
      <c r="T24" s="15" t="n"/>
      <c r="U24" s="16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7">
        <f>IF(AK24="","",AL24+AM24+AN24+AO24)</f>
        <v/>
      </c>
      <c r="AR24" s="18">
        <f>IF(OR(AK24="",AK24=0),"",AQ24/AK24)</f>
        <v/>
      </c>
      <c r="AS24" s="18">
        <f>IF(OR(AK24="",AK24=0),"",AM24/AK24)</f>
        <v/>
      </c>
      <c r="AT24" s="19">
        <f>IF(OR(AV24="",AQ24="",AQ24=0),"",AV24/AQ24)</f>
        <v/>
      </c>
      <c r="AU24" s="19">
        <f>IF(OR(AV24="",AK24="",AK24=0),"",AV24/AK24*1000)</f>
        <v/>
      </c>
      <c r="AV24" s="20" t="n"/>
      <c r="AW24" s="15" t="n"/>
      <c r="AX24" s="15" t="n"/>
      <c r="AY24" s="15" t="n"/>
      <c r="AZ24" s="16" t="n"/>
    </row>
    <row r="25">
      <c r="A25" s="14" t="n">
        <v>23</v>
      </c>
      <c r="B25" s="15" t="n"/>
      <c r="C25" s="15" t="n"/>
      <c r="D25" s="16" t="n"/>
      <c r="E25" s="16" t="n"/>
      <c r="F25" s="16" t="n"/>
      <c r="G25" s="15" t="n"/>
      <c r="H25" s="15" t="n"/>
      <c r="I25" s="16" t="n"/>
      <c r="J25" s="16" t="n"/>
      <c r="K25" s="15" t="n"/>
      <c r="L25" s="15" t="n"/>
      <c r="M25" s="15" t="n"/>
      <c r="N25" s="15" t="n"/>
      <c r="O25" s="17">
        <f>IF(N25="","",TEXT(N25,"YYYY-MM"))</f>
        <v/>
      </c>
      <c r="P25" s="16" t="n"/>
      <c r="Q25" s="16" t="n"/>
      <c r="R25" s="15" t="n"/>
      <c r="S25" s="15" t="n"/>
      <c r="T25" s="15" t="n"/>
      <c r="U25" s="16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7">
        <f>IF(AK25="","",AL25+AM25+AN25+AO25)</f>
        <v/>
      </c>
      <c r="AR25" s="18">
        <f>IF(OR(AK25="",AK25=0),"",AQ25/AK25)</f>
        <v/>
      </c>
      <c r="AS25" s="18">
        <f>IF(OR(AK25="",AK25=0),"",AM25/AK25)</f>
        <v/>
      </c>
      <c r="AT25" s="19">
        <f>IF(OR(AV25="",AQ25="",AQ25=0),"",AV25/AQ25)</f>
        <v/>
      </c>
      <c r="AU25" s="19">
        <f>IF(OR(AV25="",AK25="",AK25=0),"",AV25/AK25*1000)</f>
        <v/>
      </c>
      <c r="AV25" s="20" t="n"/>
      <c r="AW25" s="15" t="n"/>
      <c r="AX25" s="15" t="n"/>
      <c r="AY25" s="15" t="n"/>
      <c r="AZ25" s="16" t="n"/>
    </row>
    <row r="26">
      <c r="A26" s="14" t="n">
        <v>24</v>
      </c>
      <c r="B26" s="15" t="n"/>
      <c r="C26" s="15" t="n"/>
      <c r="D26" s="16" t="n"/>
      <c r="E26" s="16" t="n"/>
      <c r="F26" s="16" t="n"/>
      <c r="G26" s="15" t="n"/>
      <c r="H26" s="15" t="n"/>
      <c r="I26" s="16" t="n"/>
      <c r="J26" s="16" t="n"/>
      <c r="K26" s="15" t="n"/>
      <c r="L26" s="15" t="n"/>
      <c r="M26" s="15" t="n"/>
      <c r="N26" s="15" t="n"/>
      <c r="O26" s="17">
        <f>IF(N26="","",TEXT(N26,"YYYY-MM"))</f>
        <v/>
      </c>
      <c r="P26" s="16" t="n"/>
      <c r="Q26" s="16" t="n"/>
      <c r="R26" s="15" t="n"/>
      <c r="S26" s="15" t="n"/>
      <c r="T26" s="15" t="n"/>
      <c r="U26" s="16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7">
        <f>IF(AK26="","",AL26+AM26+AN26+AO26)</f>
        <v/>
      </c>
      <c r="AR26" s="18">
        <f>IF(OR(AK26="",AK26=0),"",AQ26/AK26)</f>
        <v/>
      </c>
      <c r="AS26" s="18">
        <f>IF(OR(AK26="",AK26=0),"",AM26/AK26)</f>
        <v/>
      </c>
      <c r="AT26" s="19">
        <f>IF(OR(AV26="",AQ26="",AQ26=0),"",AV26/AQ26)</f>
        <v/>
      </c>
      <c r="AU26" s="19">
        <f>IF(OR(AV26="",AK26="",AK26=0),"",AV26/AK26*1000)</f>
        <v/>
      </c>
      <c r="AV26" s="20" t="n"/>
      <c r="AW26" s="15" t="n"/>
      <c r="AX26" s="15" t="n"/>
      <c r="AY26" s="15" t="n"/>
      <c r="AZ26" s="16" t="n"/>
    </row>
    <row r="27">
      <c r="A27" s="14" t="n">
        <v>25</v>
      </c>
      <c r="B27" s="15" t="n"/>
      <c r="C27" s="15" t="n"/>
      <c r="D27" s="16" t="n"/>
      <c r="E27" s="16" t="n"/>
      <c r="F27" s="16" t="n"/>
      <c r="G27" s="15" t="n"/>
      <c r="H27" s="15" t="n"/>
      <c r="I27" s="16" t="n"/>
      <c r="J27" s="16" t="n"/>
      <c r="K27" s="15" t="n"/>
      <c r="L27" s="15" t="n"/>
      <c r="M27" s="15" t="n"/>
      <c r="N27" s="15" t="n"/>
      <c r="O27" s="17">
        <f>IF(N27="","",TEXT(N27,"YYYY-MM"))</f>
        <v/>
      </c>
      <c r="P27" s="16" t="n"/>
      <c r="Q27" s="16" t="n"/>
      <c r="R27" s="15" t="n"/>
      <c r="S27" s="15" t="n"/>
      <c r="T27" s="15" t="n"/>
      <c r="U27" s="16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7">
        <f>IF(AK27="","",AL27+AM27+AN27+AO27)</f>
        <v/>
      </c>
      <c r="AR27" s="18">
        <f>IF(OR(AK27="",AK27=0),"",AQ27/AK27)</f>
        <v/>
      </c>
      <c r="AS27" s="18">
        <f>IF(OR(AK27="",AK27=0),"",AM27/AK27)</f>
        <v/>
      </c>
      <c r="AT27" s="19">
        <f>IF(OR(AV27="",AQ27="",AQ27=0),"",AV27/AQ27)</f>
        <v/>
      </c>
      <c r="AU27" s="19">
        <f>IF(OR(AV27="",AK27="",AK27=0),"",AV27/AK27*1000)</f>
        <v/>
      </c>
      <c r="AV27" s="20" t="n"/>
      <c r="AW27" s="15" t="n"/>
      <c r="AX27" s="15" t="n"/>
      <c r="AY27" s="15" t="n"/>
      <c r="AZ27" s="16" t="n"/>
    </row>
    <row r="28">
      <c r="A28" s="14" t="n">
        <v>26</v>
      </c>
      <c r="B28" s="15" t="n"/>
      <c r="C28" s="15" t="n"/>
      <c r="D28" s="16" t="n"/>
      <c r="E28" s="16" t="n"/>
      <c r="F28" s="16" t="n"/>
      <c r="G28" s="15" t="n"/>
      <c r="H28" s="15" t="n"/>
      <c r="I28" s="16" t="n"/>
      <c r="J28" s="16" t="n"/>
      <c r="K28" s="15" t="n"/>
      <c r="L28" s="15" t="n"/>
      <c r="M28" s="15" t="n"/>
      <c r="N28" s="15" t="n"/>
      <c r="O28" s="17">
        <f>IF(N28="","",TEXT(N28,"YYYY-MM"))</f>
        <v/>
      </c>
      <c r="P28" s="16" t="n"/>
      <c r="Q28" s="16" t="n"/>
      <c r="R28" s="15" t="n"/>
      <c r="S28" s="15" t="n"/>
      <c r="T28" s="15" t="n"/>
      <c r="U28" s="16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7">
        <f>IF(AK28="","",AL28+AM28+AN28+AO28)</f>
        <v/>
      </c>
      <c r="AR28" s="18">
        <f>IF(OR(AK28="",AK28=0),"",AQ28/AK28)</f>
        <v/>
      </c>
      <c r="AS28" s="18">
        <f>IF(OR(AK28="",AK28=0),"",AM28/AK28)</f>
        <v/>
      </c>
      <c r="AT28" s="19">
        <f>IF(OR(AV28="",AQ28="",AQ28=0),"",AV28/AQ28)</f>
        <v/>
      </c>
      <c r="AU28" s="19">
        <f>IF(OR(AV28="",AK28="",AK28=0),"",AV28/AK28*1000)</f>
        <v/>
      </c>
      <c r="AV28" s="20" t="n"/>
      <c r="AW28" s="15" t="n"/>
      <c r="AX28" s="15" t="n"/>
      <c r="AY28" s="15" t="n"/>
      <c r="AZ28" s="16" t="n"/>
    </row>
    <row r="29">
      <c r="A29" s="14" t="n">
        <v>27</v>
      </c>
      <c r="B29" s="15" t="n"/>
      <c r="C29" s="15" t="n"/>
      <c r="D29" s="16" t="n"/>
      <c r="E29" s="16" t="n"/>
      <c r="F29" s="16" t="n"/>
      <c r="G29" s="15" t="n"/>
      <c r="H29" s="15" t="n"/>
      <c r="I29" s="16" t="n"/>
      <c r="J29" s="16" t="n"/>
      <c r="K29" s="15" t="n"/>
      <c r="L29" s="15" t="n"/>
      <c r="M29" s="15" t="n"/>
      <c r="N29" s="15" t="n"/>
      <c r="O29" s="17">
        <f>IF(N29="","",TEXT(N29,"YYYY-MM"))</f>
        <v/>
      </c>
      <c r="P29" s="16" t="n"/>
      <c r="Q29" s="16" t="n"/>
      <c r="R29" s="15" t="n"/>
      <c r="S29" s="15" t="n"/>
      <c r="T29" s="15" t="n"/>
      <c r="U29" s="16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7">
        <f>IF(AK29="","",AL29+AM29+AN29+AO29)</f>
        <v/>
      </c>
      <c r="AR29" s="18">
        <f>IF(OR(AK29="",AK29=0),"",AQ29/AK29)</f>
        <v/>
      </c>
      <c r="AS29" s="18">
        <f>IF(OR(AK29="",AK29=0),"",AM29/AK29)</f>
        <v/>
      </c>
      <c r="AT29" s="19">
        <f>IF(OR(AV29="",AQ29="",AQ29=0),"",AV29/AQ29)</f>
        <v/>
      </c>
      <c r="AU29" s="19">
        <f>IF(OR(AV29="",AK29="",AK29=0),"",AV29/AK29*1000)</f>
        <v/>
      </c>
      <c r="AV29" s="20" t="n"/>
      <c r="AW29" s="15" t="n"/>
      <c r="AX29" s="15" t="n"/>
      <c r="AY29" s="15" t="n"/>
      <c r="AZ29" s="16" t="n"/>
    </row>
    <row r="30">
      <c r="A30" s="14" t="n">
        <v>28</v>
      </c>
      <c r="B30" s="15" t="n"/>
      <c r="C30" s="15" t="n"/>
      <c r="D30" s="16" t="n"/>
      <c r="E30" s="16" t="n"/>
      <c r="F30" s="16" t="n"/>
      <c r="G30" s="15" t="n"/>
      <c r="H30" s="15" t="n"/>
      <c r="I30" s="16" t="n"/>
      <c r="J30" s="16" t="n"/>
      <c r="K30" s="15" t="n"/>
      <c r="L30" s="15" t="n"/>
      <c r="M30" s="15" t="n"/>
      <c r="N30" s="15" t="n"/>
      <c r="O30" s="17">
        <f>IF(N30="","",TEXT(N30,"YYYY-MM"))</f>
        <v/>
      </c>
      <c r="P30" s="16" t="n"/>
      <c r="Q30" s="16" t="n"/>
      <c r="R30" s="15" t="n"/>
      <c r="S30" s="15" t="n"/>
      <c r="T30" s="15" t="n"/>
      <c r="U30" s="16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7">
        <f>IF(AK30="","",AL30+AM30+AN30+AO30)</f>
        <v/>
      </c>
      <c r="AR30" s="18">
        <f>IF(OR(AK30="",AK30=0),"",AQ30/AK30)</f>
        <v/>
      </c>
      <c r="AS30" s="18">
        <f>IF(OR(AK30="",AK30=0),"",AM30/AK30)</f>
        <v/>
      </c>
      <c r="AT30" s="19">
        <f>IF(OR(AV30="",AQ30="",AQ30=0),"",AV30/AQ30)</f>
        <v/>
      </c>
      <c r="AU30" s="19">
        <f>IF(OR(AV30="",AK30="",AK30=0),"",AV30/AK30*1000)</f>
        <v/>
      </c>
      <c r="AV30" s="20" t="n"/>
      <c r="AW30" s="15" t="n"/>
      <c r="AX30" s="15" t="n"/>
      <c r="AY30" s="15" t="n"/>
      <c r="AZ30" s="16" t="n"/>
    </row>
    <row r="31">
      <c r="A31" s="14" t="n">
        <v>29</v>
      </c>
      <c r="B31" s="15" t="n"/>
      <c r="C31" s="15" t="n"/>
      <c r="D31" s="16" t="n"/>
      <c r="E31" s="16" t="n"/>
      <c r="F31" s="16" t="n"/>
      <c r="G31" s="15" t="n"/>
      <c r="H31" s="15" t="n"/>
      <c r="I31" s="16" t="n"/>
      <c r="J31" s="16" t="n"/>
      <c r="K31" s="15" t="n"/>
      <c r="L31" s="15" t="n"/>
      <c r="M31" s="15" t="n"/>
      <c r="N31" s="15" t="n"/>
      <c r="O31" s="17">
        <f>IF(N31="","",TEXT(N31,"YYYY-MM"))</f>
        <v/>
      </c>
      <c r="P31" s="16" t="n"/>
      <c r="Q31" s="16" t="n"/>
      <c r="R31" s="15" t="n"/>
      <c r="S31" s="15" t="n"/>
      <c r="T31" s="15" t="n"/>
      <c r="U31" s="16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7">
        <f>IF(AK31="","",AL31+AM31+AN31+AO31)</f>
        <v/>
      </c>
      <c r="AR31" s="18">
        <f>IF(OR(AK31="",AK31=0),"",AQ31/AK31)</f>
        <v/>
      </c>
      <c r="AS31" s="18">
        <f>IF(OR(AK31="",AK31=0),"",AM31/AK31)</f>
        <v/>
      </c>
      <c r="AT31" s="19">
        <f>IF(OR(AV31="",AQ31="",AQ31=0),"",AV31/AQ31)</f>
        <v/>
      </c>
      <c r="AU31" s="19">
        <f>IF(OR(AV31="",AK31="",AK31=0),"",AV31/AK31*1000)</f>
        <v/>
      </c>
      <c r="AV31" s="20" t="n"/>
      <c r="AW31" s="15" t="n"/>
      <c r="AX31" s="15" t="n"/>
      <c r="AY31" s="15" t="n"/>
      <c r="AZ31" s="16" t="n"/>
    </row>
    <row r="32">
      <c r="A32" s="14" t="n">
        <v>30</v>
      </c>
      <c r="B32" s="15" t="n"/>
      <c r="C32" s="15" t="n"/>
      <c r="D32" s="16" t="n"/>
      <c r="E32" s="16" t="n"/>
      <c r="F32" s="16" t="n"/>
      <c r="G32" s="15" t="n"/>
      <c r="H32" s="15" t="n"/>
      <c r="I32" s="16" t="n"/>
      <c r="J32" s="16" t="n"/>
      <c r="K32" s="15" t="n"/>
      <c r="L32" s="15" t="n"/>
      <c r="M32" s="15" t="n"/>
      <c r="N32" s="15" t="n"/>
      <c r="O32" s="17">
        <f>IF(N32="","",TEXT(N32,"YYYY-MM"))</f>
        <v/>
      </c>
      <c r="P32" s="16" t="n"/>
      <c r="Q32" s="16" t="n"/>
      <c r="R32" s="15" t="n"/>
      <c r="S32" s="15" t="n"/>
      <c r="T32" s="15" t="n"/>
      <c r="U32" s="16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7">
        <f>IF(AK32="","",AL32+AM32+AN32+AO32)</f>
        <v/>
      </c>
      <c r="AR32" s="18">
        <f>IF(OR(AK32="",AK32=0),"",AQ32/AK32)</f>
        <v/>
      </c>
      <c r="AS32" s="18">
        <f>IF(OR(AK32="",AK32=0),"",AM32/AK32)</f>
        <v/>
      </c>
      <c r="AT32" s="19">
        <f>IF(OR(AV32="",AQ32="",AQ32=0),"",AV32/AQ32)</f>
        <v/>
      </c>
      <c r="AU32" s="19">
        <f>IF(OR(AV32="",AK32="",AK32=0),"",AV32/AK32*1000)</f>
        <v/>
      </c>
      <c r="AV32" s="20" t="n"/>
      <c r="AW32" s="15" t="n"/>
      <c r="AX32" s="15" t="n"/>
      <c r="AY32" s="15" t="n"/>
      <c r="AZ32" s="16" t="n"/>
    </row>
    <row r="33">
      <c r="A33" s="14" t="n">
        <v>31</v>
      </c>
      <c r="B33" s="15" t="n"/>
      <c r="C33" s="15" t="n"/>
      <c r="D33" s="16" t="n"/>
      <c r="E33" s="16" t="n"/>
      <c r="F33" s="16" t="n"/>
      <c r="G33" s="15" t="n"/>
      <c r="H33" s="15" t="n"/>
      <c r="I33" s="16" t="n"/>
      <c r="J33" s="16" t="n"/>
      <c r="K33" s="15" t="n"/>
      <c r="L33" s="15" t="n"/>
      <c r="M33" s="15" t="n"/>
      <c r="N33" s="15" t="n"/>
      <c r="O33" s="17">
        <f>IF(N33="","",TEXT(N33,"YYYY-MM"))</f>
        <v/>
      </c>
      <c r="P33" s="16" t="n"/>
      <c r="Q33" s="16" t="n"/>
      <c r="R33" s="15" t="n"/>
      <c r="S33" s="15" t="n"/>
      <c r="T33" s="15" t="n"/>
      <c r="U33" s="16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7">
        <f>IF(AK33="","",AL33+AM33+AN33+AO33)</f>
        <v/>
      </c>
      <c r="AR33" s="18">
        <f>IF(OR(AK33="",AK33=0),"",AQ33/AK33)</f>
        <v/>
      </c>
      <c r="AS33" s="18">
        <f>IF(OR(AK33="",AK33=0),"",AM33/AK33)</f>
        <v/>
      </c>
      <c r="AT33" s="19">
        <f>IF(OR(AV33="",AQ33="",AQ33=0),"",AV33/AQ33)</f>
        <v/>
      </c>
      <c r="AU33" s="19">
        <f>IF(OR(AV33="",AK33="",AK33=0),"",AV33/AK33*1000)</f>
        <v/>
      </c>
      <c r="AV33" s="20" t="n"/>
      <c r="AW33" s="15" t="n"/>
      <c r="AX33" s="15" t="n"/>
      <c r="AY33" s="15" t="n"/>
      <c r="AZ33" s="16" t="n"/>
    </row>
    <row r="34">
      <c r="A34" s="14" t="n">
        <v>32</v>
      </c>
      <c r="B34" s="15" t="n"/>
      <c r="C34" s="15" t="n"/>
      <c r="D34" s="16" t="n"/>
      <c r="E34" s="16" t="n"/>
      <c r="F34" s="16" t="n"/>
      <c r="G34" s="15" t="n"/>
      <c r="H34" s="15" t="n"/>
      <c r="I34" s="16" t="n"/>
      <c r="J34" s="16" t="n"/>
      <c r="K34" s="15" t="n"/>
      <c r="L34" s="15" t="n"/>
      <c r="M34" s="15" t="n"/>
      <c r="N34" s="15" t="n"/>
      <c r="O34" s="17">
        <f>IF(N34="","",TEXT(N34,"YYYY-MM"))</f>
        <v/>
      </c>
      <c r="P34" s="16" t="n"/>
      <c r="Q34" s="16" t="n"/>
      <c r="R34" s="15" t="n"/>
      <c r="S34" s="15" t="n"/>
      <c r="T34" s="15" t="n"/>
      <c r="U34" s="16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7">
        <f>IF(AK34="","",AL34+AM34+AN34+AO34)</f>
        <v/>
      </c>
      <c r="AR34" s="18">
        <f>IF(OR(AK34="",AK34=0),"",AQ34/AK34)</f>
        <v/>
      </c>
      <c r="AS34" s="18">
        <f>IF(OR(AK34="",AK34=0),"",AM34/AK34)</f>
        <v/>
      </c>
      <c r="AT34" s="19">
        <f>IF(OR(AV34="",AQ34="",AQ34=0),"",AV34/AQ34)</f>
        <v/>
      </c>
      <c r="AU34" s="19">
        <f>IF(OR(AV34="",AK34="",AK34=0),"",AV34/AK34*1000)</f>
        <v/>
      </c>
      <c r="AV34" s="20" t="n"/>
      <c r="AW34" s="15" t="n"/>
      <c r="AX34" s="15" t="n"/>
      <c r="AY34" s="15" t="n"/>
      <c r="AZ34" s="16" t="n"/>
    </row>
    <row r="35">
      <c r="A35" s="14" t="n">
        <v>33</v>
      </c>
      <c r="B35" s="15" t="n"/>
      <c r="C35" s="15" t="n"/>
      <c r="D35" s="16" t="n"/>
      <c r="E35" s="16" t="n"/>
      <c r="F35" s="16" t="n"/>
      <c r="G35" s="15" t="n"/>
      <c r="H35" s="15" t="n"/>
      <c r="I35" s="16" t="n"/>
      <c r="J35" s="16" t="n"/>
      <c r="K35" s="15" t="n"/>
      <c r="L35" s="15" t="n"/>
      <c r="M35" s="15" t="n"/>
      <c r="N35" s="15" t="n"/>
      <c r="O35" s="17">
        <f>IF(N35="","",TEXT(N35,"YYYY-MM"))</f>
        <v/>
      </c>
      <c r="P35" s="16" t="n"/>
      <c r="Q35" s="16" t="n"/>
      <c r="R35" s="15" t="n"/>
      <c r="S35" s="15" t="n"/>
      <c r="T35" s="15" t="n"/>
      <c r="U35" s="16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7">
        <f>IF(AK35="","",AL35+AM35+AN35+AO35)</f>
        <v/>
      </c>
      <c r="AR35" s="18">
        <f>IF(OR(AK35="",AK35=0),"",AQ35/AK35)</f>
        <v/>
      </c>
      <c r="AS35" s="18">
        <f>IF(OR(AK35="",AK35=0),"",AM35/AK35)</f>
        <v/>
      </c>
      <c r="AT35" s="19">
        <f>IF(OR(AV35="",AQ35="",AQ35=0),"",AV35/AQ35)</f>
        <v/>
      </c>
      <c r="AU35" s="19">
        <f>IF(OR(AV35="",AK35="",AK35=0),"",AV35/AK35*1000)</f>
        <v/>
      </c>
      <c r="AV35" s="20" t="n"/>
      <c r="AW35" s="15" t="n"/>
      <c r="AX35" s="15" t="n"/>
      <c r="AY35" s="15" t="n"/>
      <c r="AZ35" s="16" t="n"/>
    </row>
    <row r="36">
      <c r="A36" s="14" t="n">
        <v>34</v>
      </c>
      <c r="B36" s="15" t="n"/>
      <c r="C36" s="15" t="n"/>
      <c r="D36" s="16" t="n"/>
      <c r="E36" s="16" t="n"/>
      <c r="F36" s="16" t="n"/>
      <c r="G36" s="15" t="n"/>
      <c r="H36" s="15" t="n"/>
      <c r="I36" s="16" t="n"/>
      <c r="J36" s="16" t="n"/>
      <c r="K36" s="15" t="n"/>
      <c r="L36" s="15" t="n"/>
      <c r="M36" s="15" t="n"/>
      <c r="N36" s="15" t="n"/>
      <c r="O36" s="17">
        <f>IF(N36="","",TEXT(N36,"YYYY-MM"))</f>
        <v/>
      </c>
      <c r="P36" s="16" t="n"/>
      <c r="Q36" s="16" t="n"/>
      <c r="R36" s="15" t="n"/>
      <c r="S36" s="15" t="n"/>
      <c r="T36" s="15" t="n"/>
      <c r="U36" s="16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7">
        <f>IF(AK36="","",AL36+AM36+AN36+AO36)</f>
        <v/>
      </c>
      <c r="AR36" s="18">
        <f>IF(OR(AK36="",AK36=0),"",AQ36/AK36)</f>
        <v/>
      </c>
      <c r="AS36" s="18">
        <f>IF(OR(AK36="",AK36=0),"",AM36/AK36)</f>
        <v/>
      </c>
      <c r="AT36" s="19">
        <f>IF(OR(AV36="",AQ36="",AQ36=0),"",AV36/AQ36)</f>
        <v/>
      </c>
      <c r="AU36" s="19">
        <f>IF(OR(AV36="",AK36="",AK36=0),"",AV36/AK36*1000)</f>
        <v/>
      </c>
      <c r="AV36" s="20" t="n"/>
      <c r="AW36" s="15" t="n"/>
      <c r="AX36" s="15" t="n"/>
      <c r="AY36" s="15" t="n"/>
      <c r="AZ36" s="16" t="n"/>
    </row>
    <row r="37">
      <c r="A37" s="14" t="n">
        <v>35</v>
      </c>
      <c r="B37" s="15" t="n"/>
      <c r="C37" s="15" t="n"/>
      <c r="D37" s="16" t="n"/>
      <c r="E37" s="16" t="n"/>
      <c r="F37" s="16" t="n"/>
      <c r="G37" s="15" t="n"/>
      <c r="H37" s="15" t="n"/>
      <c r="I37" s="16" t="n"/>
      <c r="J37" s="16" t="n"/>
      <c r="K37" s="15" t="n"/>
      <c r="L37" s="15" t="n"/>
      <c r="M37" s="15" t="n"/>
      <c r="N37" s="15" t="n"/>
      <c r="O37" s="17">
        <f>IF(N37="","",TEXT(N37,"YYYY-MM"))</f>
        <v/>
      </c>
      <c r="P37" s="16" t="n"/>
      <c r="Q37" s="16" t="n"/>
      <c r="R37" s="15" t="n"/>
      <c r="S37" s="15" t="n"/>
      <c r="T37" s="15" t="n"/>
      <c r="U37" s="16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7">
        <f>IF(AK37="","",AL37+AM37+AN37+AO37)</f>
        <v/>
      </c>
      <c r="AR37" s="18">
        <f>IF(OR(AK37="",AK37=0),"",AQ37/AK37)</f>
        <v/>
      </c>
      <c r="AS37" s="18">
        <f>IF(OR(AK37="",AK37=0),"",AM37/AK37)</f>
        <v/>
      </c>
      <c r="AT37" s="19">
        <f>IF(OR(AV37="",AQ37="",AQ37=0),"",AV37/AQ37)</f>
        <v/>
      </c>
      <c r="AU37" s="19">
        <f>IF(OR(AV37="",AK37="",AK37=0),"",AV37/AK37*1000)</f>
        <v/>
      </c>
      <c r="AV37" s="20" t="n"/>
      <c r="AW37" s="15" t="n"/>
      <c r="AX37" s="15" t="n"/>
      <c r="AY37" s="15" t="n"/>
      <c r="AZ37" s="16" t="n"/>
    </row>
    <row r="38">
      <c r="A38" s="14" t="n">
        <v>36</v>
      </c>
      <c r="B38" s="15" t="n"/>
      <c r="C38" s="15" t="n"/>
      <c r="D38" s="16" t="n"/>
      <c r="E38" s="16" t="n"/>
      <c r="F38" s="16" t="n"/>
      <c r="G38" s="15" t="n"/>
      <c r="H38" s="15" t="n"/>
      <c r="I38" s="16" t="n"/>
      <c r="J38" s="16" t="n"/>
      <c r="K38" s="15" t="n"/>
      <c r="L38" s="15" t="n"/>
      <c r="M38" s="15" t="n"/>
      <c r="N38" s="15" t="n"/>
      <c r="O38" s="17">
        <f>IF(N38="","",TEXT(N38,"YYYY-MM"))</f>
        <v/>
      </c>
      <c r="P38" s="16" t="n"/>
      <c r="Q38" s="16" t="n"/>
      <c r="R38" s="15" t="n"/>
      <c r="S38" s="15" t="n"/>
      <c r="T38" s="15" t="n"/>
      <c r="U38" s="16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7">
        <f>IF(AK38="","",AL38+AM38+AN38+AO38)</f>
        <v/>
      </c>
      <c r="AR38" s="18">
        <f>IF(OR(AK38="",AK38=0),"",AQ38/AK38)</f>
        <v/>
      </c>
      <c r="AS38" s="18">
        <f>IF(OR(AK38="",AK38=0),"",AM38/AK38)</f>
        <v/>
      </c>
      <c r="AT38" s="19">
        <f>IF(OR(AV38="",AQ38="",AQ38=0),"",AV38/AQ38)</f>
        <v/>
      </c>
      <c r="AU38" s="19">
        <f>IF(OR(AV38="",AK38="",AK38=0),"",AV38/AK38*1000)</f>
        <v/>
      </c>
      <c r="AV38" s="20" t="n"/>
      <c r="AW38" s="15" t="n"/>
      <c r="AX38" s="15" t="n"/>
      <c r="AY38" s="15" t="n"/>
      <c r="AZ38" s="16" t="n"/>
    </row>
    <row r="39">
      <c r="A39" s="14" t="n">
        <v>37</v>
      </c>
      <c r="B39" s="15" t="n"/>
      <c r="C39" s="15" t="n"/>
      <c r="D39" s="16" t="n"/>
      <c r="E39" s="16" t="n"/>
      <c r="F39" s="16" t="n"/>
      <c r="G39" s="15" t="n"/>
      <c r="H39" s="15" t="n"/>
      <c r="I39" s="16" t="n"/>
      <c r="J39" s="16" t="n"/>
      <c r="K39" s="15" t="n"/>
      <c r="L39" s="15" t="n"/>
      <c r="M39" s="15" t="n"/>
      <c r="N39" s="15" t="n"/>
      <c r="O39" s="17">
        <f>IF(N39="","",TEXT(N39,"YYYY-MM"))</f>
        <v/>
      </c>
      <c r="P39" s="16" t="n"/>
      <c r="Q39" s="16" t="n"/>
      <c r="R39" s="15" t="n"/>
      <c r="S39" s="15" t="n"/>
      <c r="T39" s="15" t="n"/>
      <c r="U39" s="16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7">
        <f>IF(AK39="","",AL39+AM39+AN39+AO39)</f>
        <v/>
      </c>
      <c r="AR39" s="18">
        <f>IF(OR(AK39="",AK39=0),"",AQ39/AK39)</f>
        <v/>
      </c>
      <c r="AS39" s="18">
        <f>IF(OR(AK39="",AK39=0),"",AM39/AK39)</f>
        <v/>
      </c>
      <c r="AT39" s="19">
        <f>IF(OR(AV39="",AQ39="",AQ39=0),"",AV39/AQ39)</f>
        <v/>
      </c>
      <c r="AU39" s="19">
        <f>IF(OR(AV39="",AK39="",AK39=0),"",AV39/AK39*1000)</f>
        <v/>
      </c>
      <c r="AV39" s="20" t="n"/>
      <c r="AW39" s="15" t="n"/>
      <c r="AX39" s="15" t="n"/>
      <c r="AY39" s="15" t="n"/>
      <c r="AZ39" s="16" t="n"/>
    </row>
    <row r="40">
      <c r="A40" s="14" t="n">
        <v>38</v>
      </c>
      <c r="B40" s="15" t="n"/>
      <c r="C40" s="15" t="n"/>
      <c r="D40" s="16" t="n"/>
      <c r="E40" s="16" t="n"/>
      <c r="F40" s="16" t="n"/>
      <c r="G40" s="15" t="n"/>
      <c r="H40" s="15" t="n"/>
      <c r="I40" s="16" t="n"/>
      <c r="J40" s="16" t="n"/>
      <c r="K40" s="15" t="n"/>
      <c r="L40" s="15" t="n"/>
      <c r="M40" s="15" t="n"/>
      <c r="N40" s="15" t="n"/>
      <c r="O40" s="17">
        <f>IF(N40="","",TEXT(N40,"YYYY-MM"))</f>
        <v/>
      </c>
      <c r="P40" s="16" t="n"/>
      <c r="Q40" s="16" t="n"/>
      <c r="R40" s="15" t="n"/>
      <c r="S40" s="15" t="n"/>
      <c r="T40" s="15" t="n"/>
      <c r="U40" s="16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7">
        <f>IF(AK40="","",AL40+AM40+AN40+AO40)</f>
        <v/>
      </c>
      <c r="AR40" s="18">
        <f>IF(OR(AK40="",AK40=0),"",AQ40/AK40)</f>
        <v/>
      </c>
      <c r="AS40" s="18">
        <f>IF(OR(AK40="",AK40=0),"",AM40/AK40)</f>
        <v/>
      </c>
      <c r="AT40" s="19">
        <f>IF(OR(AV40="",AQ40="",AQ40=0),"",AV40/AQ40)</f>
        <v/>
      </c>
      <c r="AU40" s="19">
        <f>IF(OR(AV40="",AK40="",AK40=0),"",AV40/AK40*1000)</f>
        <v/>
      </c>
      <c r="AV40" s="20" t="n"/>
      <c r="AW40" s="15" t="n"/>
      <c r="AX40" s="15" t="n"/>
      <c r="AY40" s="15" t="n"/>
      <c r="AZ40" s="16" t="n"/>
    </row>
    <row r="41">
      <c r="A41" s="14" t="n">
        <v>39</v>
      </c>
      <c r="B41" s="15" t="n"/>
      <c r="C41" s="15" t="n"/>
      <c r="D41" s="16" t="n"/>
      <c r="E41" s="16" t="n"/>
      <c r="F41" s="16" t="n"/>
      <c r="G41" s="15" t="n"/>
      <c r="H41" s="15" t="n"/>
      <c r="I41" s="16" t="n"/>
      <c r="J41" s="16" t="n"/>
      <c r="K41" s="15" t="n"/>
      <c r="L41" s="15" t="n"/>
      <c r="M41" s="15" t="n"/>
      <c r="N41" s="15" t="n"/>
      <c r="O41" s="17">
        <f>IF(N41="","",TEXT(N41,"YYYY-MM"))</f>
        <v/>
      </c>
      <c r="P41" s="16" t="n"/>
      <c r="Q41" s="16" t="n"/>
      <c r="R41" s="15" t="n"/>
      <c r="S41" s="15" t="n"/>
      <c r="T41" s="15" t="n"/>
      <c r="U41" s="16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7">
        <f>IF(AK41="","",AL41+AM41+AN41+AO41)</f>
        <v/>
      </c>
      <c r="AR41" s="18">
        <f>IF(OR(AK41="",AK41=0),"",AQ41/AK41)</f>
        <v/>
      </c>
      <c r="AS41" s="18">
        <f>IF(OR(AK41="",AK41=0),"",AM41/AK41)</f>
        <v/>
      </c>
      <c r="AT41" s="19">
        <f>IF(OR(AV41="",AQ41="",AQ41=0),"",AV41/AQ41)</f>
        <v/>
      </c>
      <c r="AU41" s="19">
        <f>IF(OR(AV41="",AK41="",AK41=0),"",AV41/AK41*1000)</f>
        <v/>
      </c>
      <c r="AV41" s="20" t="n"/>
      <c r="AW41" s="15" t="n"/>
      <c r="AX41" s="15" t="n"/>
      <c r="AY41" s="15" t="n"/>
      <c r="AZ41" s="16" t="n"/>
    </row>
    <row r="42">
      <c r="A42" s="14" t="n">
        <v>40</v>
      </c>
      <c r="B42" s="15" t="n"/>
      <c r="C42" s="15" t="n"/>
      <c r="D42" s="16" t="n"/>
      <c r="E42" s="16" t="n"/>
      <c r="F42" s="16" t="n"/>
      <c r="G42" s="15" t="n"/>
      <c r="H42" s="15" t="n"/>
      <c r="I42" s="16" t="n"/>
      <c r="J42" s="16" t="n"/>
      <c r="K42" s="15" t="n"/>
      <c r="L42" s="15" t="n"/>
      <c r="M42" s="15" t="n"/>
      <c r="N42" s="15" t="n"/>
      <c r="O42" s="17">
        <f>IF(N42="","",TEXT(N42,"YYYY-MM"))</f>
        <v/>
      </c>
      <c r="P42" s="16" t="n"/>
      <c r="Q42" s="16" t="n"/>
      <c r="R42" s="15" t="n"/>
      <c r="S42" s="15" t="n"/>
      <c r="T42" s="15" t="n"/>
      <c r="U42" s="16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7">
        <f>IF(AK42="","",AL42+AM42+AN42+AO42)</f>
        <v/>
      </c>
      <c r="AR42" s="18">
        <f>IF(OR(AK42="",AK42=0),"",AQ42/AK42)</f>
        <v/>
      </c>
      <c r="AS42" s="18">
        <f>IF(OR(AK42="",AK42=0),"",AM42/AK42)</f>
        <v/>
      </c>
      <c r="AT42" s="19">
        <f>IF(OR(AV42="",AQ42="",AQ42=0),"",AV42/AQ42)</f>
        <v/>
      </c>
      <c r="AU42" s="19">
        <f>IF(OR(AV42="",AK42="",AK42=0),"",AV42/AK42*1000)</f>
        <v/>
      </c>
      <c r="AV42" s="20" t="n"/>
      <c r="AW42" s="15" t="n"/>
      <c r="AX42" s="15" t="n"/>
      <c r="AY42" s="15" t="n"/>
      <c r="AZ42" s="16" t="n"/>
    </row>
  </sheetData>
  <mergeCells count="7">
    <mergeCell ref="N1:U1"/>
    <mergeCell ref="A1:M1"/>
    <mergeCell ref="AV1:AZ1"/>
    <mergeCell ref="AC1:AI1"/>
    <mergeCell ref="AQ1:AU1"/>
    <mergeCell ref="V1:AB1"/>
    <mergeCell ref="AJ1:AP1"/>
  </mergeCells>
  <dataValidations count="11">
    <dataValidation sqref="B3:B42" showDropDown="0" showInputMessage="0" showErrorMessage="0" allowBlank="1" type="list">
      <formula1>=选项!$A$2:$A$6</formula1>
    </dataValidation>
    <dataValidation sqref="G3:G42" showDropDown="0" showInputMessage="0" showErrorMessage="0" allowBlank="1" type="list">
      <formula1>=选项!$B$2:$B$5</formula1>
    </dataValidation>
    <dataValidation sqref="H3:H42" showDropDown="0" showInputMessage="0" showErrorMessage="0" allowBlank="1" type="list">
      <formula1>=选项!$C$2:$C$5</formula1>
    </dataValidation>
    <dataValidation sqref="I3:I42" showDropDown="0" showInputMessage="0" showErrorMessage="0" allowBlank="1" type="list">
      <formula1>=选项!$M$2:$M$7</formula1>
    </dataValidation>
    <dataValidation sqref="K3:K42" showDropDown="0" showInputMessage="0" showErrorMessage="0" allowBlank="1" type="list">
      <formula1>=选项!$F$2:$F$5</formula1>
    </dataValidation>
    <dataValidation sqref="L3:L42" showDropDown="0" showInputMessage="0" showErrorMessage="0" allowBlank="1" type="list">
      <formula1>=选项!$G$2:$G$4</formula1>
    </dataValidation>
    <dataValidation sqref="M3:M42" showDropDown="0" showInputMessage="0" showErrorMessage="0" allowBlank="1" type="list">
      <formula1>=选项!$H$2:$H$3</formula1>
    </dataValidation>
    <dataValidation sqref="S3:S42" showDropDown="0" showInputMessage="0" showErrorMessage="0" allowBlank="1" type="list">
      <formula1>=选项!$H$2:$H$3</formula1>
    </dataValidation>
    <dataValidation sqref="T3:T42" showDropDown="0" showInputMessage="0" showErrorMessage="0" allowBlank="1" type="list">
      <formula1>=选项!$I$2:$I$4</formula1>
    </dataValidation>
    <dataValidation sqref="AW3:AW42" showDropDown="0" showInputMessage="0" showErrorMessage="0" allowBlank="1" type="list">
      <formula1>=选项!$H$2:$H$3</formula1>
    </dataValidation>
    <dataValidation sqref="AX3:AX42" showDropDown="0" showInputMessage="0" showErrorMessage="0" allowBlank="1" type="list">
      <formula1>=选项!$J$2:$J$4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4" customWidth="1" min="5" max="5"/>
    <col width="8" customWidth="1" min="6" max="6"/>
    <col width="14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22" customWidth="1" min="13" max="13"/>
    <col width="16" customWidth="1" min="14" max="14"/>
    <col width="9" customWidth="1" min="15" max="15"/>
    <col width="14" customWidth="1" min="16" max="16"/>
    <col width="10" customWidth="1" min="17" max="17"/>
    <col width="8" customWidth="1" min="18" max="18"/>
    <col width="7" customWidth="1" min="19" max="19"/>
    <col width="7" customWidth="1" min="20" max="20"/>
    <col width="7" customWidth="1" min="21" max="21"/>
    <col width="7" customWidth="1" min="22" max="22"/>
    <col width="10" customWidth="1" min="23" max="23"/>
    <col width="10" customWidth="1" min="24" max="24"/>
    <col width="8" customWidth="1" min="25" max="25"/>
    <col width="7" customWidth="1" min="26" max="26"/>
    <col width="7" customWidth="1" min="27" max="27"/>
    <col width="7" customWidth="1" min="28" max="28"/>
    <col width="7" customWidth="1" min="29" max="29"/>
    <col width="10" customWidth="1" min="30" max="30"/>
    <col width="10" customWidth="1" min="31" max="31"/>
    <col width="8" customWidth="1" min="32" max="32"/>
    <col width="7" customWidth="1" min="33" max="33"/>
    <col width="7" customWidth="1" min="34" max="34"/>
    <col width="7" customWidth="1" min="35" max="35"/>
    <col width="7" customWidth="1" min="36" max="36"/>
    <col width="10" customWidth="1" min="37" max="37"/>
    <col width="8" customWidth="1" min="38" max="38"/>
    <col width="8" customWidth="1" min="39" max="39"/>
    <col width="8" customWidth="1" min="40" max="40"/>
    <col width="18" customWidth="1" min="41" max="41"/>
  </cols>
  <sheetData>
    <row r="1" ht="20" customHeight="1">
      <c r="A1" s="1" t="inlineStr">
        <is>
          <t>排期 · 投前确认</t>
        </is>
      </c>
      <c r="K1" s="2" t="inlineStr">
        <is>
          <t>投后 · 基础</t>
        </is>
      </c>
      <c r="Q1" s="3" t="inlineStr">
        <is>
          <t>数据追踪 T+3</t>
        </is>
      </c>
      <c r="X1" s="4" t="inlineStr">
        <is>
          <t>数据追踪 T+7</t>
        </is>
      </c>
      <c r="AE1" s="5" t="inlineStr">
        <is>
          <t>数据追踪 T+15</t>
        </is>
      </c>
      <c r="AL1" s="6" t="inlineStr">
        <is>
          <t>效率指标（自动）</t>
        </is>
      </c>
      <c r="AO1" s="7" t="inlineStr">
        <is>
          <t>结算 · 转化</t>
        </is>
      </c>
    </row>
    <row r="2" ht="30" customHeight="1">
      <c r="A2" s="8" t="inlineStr">
        <is>
          <t>序号</t>
        </is>
      </c>
      <c r="B2" s="8" t="inlineStr">
        <is>
          <t>状态</t>
        </is>
      </c>
      <c r="C2" s="8" t="inlineStr">
        <is>
          <t>计划发布日</t>
        </is>
      </c>
      <c r="D2" s="8" t="inlineStr">
        <is>
          <t>发布账号</t>
        </is>
      </c>
      <c r="E2" s="8" t="inlineStr">
        <is>
          <t>投放产品</t>
        </is>
      </c>
      <c r="F2" s="8" t="inlineStr">
        <is>
          <t>内容形式</t>
        </is>
      </c>
      <c r="G2" s="8" t="inlineStr">
        <is>
          <t>脚本/初稿链接</t>
        </is>
      </c>
      <c r="H2" s="8" t="inlineStr">
        <is>
          <t>合规审核</t>
        </is>
      </c>
      <c r="I2" s="8" t="inlineStr">
        <is>
          <t>审核人</t>
        </is>
      </c>
      <c r="J2" s="8" t="inlineStr">
        <is>
          <t>确认可发</t>
        </is>
      </c>
      <c r="K2" s="9" t="inlineStr">
        <is>
          <t>实际发布日</t>
        </is>
      </c>
      <c r="L2" s="9" t="inlineStr">
        <is>
          <t>发布月</t>
        </is>
      </c>
      <c r="M2" s="9" t="inlineStr">
        <is>
          <t>笔记标题</t>
        </is>
      </c>
      <c r="N2" s="9" t="inlineStr">
        <is>
          <t>笔记链接</t>
        </is>
      </c>
      <c r="O2" s="9" t="inlineStr">
        <is>
          <t>图片数/时长</t>
        </is>
      </c>
      <c r="P2" s="9" t="inlineStr">
        <is>
          <t>主话题词</t>
        </is>
      </c>
      <c r="Q2" s="10" t="inlineStr">
        <is>
          <t>T+3采集日</t>
        </is>
      </c>
      <c r="R2" s="10" t="inlineStr">
        <is>
          <t>曝光</t>
        </is>
      </c>
      <c r="S2" s="10" t="inlineStr">
        <is>
          <t>点赞</t>
        </is>
      </c>
      <c r="T2" s="10" t="inlineStr">
        <is>
          <t>收藏</t>
        </is>
      </c>
      <c r="U2" s="10" t="inlineStr">
        <is>
          <t>评论</t>
        </is>
      </c>
      <c r="V2" s="10" t="inlineStr">
        <is>
          <t>分享</t>
        </is>
      </c>
      <c r="W2" s="10" t="inlineStr">
        <is>
          <t>证据截图</t>
        </is>
      </c>
      <c r="X2" s="10" t="inlineStr">
        <is>
          <t>T+7采集日</t>
        </is>
      </c>
      <c r="Y2" s="10" t="inlineStr">
        <is>
          <t>曝光</t>
        </is>
      </c>
      <c r="Z2" s="10" t="inlineStr">
        <is>
          <t>点赞</t>
        </is>
      </c>
      <c r="AA2" s="10" t="inlineStr">
        <is>
          <t>收藏</t>
        </is>
      </c>
      <c r="AB2" s="10" t="inlineStr">
        <is>
          <t>评论</t>
        </is>
      </c>
      <c r="AC2" s="10" t="inlineStr">
        <is>
          <t>分享</t>
        </is>
      </c>
      <c r="AD2" s="10" t="inlineStr">
        <is>
          <t>证据截图</t>
        </is>
      </c>
      <c r="AE2" s="11" t="inlineStr">
        <is>
          <t>T+15采集日</t>
        </is>
      </c>
      <c r="AF2" s="11" t="inlineStr">
        <is>
          <t>曝光</t>
        </is>
      </c>
      <c r="AG2" s="11" t="inlineStr">
        <is>
          <t>点赞</t>
        </is>
      </c>
      <c r="AH2" s="11" t="inlineStr">
        <is>
          <t>收藏</t>
        </is>
      </c>
      <c r="AI2" s="11" t="inlineStr">
        <is>
          <t>评论</t>
        </is>
      </c>
      <c r="AJ2" s="11" t="inlineStr">
        <is>
          <t>分享</t>
        </is>
      </c>
      <c r="AK2" s="11" t="inlineStr">
        <is>
          <t>证据截图</t>
        </is>
      </c>
      <c r="AL2" s="12" t="inlineStr">
        <is>
          <t>最终互动量</t>
        </is>
      </c>
      <c r="AM2" s="12" t="inlineStr">
        <is>
          <t>互动率</t>
        </is>
      </c>
      <c r="AN2" s="12" t="inlineStr">
        <is>
          <t>收藏率</t>
        </is>
      </c>
      <c r="AO2" s="13" t="inlineStr">
        <is>
          <t>备注memo</t>
        </is>
      </c>
    </row>
    <row r="3">
      <c r="A3" s="14" t="n">
        <v>1</v>
      </c>
      <c r="B3" s="15" t="n"/>
      <c r="C3" s="15" t="n"/>
      <c r="D3" s="16" t="n"/>
      <c r="E3" s="16" t="n"/>
      <c r="F3" s="15" t="n"/>
      <c r="G3" s="16" t="n"/>
      <c r="H3" s="15" t="n"/>
      <c r="I3" s="15" t="n"/>
      <c r="J3" s="15" t="n"/>
      <c r="K3" s="15" t="n"/>
      <c r="L3" s="17">
        <f>IF(K3="","",TEXT(K3,"YYYY-MM"))</f>
        <v/>
      </c>
      <c r="M3" s="16" t="n"/>
      <c r="N3" s="16" t="n"/>
      <c r="O3" s="15" t="n"/>
      <c r="P3" s="16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7">
        <f>IF(AF3="","",AG3+AH3+AI3+AJ3)</f>
        <v/>
      </c>
      <c r="AM3" s="18">
        <f>IF(OR(AF3="",AF3=0),"",AL3/AF3)</f>
        <v/>
      </c>
      <c r="AN3" s="18">
        <f>IF(OR(AF3="",AF3=0),"",AH3/AF3)</f>
        <v/>
      </c>
      <c r="AO3" s="16" t="n"/>
    </row>
    <row r="4">
      <c r="A4" s="14" t="n">
        <v>2</v>
      </c>
      <c r="B4" s="15" t="n"/>
      <c r="C4" s="15" t="n"/>
      <c r="D4" s="16" t="n"/>
      <c r="E4" s="16" t="n"/>
      <c r="F4" s="15" t="n"/>
      <c r="G4" s="16" t="n"/>
      <c r="H4" s="15" t="n"/>
      <c r="I4" s="15" t="n"/>
      <c r="J4" s="15" t="n"/>
      <c r="K4" s="15" t="n"/>
      <c r="L4" s="17">
        <f>IF(K4="","",TEXT(K4,"YYYY-MM"))</f>
        <v/>
      </c>
      <c r="M4" s="16" t="n"/>
      <c r="N4" s="16" t="n"/>
      <c r="O4" s="15" t="n"/>
      <c r="P4" s="16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7">
        <f>IF(AF4="","",AG4+AH4+AI4+AJ4)</f>
        <v/>
      </c>
      <c r="AM4" s="18">
        <f>IF(OR(AF4="",AF4=0),"",AL4/AF4)</f>
        <v/>
      </c>
      <c r="AN4" s="18">
        <f>IF(OR(AF4="",AF4=0),"",AH4/AF4)</f>
        <v/>
      </c>
      <c r="AO4" s="16" t="n"/>
    </row>
    <row r="5">
      <c r="A5" s="14" t="n">
        <v>3</v>
      </c>
      <c r="B5" s="15" t="n"/>
      <c r="C5" s="15" t="n"/>
      <c r="D5" s="16" t="n"/>
      <c r="E5" s="16" t="n"/>
      <c r="F5" s="15" t="n"/>
      <c r="G5" s="16" t="n"/>
      <c r="H5" s="15" t="n"/>
      <c r="I5" s="15" t="n"/>
      <c r="J5" s="15" t="n"/>
      <c r="K5" s="15" t="n"/>
      <c r="L5" s="17">
        <f>IF(K5="","",TEXT(K5,"YYYY-MM"))</f>
        <v/>
      </c>
      <c r="M5" s="16" t="n"/>
      <c r="N5" s="16" t="n"/>
      <c r="O5" s="15" t="n"/>
      <c r="P5" s="16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7">
        <f>IF(AF5="","",AG5+AH5+AI5+AJ5)</f>
        <v/>
      </c>
      <c r="AM5" s="18">
        <f>IF(OR(AF5="",AF5=0),"",AL5/AF5)</f>
        <v/>
      </c>
      <c r="AN5" s="18">
        <f>IF(OR(AF5="",AF5=0),"",AH5/AF5)</f>
        <v/>
      </c>
      <c r="AO5" s="16" t="n"/>
    </row>
    <row r="6">
      <c r="A6" s="14" t="n">
        <v>4</v>
      </c>
      <c r="B6" s="15" t="n"/>
      <c r="C6" s="15" t="n"/>
      <c r="D6" s="16" t="n"/>
      <c r="E6" s="16" t="n"/>
      <c r="F6" s="15" t="n"/>
      <c r="G6" s="16" t="n"/>
      <c r="H6" s="15" t="n"/>
      <c r="I6" s="15" t="n"/>
      <c r="J6" s="15" t="n"/>
      <c r="K6" s="15" t="n"/>
      <c r="L6" s="17">
        <f>IF(K6="","",TEXT(K6,"YYYY-MM"))</f>
        <v/>
      </c>
      <c r="M6" s="16" t="n"/>
      <c r="N6" s="16" t="n"/>
      <c r="O6" s="15" t="n"/>
      <c r="P6" s="16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7">
        <f>IF(AF6="","",AG6+AH6+AI6+AJ6)</f>
        <v/>
      </c>
      <c r="AM6" s="18">
        <f>IF(OR(AF6="",AF6=0),"",AL6/AF6)</f>
        <v/>
      </c>
      <c r="AN6" s="18">
        <f>IF(OR(AF6="",AF6=0),"",AH6/AF6)</f>
        <v/>
      </c>
      <c r="AO6" s="16" t="n"/>
    </row>
    <row r="7">
      <c r="A7" s="14" t="n">
        <v>5</v>
      </c>
      <c r="B7" s="15" t="n"/>
      <c r="C7" s="15" t="n"/>
      <c r="D7" s="16" t="n"/>
      <c r="E7" s="16" t="n"/>
      <c r="F7" s="15" t="n"/>
      <c r="G7" s="16" t="n"/>
      <c r="H7" s="15" t="n"/>
      <c r="I7" s="15" t="n"/>
      <c r="J7" s="15" t="n"/>
      <c r="K7" s="15" t="n"/>
      <c r="L7" s="17">
        <f>IF(K7="","",TEXT(K7,"YYYY-MM"))</f>
        <v/>
      </c>
      <c r="M7" s="16" t="n"/>
      <c r="N7" s="16" t="n"/>
      <c r="O7" s="15" t="n"/>
      <c r="P7" s="16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7">
        <f>IF(AF7="","",AG7+AH7+AI7+AJ7)</f>
        <v/>
      </c>
      <c r="AM7" s="18">
        <f>IF(OR(AF7="",AF7=0),"",AL7/AF7)</f>
        <v/>
      </c>
      <c r="AN7" s="18">
        <f>IF(OR(AF7="",AF7=0),"",AH7/AF7)</f>
        <v/>
      </c>
      <c r="AO7" s="16" t="n"/>
    </row>
    <row r="8">
      <c r="A8" s="14" t="n">
        <v>6</v>
      </c>
      <c r="B8" s="15" t="n"/>
      <c r="C8" s="15" t="n"/>
      <c r="D8" s="16" t="n"/>
      <c r="E8" s="16" t="n"/>
      <c r="F8" s="15" t="n"/>
      <c r="G8" s="16" t="n"/>
      <c r="H8" s="15" t="n"/>
      <c r="I8" s="15" t="n"/>
      <c r="J8" s="15" t="n"/>
      <c r="K8" s="15" t="n"/>
      <c r="L8" s="17">
        <f>IF(K8="","",TEXT(K8,"YYYY-MM"))</f>
        <v/>
      </c>
      <c r="M8" s="16" t="n"/>
      <c r="N8" s="16" t="n"/>
      <c r="O8" s="15" t="n"/>
      <c r="P8" s="16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7">
        <f>IF(AF8="","",AG8+AH8+AI8+AJ8)</f>
        <v/>
      </c>
      <c r="AM8" s="18">
        <f>IF(OR(AF8="",AF8=0),"",AL8/AF8)</f>
        <v/>
      </c>
      <c r="AN8" s="18">
        <f>IF(OR(AF8="",AF8=0),"",AH8/AF8)</f>
        <v/>
      </c>
      <c r="AO8" s="16" t="n"/>
    </row>
    <row r="9">
      <c r="A9" s="14" t="n">
        <v>7</v>
      </c>
      <c r="B9" s="15" t="n"/>
      <c r="C9" s="15" t="n"/>
      <c r="D9" s="16" t="n"/>
      <c r="E9" s="16" t="n"/>
      <c r="F9" s="15" t="n"/>
      <c r="G9" s="16" t="n"/>
      <c r="H9" s="15" t="n"/>
      <c r="I9" s="15" t="n"/>
      <c r="J9" s="15" t="n"/>
      <c r="K9" s="15" t="n"/>
      <c r="L9" s="17">
        <f>IF(K9="","",TEXT(K9,"YYYY-MM"))</f>
        <v/>
      </c>
      <c r="M9" s="16" t="n"/>
      <c r="N9" s="16" t="n"/>
      <c r="O9" s="15" t="n"/>
      <c r="P9" s="16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7">
        <f>IF(AF9="","",AG9+AH9+AI9+AJ9)</f>
        <v/>
      </c>
      <c r="AM9" s="18">
        <f>IF(OR(AF9="",AF9=0),"",AL9/AF9)</f>
        <v/>
      </c>
      <c r="AN9" s="18">
        <f>IF(OR(AF9="",AF9=0),"",AH9/AF9)</f>
        <v/>
      </c>
      <c r="AO9" s="16" t="n"/>
    </row>
    <row r="10">
      <c r="A10" s="14" t="n">
        <v>8</v>
      </c>
      <c r="B10" s="15" t="n"/>
      <c r="C10" s="15" t="n"/>
      <c r="D10" s="16" t="n"/>
      <c r="E10" s="16" t="n"/>
      <c r="F10" s="15" t="n"/>
      <c r="G10" s="16" t="n"/>
      <c r="H10" s="15" t="n"/>
      <c r="I10" s="15" t="n"/>
      <c r="J10" s="15" t="n"/>
      <c r="K10" s="15" t="n"/>
      <c r="L10" s="17">
        <f>IF(K10="","",TEXT(K10,"YYYY-MM"))</f>
        <v/>
      </c>
      <c r="M10" s="16" t="n"/>
      <c r="N10" s="16" t="n"/>
      <c r="O10" s="15" t="n"/>
      <c r="P10" s="16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7">
        <f>IF(AF10="","",AG10+AH10+AI10+AJ10)</f>
        <v/>
      </c>
      <c r="AM10" s="18">
        <f>IF(OR(AF10="",AF10=0),"",AL10/AF10)</f>
        <v/>
      </c>
      <c r="AN10" s="18">
        <f>IF(OR(AF10="",AF10=0),"",AH10/AF10)</f>
        <v/>
      </c>
      <c r="AO10" s="16" t="n"/>
    </row>
    <row r="11">
      <c r="A11" s="14" t="n">
        <v>9</v>
      </c>
      <c r="B11" s="15" t="n"/>
      <c r="C11" s="15" t="n"/>
      <c r="D11" s="16" t="n"/>
      <c r="E11" s="16" t="n"/>
      <c r="F11" s="15" t="n"/>
      <c r="G11" s="16" t="n"/>
      <c r="H11" s="15" t="n"/>
      <c r="I11" s="15" t="n"/>
      <c r="J11" s="15" t="n"/>
      <c r="K11" s="15" t="n"/>
      <c r="L11" s="17">
        <f>IF(K11="","",TEXT(K11,"YYYY-MM"))</f>
        <v/>
      </c>
      <c r="M11" s="16" t="n"/>
      <c r="N11" s="16" t="n"/>
      <c r="O11" s="15" t="n"/>
      <c r="P11" s="16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7">
        <f>IF(AF11="","",AG11+AH11+AI11+AJ11)</f>
        <v/>
      </c>
      <c r="AM11" s="18">
        <f>IF(OR(AF11="",AF11=0),"",AL11/AF11)</f>
        <v/>
      </c>
      <c r="AN11" s="18">
        <f>IF(OR(AF11="",AF11=0),"",AH11/AF11)</f>
        <v/>
      </c>
      <c r="AO11" s="16" t="n"/>
    </row>
    <row r="12">
      <c r="A12" s="14" t="n">
        <v>10</v>
      </c>
      <c r="B12" s="15" t="n"/>
      <c r="C12" s="15" t="n"/>
      <c r="D12" s="16" t="n"/>
      <c r="E12" s="16" t="n"/>
      <c r="F12" s="15" t="n"/>
      <c r="G12" s="16" t="n"/>
      <c r="H12" s="15" t="n"/>
      <c r="I12" s="15" t="n"/>
      <c r="J12" s="15" t="n"/>
      <c r="K12" s="15" t="n"/>
      <c r="L12" s="17">
        <f>IF(K12="","",TEXT(K12,"YYYY-MM"))</f>
        <v/>
      </c>
      <c r="M12" s="16" t="n"/>
      <c r="N12" s="16" t="n"/>
      <c r="O12" s="15" t="n"/>
      <c r="P12" s="16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7">
        <f>IF(AF12="","",AG12+AH12+AI12+AJ12)</f>
        <v/>
      </c>
      <c r="AM12" s="18">
        <f>IF(OR(AF12="",AF12=0),"",AL12/AF12)</f>
        <v/>
      </c>
      <c r="AN12" s="18">
        <f>IF(OR(AF12="",AF12=0),"",AH12/AF12)</f>
        <v/>
      </c>
      <c r="AO12" s="16" t="n"/>
    </row>
    <row r="13">
      <c r="A13" s="14" t="n">
        <v>11</v>
      </c>
      <c r="B13" s="15" t="n"/>
      <c r="C13" s="15" t="n"/>
      <c r="D13" s="16" t="n"/>
      <c r="E13" s="16" t="n"/>
      <c r="F13" s="15" t="n"/>
      <c r="G13" s="16" t="n"/>
      <c r="H13" s="15" t="n"/>
      <c r="I13" s="15" t="n"/>
      <c r="J13" s="15" t="n"/>
      <c r="K13" s="15" t="n"/>
      <c r="L13" s="17">
        <f>IF(K13="","",TEXT(K13,"YYYY-MM"))</f>
        <v/>
      </c>
      <c r="M13" s="16" t="n"/>
      <c r="N13" s="16" t="n"/>
      <c r="O13" s="15" t="n"/>
      <c r="P13" s="16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7">
        <f>IF(AF13="","",AG13+AH13+AI13+AJ13)</f>
        <v/>
      </c>
      <c r="AM13" s="18">
        <f>IF(OR(AF13="",AF13=0),"",AL13/AF13)</f>
        <v/>
      </c>
      <c r="AN13" s="18">
        <f>IF(OR(AF13="",AF13=0),"",AH13/AF13)</f>
        <v/>
      </c>
      <c r="AO13" s="16" t="n"/>
    </row>
    <row r="14">
      <c r="A14" s="14" t="n">
        <v>12</v>
      </c>
      <c r="B14" s="15" t="n"/>
      <c r="C14" s="15" t="n"/>
      <c r="D14" s="16" t="n"/>
      <c r="E14" s="16" t="n"/>
      <c r="F14" s="15" t="n"/>
      <c r="G14" s="16" t="n"/>
      <c r="H14" s="15" t="n"/>
      <c r="I14" s="15" t="n"/>
      <c r="J14" s="15" t="n"/>
      <c r="K14" s="15" t="n"/>
      <c r="L14" s="17">
        <f>IF(K14="","",TEXT(K14,"YYYY-MM"))</f>
        <v/>
      </c>
      <c r="M14" s="16" t="n"/>
      <c r="N14" s="16" t="n"/>
      <c r="O14" s="15" t="n"/>
      <c r="P14" s="16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7">
        <f>IF(AF14="","",AG14+AH14+AI14+AJ14)</f>
        <v/>
      </c>
      <c r="AM14" s="18">
        <f>IF(OR(AF14="",AF14=0),"",AL14/AF14)</f>
        <v/>
      </c>
      <c r="AN14" s="18">
        <f>IF(OR(AF14="",AF14=0),"",AH14/AF14)</f>
        <v/>
      </c>
      <c r="AO14" s="16" t="n"/>
    </row>
    <row r="15">
      <c r="A15" s="14" t="n">
        <v>13</v>
      </c>
      <c r="B15" s="15" t="n"/>
      <c r="C15" s="15" t="n"/>
      <c r="D15" s="16" t="n"/>
      <c r="E15" s="16" t="n"/>
      <c r="F15" s="15" t="n"/>
      <c r="G15" s="16" t="n"/>
      <c r="H15" s="15" t="n"/>
      <c r="I15" s="15" t="n"/>
      <c r="J15" s="15" t="n"/>
      <c r="K15" s="15" t="n"/>
      <c r="L15" s="17">
        <f>IF(K15="","",TEXT(K15,"YYYY-MM"))</f>
        <v/>
      </c>
      <c r="M15" s="16" t="n"/>
      <c r="N15" s="16" t="n"/>
      <c r="O15" s="15" t="n"/>
      <c r="P15" s="16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7">
        <f>IF(AF15="","",AG15+AH15+AI15+AJ15)</f>
        <v/>
      </c>
      <c r="AM15" s="18">
        <f>IF(OR(AF15="",AF15=0),"",AL15/AF15)</f>
        <v/>
      </c>
      <c r="AN15" s="18">
        <f>IF(OR(AF15="",AF15=0),"",AH15/AF15)</f>
        <v/>
      </c>
      <c r="AO15" s="16" t="n"/>
    </row>
    <row r="16">
      <c r="A16" s="14" t="n">
        <v>14</v>
      </c>
      <c r="B16" s="15" t="n"/>
      <c r="C16" s="15" t="n"/>
      <c r="D16" s="16" t="n"/>
      <c r="E16" s="16" t="n"/>
      <c r="F16" s="15" t="n"/>
      <c r="G16" s="16" t="n"/>
      <c r="H16" s="15" t="n"/>
      <c r="I16" s="15" t="n"/>
      <c r="J16" s="15" t="n"/>
      <c r="K16" s="15" t="n"/>
      <c r="L16" s="17">
        <f>IF(K16="","",TEXT(K16,"YYYY-MM"))</f>
        <v/>
      </c>
      <c r="M16" s="16" t="n"/>
      <c r="N16" s="16" t="n"/>
      <c r="O16" s="15" t="n"/>
      <c r="P16" s="16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7">
        <f>IF(AF16="","",AG16+AH16+AI16+AJ16)</f>
        <v/>
      </c>
      <c r="AM16" s="18">
        <f>IF(OR(AF16="",AF16=0),"",AL16/AF16)</f>
        <v/>
      </c>
      <c r="AN16" s="18">
        <f>IF(OR(AF16="",AF16=0),"",AH16/AF16)</f>
        <v/>
      </c>
      <c r="AO16" s="16" t="n"/>
    </row>
    <row r="17">
      <c r="A17" s="14" t="n">
        <v>15</v>
      </c>
      <c r="B17" s="15" t="n"/>
      <c r="C17" s="15" t="n"/>
      <c r="D17" s="16" t="n"/>
      <c r="E17" s="16" t="n"/>
      <c r="F17" s="15" t="n"/>
      <c r="G17" s="16" t="n"/>
      <c r="H17" s="15" t="n"/>
      <c r="I17" s="15" t="n"/>
      <c r="J17" s="15" t="n"/>
      <c r="K17" s="15" t="n"/>
      <c r="L17" s="17">
        <f>IF(K17="","",TEXT(K17,"YYYY-MM"))</f>
        <v/>
      </c>
      <c r="M17" s="16" t="n"/>
      <c r="N17" s="16" t="n"/>
      <c r="O17" s="15" t="n"/>
      <c r="P17" s="16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7">
        <f>IF(AF17="","",AG17+AH17+AI17+AJ17)</f>
        <v/>
      </c>
      <c r="AM17" s="18">
        <f>IF(OR(AF17="",AF17=0),"",AL17/AF17)</f>
        <v/>
      </c>
      <c r="AN17" s="18">
        <f>IF(OR(AF17="",AF17=0),"",AH17/AF17)</f>
        <v/>
      </c>
      <c r="AO17" s="16" t="n"/>
    </row>
    <row r="18">
      <c r="A18" s="14" t="n">
        <v>16</v>
      </c>
      <c r="B18" s="15" t="n"/>
      <c r="C18" s="15" t="n"/>
      <c r="D18" s="16" t="n"/>
      <c r="E18" s="16" t="n"/>
      <c r="F18" s="15" t="n"/>
      <c r="G18" s="16" t="n"/>
      <c r="H18" s="15" t="n"/>
      <c r="I18" s="15" t="n"/>
      <c r="J18" s="15" t="n"/>
      <c r="K18" s="15" t="n"/>
      <c r="L18" s="17">
        <f>IF(K18="","",TEXT(K18,"YYYY-MM"))</f>
        <v/>
      </c>
      <c r="M18" s="16" t="n"/>
      <c r="N18" s="16" t="n"/>
      <c r="O18" s="15" t="n"/>
      <c r="P18" s="16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7">
        <f>IF(AF18="","",AG18+AH18+AI18+AJ18)</f>
        <v/>
      </c>
      <c r="AM18" s="18">
        <f>IF(OR(AF18="",AF18=0),"",AL18/AF18)</f>
        <v/>
      </c>
      <c r="AN18" s="18">
        <f>IF(OR(AF18="",AF18=0),"",AH18/AF18)</f>
        <v/>
      </c>
      <c r="AO18" s="16" t="n"/>
    </row>
    <row r="19">
      <c r="A19" s="14" t="n">
        <v>17</v>
      </c>
      <c r="B19" s="15" t="n"/>
      <c r="C19" s="15" t="n"/>
      <c r="D19" s="16" t="n"/>
      <c r="E19" s="16" t="n"/>
      <c r="F19" s="15" t="n"/>
      <c r="G19" s="16" t="n"/>
      <c r="H19" s="15" t="n"/>
      <c r="I19" s="15" t="n"/>
      <c r="J19" s="15" t="n"/>
      <c r="K19" s="15" t="n"/>
      <c r="L19" s="17">
        <f>IF(K19="","",TEXT(K19,"YYYY-MM"))</f>
        <v/>
      </c>
      <c r="M19" s="16" t="n"/>
      <c r="N19" s="16" t="n"/>
      <c r="O19" s="15" t="n"/>
      <c r="P19" s="16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7">
        <f>IF(AF19="","",AG19+AH19+AI19+AJ19)</f>
        <v/>
      </c>
      <c r="AM19" s="18">
        <f>IF(OR(AF19="",AF19=0),"",AL19/AF19)</f>
        <v/>
      </c>
      <c r="AN19" s="18">
        <f>IF(OR(AF19="",AF19=0),"",AH19/AF19)</f>
        <v/>
      </c>
      <c r="AO19" s="16" t="n"/>
    </row>
    <row r="20">
      <c r="A20" s="14" t="n">
        <v>18</v>
      </c>
      <c r="B20" s="15" t="n"/>
      <c r="C20" s="15" t="n"/>
      <c r="D20" s="16" t="n"/>
      <c r="E20" s="16" t="n"/>
      <c r="F20" s="15" t="n"/>
      <c r="G20" s="16" t="n"/>
      <c r="H20" s="15" t="n"/>
      <c r="I20" s="15" t="n"/>
      <c r="J20" s="15" t="n"/>
      <c r="K20" s="15" t="n"/>
      <c r="L20" s="17">
        <f>IF(K20="","",TEXT(K20,"YYYY-MM"))</f>
        <v/>
      </c>
      <c r="M20" s="16" t="n"/>
      <c r="N20" s="16" t="n"/>
      <c r="O20" s="15" t="n"/>
      <c r="P20" s="16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7">
        <f>IF(AF20="","",AG20+AH20+AI20+AJ20)</f>
        <v/>
      </c>
      <c r="AM20" s="18">
        <f>IF(OR(AF20="",AF20=0),"",AL20/AF20)</f>
        <v/>
      </c>
      <c r="AN20" s="18">
        <f>IF(OR(AF20="",AF20=0),"",AH20/AF20)</f>
        <v/>
      </c>
      <c r="AO20" s="16" t="n"/>
    </row>
    <row r="21">
      <c r="A21" s="14" t="n">
        <v>19</v>
      </c>
      <c r="B21" s="15" t="n"/>
      <c r="C21" s="15" t="n"/>
      <c r="D21" s="16" t="n"/>
      <c r="E21" s="16" t="n"/>
      <c r="F21" s="15" t="n"/>
      <c r="G21" s="16" t="n"/>
      <c r="H21" s="15" t="n"/>
      <c r="I21" s="15" t="n"/>
      <c r="J21" s="15" t="n"/>
      <c r="K21" s="15" t="n"/>
      <c r="L21" s="17">
        <f>IF(K21="","",TEXT(K21,"YYYY-MM"))</f>
        <v/>
      </c>
      <c r="M21" s="16" t="n"/>
      <c r="N21" s="16" t="n"/>
      <c r="O21" s="15" t="n"/>
      <c r="P21" s="16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7">
        <f>IF(AF21="","",AG21+AH21+AI21+AJ21)</f>
        <v/>
      </c>
      <c r="AM21" s="18">
        <f>IF(OR(AF21="",AF21=0),"",AL21/AF21)</f>
        <v/>
      </c>
      <c r="AN21" s="18">
        <f>IF(OR(AF21="",AF21=0),"",AH21/AF21)</f>
        <v/>
      </c>
      <c r="AO21" s="16" t="n"/>
    </row>
    <row r="22">
      <c r="A22" s="14" t="n">
        <v>20</v>
      </c>
      <c r="B22" s="15" t="n"/>
      <c r="C22" s="15" t="n"/>
      <c r="D22" s="16" t="n"/>
      <c r="E22" s="16" t="n"/>
      <c r="F22" s="15" t="n"/>
      <c r="G22" s="16" t="n"/>
      <c r="H22" s="15" t="n"/>
      <c r="I22" s="15" t="n"/>
      <c r="J22" s="15" t="n"/>
      <c r="K22" s="15" t="n"/>
      <c r="L22" s="17">
        <f>IF(K22="","",TEXT(K22,"YYYY-MM"))</f>
        <v/>
      </c>
      <c r="M22" s="16" t="n"/>
      <c r="N22" s="16" t="n"/>
      <c r="O22" s="15" t="n"/>
      <c r="P22" s="16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7">
        <f>IF(AF22="","",AG22+AH22+AI22+AJ22)</f>
        <v/>
      </c>
      <c r="AM22" s="18">
        <f>IF(OR(AF22="",AF22=0),"",AL22/AF22)</f>
        <v/>
      </c>
      <c r="AN22" s="18">
        <f>IF(OR(AF22="",AF22=0),"",AH22/AF22)</f>
        <v/>
      </c>
      <c r="AO22" s="16" t="n"/>
    </row>
    <row r="23">
      <c r="A23" s="14" t="n">
        <v>21</v>
      </c>
      <c r="B23" s="15" t="n"/>
      <c r="C23" s="15" t="n"/>
      <c r="D23" s="16" t="n"/>
      <c r="E23" s="16" t="n"/>
      <c r="F23" s="15" t="n"/>
      <c r="G23" s="16" t="n"/>
      <c r="H23" s="15" t="n"/>
      <c r="I23" s="15" t="n"/>
      <c r="J23" s="15" t="n"/>
      <c r="K23" s="15" t="n"/>
      <c r="L23" s="17">
        <f>IF(K23="","",TEXT(K23,"YYYY-MM"))</f>
        <v/>
      </c>
      <c r="M23" s="16" t="n"/>
      <c r="N23" s="16" t="n"/>
      <c r="O23" s="15" t="n"/>
      <c r="P23" s="16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7">
        <f>IF(AF23="","",AG23+AH23+AI23+AJ23)</f>
        <v/>
      </c>
      <c r="AM23" s="18">
        <f>IF(OR(AF23="",AF23=0),"",AL23/AF23)</f>
        <v/>
      </c>
      <c r="AN23" s="18">
        <f>IF(OR(AF23="",AF23=0),"",AH23/AF23)</f>
        <v/>
      </c>
      <c r="AO23" s="16" t="n"/>
    </row>
    <row r="24">
      <c r="A24" s="14" t="n">
        <v>22</v>
      </c>
      <c r="B24" s="15" t="n"/>
      <c r="C24" s="15" t="n"/>
      <c r="D24" s="16" t="n"/>
      <c r="E24" s="16" t="n"/>
      <c r="F24" s="15" t="n"/>
      <c r="G24" s="16" t="n"/>
      <c r="H24" s="15" t="n"/>
      <c r="I24" s="15" t="n"/>
      <c r="J24" s="15" t="n"/>
      <c r="K24" s="15" t="n"/>
      <c r="L24" s="17">
        <f>IF(K24="","",TEXT(K24,"YYYY-MM"))</f>
        <v/>
      </c>
      <c r="M24" s="16" t="n"/>
      <c r="N24" s="16" t="n"/>
      <c r="O24" s="15" t="n"/>
      <c r="P24" s="16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7">
        <f>IF(AF24="","",AG24+AH24+AI24+AJ24)</f>
        <v/>
      </c>
      <c r="AM24" s="18">
        <f>IF(OR(AF24="",AF24=0),"",AL24/AF24)</f>
        <v/>
      </c>
      <c r="AN24" s="18">
        <f>IF(OR(AF24="",AF24=0),"",AH24/AF24)</f>
        <v/>
      </c>
      <c r="AO24" s="16" t="n"/>
    </row>
    <row r="25">
      <c r="A25" s="14" t="n">
        <v>23</v>
      </c>
      <c r="B25" s="15" t="n"/>
      <c r="C25" s="15" t="n"/>
      <c r="D25" s="16" t="n"/>
      <c r="E25" s="16" t="n"/>
      <c r="F25" s="15" t="n"/>
      <c r="G25" s="16" t="n"/>
      <c r="H25" s="15" t="n"/>
      <c r="I25" s="15" t="n"/>
      <c r="J25" s="15" t="n"/>
      <c r="K25" s="15" t="n"/>
      <c r="L25" s="17">
        <f>IF(K25="","",TEXT(K25,"YYYY-MM"))</f>
        <v/>
      </c>
      <c r="M25" s="16" t="n"/>
      <c r="N25" s="16" t="n"/>
      <c r="O25" s="15" t="n"/>
      <c r="P25" s="16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7">
        <f>IF(AF25="","",AG25+AH25+AI25+AJ25)</f>
        <v/>
      </c>
      <c r="AM25" s="18">
        <f>IF(OR(AF25="",AF25=0),"",AL25/AF25)</f>
        <v/>
      </c>
      <c r="AN25" s="18">
        <f>IF(OR(AF25="",AF25=0),"",AH25/AF25)</f>
        <v/>
      </c>
      <c r="AO25" s="16" t="n"/>
    </row>
    <row r="26">
      <c r="A26" s="14" t="n">
        <v>24</v>
      </c>
      <c r="B26" s="15" t="n"/>
      <c r="C26" s="15" t="n"/>
      <c r="D26" s="16" t="n"/>
      <c r="E26" s="16" t="n"/>
      <c r="F26" s="15" t="n"/>
      <c r="G26" s="16" t="n"/>
      <c r="H26" s="15" t="n"/>
      <c r="I26" s="15" t="n"/>
      <c r="J26" s="15" t="n"/>
      <c r="K26" s="15" t="n"/>
      <c r="L26" s="17">
        <f>IF(K26="","",TEXT(K26,"YYYY-MM"))</f>
        <v/>
      </c>
      <c r="M26" s="16" t="n"/>
      <c r="N26" s="16" t="n"/>
      <c r="O26" s="15" t="n"/>
      <c r="P26" s="16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7">
        <f>IF(AF26="","",AG26+AH26+AI26+AJ26)</f>
        <v/>
      </c>
      <c r="AM26" s="18">
        <f>IF(OR(AF26="",AF26=0),"",AL26/AF26)</f>
        <v/>
      </c>
      <c r="AN26" s="18">
        <f>IF(OR(AF26="",AF26=0),"",AH26/AF26)</f>
        <v/>
      </c>
      <c r="AO26" s="16" t="n"/>
    </row>
    <row r="27">
      <c r="A27" s="14" t="n">
        <v>25</v>
      </c>
      <c r="B27" s="15" t="n"/>
      <c r="C27" s="15" t="n"/>
      <c r="D27" s="16" t="n"/>
      <c r="E27" s="16" t="n"/>
      <c r="F27" s="15" t="n"/>
      <c r="G27" s="16" t="n"/>
      <c r="H27" s="15" t="n"/>
      <c r="I27" s="15" t="n"/>
      <c r="J27" s="15" t="n"/>
      <c r="K27" s="15" t="n"/>
      <c r="L27" s="17">
        <f>IF(K27="","",TEXT(K27,"YYYY-MM"))</f>
        <v/>
      </c>
      <c r="M27" s="16" t="n"/>
      <c r="N27" s="16" t="n"/>
      <c r="O27" s="15" t="n"/>
      <c r="P27" s="16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7">
        <f>IF(AF27="","",AG27+AH27+AI27+AJ27)</f>
        <v/>
      </c>
      <c r="AM27" s="18">
        <f>IF(OR(AF27="",AF27=0),"",AL27/AF27)</f>
        <v/>
      </c>
      <c r="AN27" s="18">
        <f>IF(OR(AF27="",AF27=0),"",AH27/AF27)</f>
        <v/>
      </c>
      <c r="AO27" s="16" t="n"/>
    </row>
    <row r="28">
      <c r="A28" s="14" t="n">
        <v>26</v>
      </c>
      <c r="B28" s="15" t="n"/>
      <c r="C28" s="15" t="n"/>
      <c r="D28" s="16" t="n"/>
      <c r="E28" s="16" t="n"/>
      <c r="F28" s="15" t="n"/>
      <c r="G28" s="16" t="n"/>
      <c r="H28" s="15" t="n"/>
      <c r="I28" s="15" t="n"/>
      <c r="J28" s="15" t="n"/>
      <c r="K28" s="15" t="n"/>
      <c r="L28" s="17">
        <f>IF(K28="","",TEXT(K28,"YYYY-MM"))</f>
        <v/>
      </c>
      <c r="M28" s="16" t="n"/>
      <c r="N28" s="16" t="n"/>
      <c r="O28" s="15" t="n"/>
      <c r="P28" s="16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7">
        <f>IF(AF28="","",AG28+AH28+AI28+AJ28)</f>
        <v/>
      </c>
      <c r="AM28" s="18">
        <f>IF(OR(AF28="",AF28=0),"",AL28/AF28)</f>
        <v/>
      </c>
      <c r="AN28" s="18">
        <f>IF(OR(AF28="",AF28=0),"",AH28/AF28)</f>
        <v/>
      </c>
      <c r="AO28" s="16" t="n"/>
    </row>
    <row r="29">
      <c r="A29" s="14" t="n">
        <v>27</v>
      </c>
      <c r="B29" s="15" t="n"/>
      <c r="C29" s="15" t="n"/>
      <c r="D29" s="16" t="n"/>
      <c r="E29" s="16" t="n"/>
      <c r="F29" s="15" t="n"/>
      <c r="G29" s="16" t="n"/>
      <c r="H29" s="15" t="n"/>
      <c r="I29" s="15" t="n"/>
      <c r="J29" s="15" t="n"/>
      <c r="K29" s="15" t="n"/>
      <c r="L29" s="17">
        <f>IF(K29="","",TEXT(K29,"YYYY-MM"))</f>
        <v/>
      </c>
      <c r="M29" s="16" t="n"/>
      <c r="N29" s="16" t="n"/>
      <c r="O29" s="15" t="n"/>
      <c r="P29" s="16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7">
        <f>IF(AF29="","",AG29+AH29+AI29+AJ29)</f>
        <v/>
      </c>
      <c r="AM29" s="18">
        <f>IF(OR(AF29="",AF29=0),"",AL29/AF29)</f>
        <v/>
      </c>
      <c r="AN29" s="18">
        <f>IF(OR(AF29="",AF29=0),"",AH29/AF29)</f>
        <v/>
      </c>
      <c r="AO29" s="16" t="n"/>
    </row>
    <row r="30">
      <c r="A30" s="14" t="n">
        <v>28</v>
      </c>
      <c r="B30" s="15" t="n"/>
      <c r="C30" s="15" t="n"/>
      <c r="D30" s="16" t="n"/>
      <c r="E30" s="16" t="n"/>
      <c r="F30" s="15" t="n"/>
      <c r="G30" s="16" t="n"/>
      <c r="H30" s="15" t="n"/>
      <c r="I30" s="15" t="n"/>
      <c r="J30" s="15" t="n"/>
      <c r="K30" s="15" t="n"/>
      <c r="L30" s="17">
        <f>IF(K30="","",TEXT(K30,"YYYY-MM"))</f>
        <v/>
      </c>
      <c r="M30" s="16" t="n"/>
      <c r="N30" s="16" t="n"/>
      <c r="O30" s="15" t="n"/>
      <c r="P30" s="16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7">
        <f>IF(AF30="","",AG30+AH30+AI30+AJ30)</f>
        <v/>
      </c>
      <c r="AM30" s="18">
        <f>IF(OR(AF30="",AF30=0),"",AL30/AF30)</f>
        <v/>
      </c>
      <c r="AN30" s="18">
        <f>IF(OR(AF30="",AF30=0),"",AH30/AF30)</f>
        <v/>
      </c>
      <c r="AO30" s="16" t="n"/>
    </row>
    <row r="31">
      <c r="A31" s="14" t="n">
        <v>29</v>
      </c>
      <c r="B31" s="15" t="n"/>
      <c r="C31" s="15" t="n"/>
      <c r="D31" s="16" t="n"/>
      <c r="E31" s="16" t="n"/>
      <c r="F31" s="15" t="n"/>
      <c r="G31" s="16" t="n"/>
      <c r="H31" s="15" t="n"/>
      <c r="I31" s="15" t="n"/>
      <c r="J31" s="15" t="n"/>
      <c r="K31" s="15" t="n"/>
      <c r="L31" s="17">
        <f>IF(K31="","",TEXT(K31,"YYYY-MM"))</f>
        <v/>
      </c>
      <c r="M31" s="16" t="n"/>
      <c r="N31" s="16" t="n"/>
      <c r="O31" s="15" t="n"/>
      <c r="P31" s="16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7">
        <f>IF(AF31="","",AG31+AH31+AI31+AJ31)</f>
        <v/>
      </c>
      <c r="AM31" s="18">
        <f>IF(OR(AF31="",AF31=0),"",AL31/AF31)</f>
        <v/>
      </c>
      <c r="AN31" s="18">
        <f>IF(OR(AF31="",AF31=0),"",AH31/AF31)</f>
        <v/>
      </c>
      <c r="AO31" s="16" t="n"/>
    </row>
    <row r="32">
      <c r="A32" s="14" t="n">
        <v>30</v>
      </c>
      <c r="B32" s="15" t="n"/>
      <c r="C32" s="15" t="n"/>
      <c r="D32" s="16" t="n"/>
      <c r="E32" s="16" t="n"/>
      <c r="F32" s="15" t="n"/>
      <c r="G32" s="16" t="n"/>
      <c r="H32" s="15" t="n"/>
      <c r="I32" s="15" t="n"/>
      <c r="J32" s="15" t="n"/>
      <c r="K32" s="15" t="n"/>
      <c r="L32" s="17">
        <f>IF(K32="","",TEXT(K32,"YYYY-MM"))</f>
        <v/>
      </c>
      <c r="M32" s="16" t="n"/>
      <c r="N32" s="16" t="n"/>
      <c r="O32" s="15" t="n"/>
      <c r="P32" s="16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7">
        <f>IF(AF32="","",AG32+AH32+AI32+AJ32)</f>
        <v/>
      </c>
      <c r="AM32" s="18">
        <f>IF(OR(AF32="",AF32=0),"",AL32/AF32)</f>
        <v/>
      </c>
      <c r="AN32" s="18">
        <f>IF(OR(AF32="",AF32=0),"",AH32/AF32)</f>
        <v/>
      </c>
      <c r="AO32" s="16" t="n"/>
    </row>
    <row r="33">
      <c r="A33" s="14" t="n">
        <v>31</v>
      </c>
      <c r="B33" s="15" t="n"/>
      <c r="C33" s="15" t="n"/>
      <c r="D33" s="16" t="n"/>
      <c r="E33" s="16" t="n"/>
      <c r="F33" s="15" t="n"/>
      <c r="G33" s="16" t="n"/>
      <c r="H33" s="15" t="n"/>
      <c r="I33" s="15" t="n"/>
      <c r="J33" s="15" t="n"/>
      <c r="K33" s="15" t="n"/>
      <c r="L33" s="17">
        <f>IF(K33="","",TEXT(K33,"YYYY-MM"))</f>
        <v/>
      </c>
      <c r="M33" s="16" t="n"/>
      <c r="N33" s="16" t="n"/>
      <c r="O33" s="15" t="n"/>
      <c r="P33" s="16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7">
        <f>IF(AF33="","",AG33+AH33+AI33+AJ33)</f>
        <v/>
      </c>
      <c r="AM33" s="18">
        <f>IF(OR(AF33="",AF33=0),"",AL33/AF33)</f>
        <v/>
      </c>
      <c r="AN33" s="18">
        <f>IF(OR(AF33="",AF33=0),"",AH33/AF33)</f>
        <v/>
      </c>
      <c r="AO33" s="16" t="n"/>
    </row>
    <row r="34">
      <c r="A34" s="14" t="n">
        <v>32</v>
      </c>
      <c r="B34" s="15" t="n"/>
      <c r="C34" s="15" t="n"/>
      <c r="D34" s="16" t="n"/>
      <c r="E34" s="16" t="n"/>
      <c r="F34" s="15" t="n"/>
      <c r="G34" s="16" t="n"/>
      <c r="H34" s="15" t="n"/>
      <c r="I34" s="15" t="n"/>
      <c r="J34" s="15" t="n"/>
      <c r="K34" s="15" t="n"/>
      <c r="L34" s="17">
        <f>IF(K34="","",TEXT(K34,"YYYY-MM"))</f>
        <v/>
      </c>
      <c r="M34" s="16" t="n"/>
      <c r="N34" s="16" t="n"/>
      <c r="O34" s="15" t="n"/>
      <c r="P34" s="16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7">
        <f>IF(AF34="","",AG34+AH34+AI34+AJ34)</f>
        <v/>
      </c>
      <c r="AM34" s="18">
        <f>IF(OR(AF34="",AF34=0),"",AL34/AF34)</f>
        <v/>
      </c>
      <c r="AN34" s="18">
        <f>IF(OR(AF34="",AF34=0),"",AH34/AF34)</f>
        <v/>
      </c>
      <c r="AO34" s="16" t="n"/>
    </row>
    <row r="35">
      <c r="A35" s="14" t="n">
        <v>33</v>
      </c>
      <c r="B35" s="15" t="n"/>
      <c r="C35" s="15" t="n"/>
      <c r="D35" s="16" t="n"/>
      <c r="E35" s="16" t="n"/>
      <c r="F35" s="15" t="n"/>
      <c r="G35" s="16" t="n"/>
      <c r="H35" s="15" t="n"/>
      <c r="I35" s="15" t="n"/>
      <c r="J35" s="15" t="n"/>
      <c r="K35" s="15" t="n"/>
      <c r="L35" s="17">
        <f>IF(K35="","",TEXT(K35,"YYYY-MM"))</f>
        <v/>
      </c>
      <c r="M35" s="16" t="n"/>
      <c r="N35" s="16" t="n"/>
      <c r="O35" s="15" t="n"/>
      <c r="P35" s="16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7">
        <f>IF(AF35="","",AG35+AH35+AI35+AJ35)</f>
        <v/>
      </c>
      <c r="AM35" s="18">
        <f>IF(OR(AF35="",AF35=0),"",AL35/AF35)</f>
        <v/>
      </c>
      <c r="AN35" s="18">
        <f>IF(OR(AF35="",AF35=0),"",AH35/AF35)</f>
        <v/>
      </c>
      <c r="AO35" s="16" t="n"/>
    </row>
    <row r="36">
      <c r="A36" s="14" t="n">
        <v>34</v>
      </c>
      <c r="B36" s="15" t="n"/>
      <c r="C36" s="15" t="n"/>
      <c r="D36" s="16" t="n"/>
      <c r="E36" s="16" t="n"/>
      <c r="F36" s="15" t="n"/>
      <c r="G36" s="16" t="n"/>
      <c r="H36" s="15" t="n"/>
      <c r="I36" s="15" t="n"/>
      <c r="J36" s="15" t="n"/>
      <c r="K36" s="15" t="n"/>
      <c r="L36" s="17">
        <f>IF(K36="","",TEXT(K36,"YYYY-MM"))</f>
        <v/>
      </c>
      <c r="M36" s="16" t="n"/>
      <c r="N36" s="16" t="n"/>
      <c r="O36" s="15" t="n"/>
      <c r="P36" s="16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7">
        <f>IF(AF36="","",AG36+AH36+AI36+AJ36)</f>
        <v/>
      </c>
      <c r="AM36" s="18">
        <f>IF(OR(AF36="",AF36=0),"",AL36/AF36)</f>
        <v/>
      </c>
      <c r="AN36" s="18">
        <f>IF(OR(AF36="",AF36=0),"",AH36/AF36)</f>
        <v/>
      </c>
      <c r="AO36" s="16" t="n"/>
    </row>
    <row r="37">
      <c r="A37" s="14" t="n">
        <v>35</v>
      </c>
      <c r="B37" s="15" t="n"/>
      <c r="C37" s="15" t="n"/>
      <c r="D37" s="16" t="n"/>
      <c r="E37" s="16" t="n"/>
      <c r="F37" s="15" t="n"/>
      <c r="G37" s="16" t="n"/>
      <c r="H37" s="15" t="n"/>
      <c r="I37" s="15" t="n"/>
      <c r="J37" s="15" t="n"/>
      <c r="K37" s="15" t="n"/>
      <c r="L37" s="17">
        <f>IF(K37="","",TEXT(K37,"YYYY-MM"))</f>
        <v/>
      </c>
      <c r="M37" s="16" t="n"/>
      <c r="N37" s="16" t="n"/>
      <c r="O37" s="15" t="n"/>
      <c r="P37" s="16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7">
        <f>IF(AF37="","",AG37+AH37+AI37+AJ37)</f>
        <v/>
      </c>
      <c r="AM37" s="18">
        <f>IF(OR(AF37="",AF37=0),"",AL37/AF37)</f>
        <v/>
      </c>
      <c r="AN37" s="18">
        <f>IF(OR(AF37="",AF37=0),"",AH37/AF37)</f>
        <v/>
      </c>
      <c r="AO37" s="16" t="n"/>
    </row>
    <row r="38">
      <c r="A38" s="14" t="n">
        <v>36</v>
      </c>
      <c r="B38" s="15" t="n"/>
      <c r="C38" s="15" t="n"/>
      <c r="D38" s="16" t="n"/>
      <c r="E38" s="16" t="n"/>
      <c r="F38" s="15" t="n"/>
      <c r="G38" s="16" t="n"/>
      <c r="H38" s="15" t="n"/>
      <c r="I38" s="15" t="n"/>
      <c r="J38" s="15" t="n"/>
      <c r="K38" s="15" t="n"/>
      <c r="L38" s="17">
        <f>IF(K38="","",TEXT(K38,"YYYY-MM"))</f>
        <v/>
      </c>
      <c r="M38" s="16" t="n"/>
      <c r="N38" s="16" t="n"/>
      <c r="O38" s="15" t="n"/>
      <c r="P38" s="16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7">
        <f>IF(AF38="","",AG38+AH38+AI38+AJ38)</f>
        <v/>
      </c>
      <c r="AM38" s="18">
        <f>IF(OR(AF38="",AF38=0),"",AL38/AF38)</f>
        <v/>
      </c>
      <c r="AN38" s="18">
        <f>IF(OR(AF38="",AF38=0),"",AH38/AF38)</f>
        <v/>
      </c>
      <c r="AO38" s="16" t="n"/>
    </row>
    <row r="39">
      <c r="A39" s="14" t="n">
        <v>37</v>
      </c>
      <c r="B39" s="15" t="n"/>
      <c r="C39" s="15" t="n"/>
      <c r="D39" s="16" t="n"/>
      <c r="E39" s="16" t="n"/>
      <c r="F39" s="15" t="n"/>
      <c r="G39" s="16" t="n"/>
      <c r="H39" s="15" t="n"/>
      <c r="I39" s="15" t="n"/>
      <c r="J39" s="15" t="n"/>
      <c r="K39" s="15" t="n"/>
      <c r="L39" s="17">
        <f>IF(K39="","",TEXT(K39,"YYYY-MM"))</f>
        <v/>
      </c>
      <c r="M39" s="16" t="n"/>
      <c r="N39" s="16" t="n"/>
      <c r="O39" s="15" t="n"/>
      <c r="P39" s="16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7">
        <f>IF(AF39="","",AG39+AH39+AI39+AJ39)</f>
        <v/>
      </c>
      <c r="AM39" s="18">
        <f>IF(OR(AF39="",AF39=0),"",AL39/AF39)</f>
        <v/>
      </c>
      <c r="AN39" s="18">
        <f>IF(OR(AF39="",AF39=0),"",AH39/AF39)</f>
        <v/>
      </c>
      <c r="AO39" s="16" t="n"/>
    </row>
    <row r="40">
      <c r="A40" s="14" t="n">
        <v>38</v>
      </c>
      <c r="B40" s="15" t="n"/>
      <c r="C40" s="15" t="n"/>
      <c r="D40" s="16" t="n"/>
      <c r="E40" s="16" t="n"/>
      <c r="F40" s="15" t="n"/>
      <c r="G40" s="16" t="n"/>
      <c r="H40" s="15" t="n"/>
      <c r="I40" s="15" t="n"/>
      <c r="J40" s="15" t="n"/>
      <c r="K40" s="15" t="n"/>
      <c r="L40" s="17">
        <f>IF(K40="","",TEXT(K40,"YYYY-MM"))</f>
        <v/>
      </c>
      <c r="M40" s="16" t="n"/>
      <c r="N40" s="16" t="n"/>
      <c r="O40" s="15" t="n"/>
      <c r="P40" s="16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7">
        <f>IF(AF40="","",AG40+AH40+AI40+AJ40)</f>
        <v/>
      </c>
      <c r="AM40" s="18">
        <f>IF(OR(AF40="",AF40=0),"",AL40/AF40)</f>
        <v/>
      </c>
      <c r="AN40" s="18">
        <f>IF(OR(AF40="",AF40=0),"",AH40/AF40)</f>
        <v/>
      </c>
      <c r="AO40" s="16" t="n"/>
    </row>
    <row r="41">
      <c r="A41" s="14" t="n">
        <v>39</v>
      </c>
      <c r="B41" s="15" t="n"/>
      <c r="C41" s="15" t="n"/>
      <c r="D41" s="16" t="n"/>
      <c r="E41" s="16" t="n"/>
      <c r="F41" s="15" t="n"/>
      <c r="G41" s="16" t="n"/>
      <c r="H41" s="15" t="n"/>
      <c r="I41" s="15" t="n"/>
      <c r="J41" s="15" t="n"/>
      <c r="K41" s="15" t="n"/>
      <c r="L41" s="17">
        <f>IF(K41="","",TEXT(K41,"YYYY-MM"))</f>
        <v/>
      </c>
      <c r="M41" s="16" t="n"/>
      <c r="N41" s="16" t="n"/>
      <c r="O41" s="15" t="n"/>
      <c r="P41" s="16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7">
        <f>IF(AF41="","",AG41+AH41+AI41+AJ41)</f>
        <v/>
      </c>
      <c r="AM41" s="18">
        <f>IF(OR(AF41="",AF41=0),"",AL41/AF41)</f>
        <v/>
      </c>
      <c r="AN41" s="18">
        <f>IF(OR(AF41="",AF41=0),"",AH41/AF41)</f>
        <v/>
      </c>
      <c r="AO41" s="16" t="n"/>
    </row>
    <row r="42">
      <c r="A42" s="14" t="n">
        <v>40</v>
      </c>
      <c r="B42" s="15" t="n"/>
      <c r="C42" s="15" t="n"/>
      <c r="D42" s="16" t="n"/>
      <c r="E42" s="16" t="n"/>
      <c r="F42" s="15" t="n"/>
      <c r="G42" s="16" t="n"/>
      <c r="H42" s="15" t="n"/>
      <c r="I42" s="15" t="n"/>
      <c r="J42" s="15" t="n"/>
      <c r="K42" s="15" t="n"/>
      <c r="L42" s="17">
        <f>IF(K42="","",TEXT(K42,"YYYY-MM"))</f>
        <v/>
      </c>
      <c r="M42" s="16" t="n"/>
      <c r="N42" s="16" t="n"/>
      <c r="O42" s="15" t="n"/>
      <c r="P42" s="16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7">
        <f>IF(AF42="","",AG42+AH42+AI42+AJ42)</f>
        <v/>
      </c>
      <c r="AM42" s="18">
        <f>IF(OR(AF42="",AF42=0),"",AL42/AF42)</f>
        <v/>
      </c>
      <c r="AN42" s="18">
        <f>IF(OR(AF42="",AF42=0),"",AH42/AF42)</f>
        <v/>
      </c>
      <c r="AO42" s="16" t="n"/>
    </row>
  </sheetData>
  <mergeCells count="7">
    <mergeCell ref="AO1"/>
    <mergeCell ref="A1:J1"/>
    <mergeCell ref="K1:P1"/>
    <mergeCell ref="AL1:AN1"/>
    <mergeCell ref="Q1:W1"/>
    <mergeCell ref="X1:AD1"/>
    <mergeCell ref="AE1:AK1"/>
  </mergeCells>
  <dataValidations count="6">
    <dataValidation sqref="B3:B42" showDropDown="0" showInputMessage="0" showErrorMessage="0" allowBlank="1" type="list">
      <formula1>=选项!$A$2:$A$6</formula1>
    </dataValidation>
    <dataValidation sqref="E3:E42" showDropDown="0" showInputMessage="0" showErrorMessage="0" allowBlank="1" type="list">
      <formula1>=选项!$M$2:$M$7</formula1>
    </dataValidation>
    <dataValidation sqref="F3:F42" showDropDown="0" showInputMessage="0" showErrorMessage="0" allowBlank="1" type="list">
      <formula1>=选项!$E$2:$E$3</formula1>
    </dataValidation>
    <dataValidation sqref="H3:H42" showDropDown="0" showInputMessage="0" showErrorMessage="0" allowBlank="1" type="list">
      <formula1>=选项!$F$2:$F$5</formula1>
    </dataValidation>
    <dataValidation sqref="I3:I42" showDropDown="0" showInputMessage="0" showErrorMessage="0" allowBlank="1" type="list">
      <formula1>=选项!$G$2:$G$4</formula1>
    </dataValidation>
    <dataValidation sqref="J3:J42" showDropDown="0" showInputMessage="0" showErrorMessage="0" allowBlank="1" type="list">
      <formula1>=选项!$H$2:$H$3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6" customWidth="1" min="4" max="4"/>
    <col width="14" customWidth="1" min="5" max="5"/>
    <col width="8" customWidth="1" min="6" max="6"/>
    <col width="8" customWidth="1" min="7" max="7"/>
    <col width="22" customWidth="1" min="8" max="8"/>
    <col width="16" customWidth="1" min="9" max="9"/>
    <col width="9" customWidth="1" min="10" max="10"/>
    <col width="8" customWidth="1" min="11" max="11"/>
    <col width="8" customWidth="1" min="12" max="12"/>
    <col width="8" customWidth="1" min="13" max="13"/>
    <col width="10" customWidth="1" min="14" max="14"/>
    <col width="9" customWidth="1" min="15" max="15"/>
    <col width="7" customWidth="1" min="16" max="16"/>
    <col width="7" customWidth="1" min="17" max="17"/>
    <col width="7" customWidth="1" min="18" max="18"/>
    <col width="10" customWidth="1" min="19" max="19"/>
    <col width="9" customWidth="1" min="20" max="20"/>
    <col width="7" customWidth="1" min="21" max="21"/>
    <col width="7" customWidth="1" min="22" max="22"/>
    <col width="7" customWidth="1" min="23" max="23"/>
    <col width="10" customWidth="1" min="24" max="24"/>
    <col width="9" customWidth="1" min="25" max="25"/>
    <col width="7" customWidth="1" min="26" max="26"/>
    <col width="7" customWidth="1" min="27" max="27"/>
    <col width="7" customWidth="1" min="28" max="28"/>
    <col width="8" customWidth="1" min="29" max="29"/>
    <col width="9" customWidth="1" min="30" max="30"/>
    <col width="16" customWidth="1" min="31" max="31"/>
  </cols>
  <sheetData>
    <row r="1" ht="20" customHeight="1">
      <c r="A1" s="1" t="inlineStr">
        <is>
          <t>素人笔记 · 基础</t>
        </is>
      </c>
      <c r="J1" s="2" t="inlineStr">
        <is>
          <t>发现时基线</t>
        </is>
      </c>
      <c r="N1" s="3" t="inlineStr">
        <is>
          <t>观测① · 第1个月</t>
        </is>
      </c>
      <c r="S1" s="4" t="inlineStr">
        <is>
          <t>观测② · 第2个月</t>
        </is>
      </c>
      <c r="X1" s="5" t="inlineStr">
        <is>
          <t>观测③ · 第3个月</t>
        </is>
      </c>
      <c r="AC1" s="6" t="inlineStr">
        <is>
          <t>留存结果（自动）</t>
        </is>
      </c>
    </row>
    <row r="2" ht="30" customHeight="1">
      <c r="A2" s="8" t="inlineStr">
        <is>
          <t>序号</t>
        </is>
      </c>
      <c r="B2" s="8" t="inlineStr">
        <is>
          <t>首次发现日</t>
        </is>
      </c>
      <c r="C2" s="8" t="inlineStr">
        <is>
          <t>素人账号昵称</t>
        </is>
      </c>
      <c r="D2" s="8" t="inlineStr">
        <is>
          <t>账号链接</t>
        </is>
      </c>
      <c r="E2" s="8" t="inlineStr">
        <is>
          <t>涉及产品</t>
        </is>
      </c>
      <c r="F2" s="8" t="inlineStr">
        <is>
          <t>内容形式</t>
        </is>
      </c>
      <c r="G2" s="8" t="inlineStr">
        <is>
          <t>情感倾向</t>
        </is>
      </c>
      <c r="H2" s="8" t="inlineStr">
        <is>
          <t>笔记标题</t>
        </is>
      </c>
      <c r="I2" s="8" t="inlineStr">
        <is>
          <t>笔记链接</t>
        </is>
      </c>
      <c r="J2" s="9" t="inlineStr">
        <is>
          <t>基线-曝光估</t>
        </is>
      </c>
      <c r="K2" s="9" t="inlineStr">
        <is>
          <t>基线-点赞</t>
        </is>
      </c>
      <c r="L2" s="9" t="inlineStr">
        <is>
          <t>基线-收藏</t>
        </is>
      </c>
      <c r="M2" s="9" t="inlineStr">
        <is>
          <t>基线-评论</t>
        </is>
      </c>
      <c r="N2" s="10" t="inlineStr">
        <is>
          <t>①观测日</t>
        </is>
      </c>
      <c r="O2" s="10" t="inlineStr">
        <is>
          <t>①状态</t>
        </is>
      </c>
      <c r="P2" s="10" t="inlineStr">
        <is>
          <t>①点赞</t>
        </is>
      </c>
      <c r="Q2" s="10" t="inlineStr">
        <is>
          <t>①收藏</t>
        </is>
      </c>
      <c r="R2" s="10" t="inlineStr">
        <is>
          <t>①评论</t>
        </is>
      </c>
      <c r="S2" s="10" t="inlineStr">
        <is>
          <t>②观测日</t>
        </is>
      </c>
      <c r="T2" s="10" t="inlineStr">
        <is>
          <t>②状态</t>
        </is>
      </c>
      <c r="U2" s="10" t="inlineStr">
        <is>
          <t>②点赞</t>
        </is>
      </c>
      <c r="V2" s="10" t="inlineStr">
        <is>
          <t>②收藏</t>
        </is>
      </c>
      <c r="W2" s="10" t="inlineStr">
        <is>
          <t>②评论</t>
        </is>
      </c>
      <c r="X2" s="11" t="inlineStr">
        <is>
          <t>③观测日</t>
        </is>
      </c>
      <c r="Y2" s="11" t="inlineStr">
        <is>
          <t>③状态</t>
        </is>
      </c>
      <c r="Z2" s="11" t="inlineStr">
        <is>
          <t>③点赞</t>
        </is>
      </c>
      <c r="AA2" s="11" t="inlineStr">
        <is>
          <t>③收藏</t>
        </is>
      </c>
      <c r="AB2" s="11" t="inlineStr">
        <is>
          <t>③评论</t>
        </is>
      </c>
      <c r="AC2" s="12" t="inlineStr">
        <is>
          <t>存活观测数</t>
        </is>
      </c>
      <c r="AD2" s="12" t="inlineStr">
        <is>
          <t>满3月留存</t>
        </is>
      </c>
      <c r="AE2" s="12" t="inlineStr">
        <is>
          <t>备注</t>
        </is>
      </c>
    </row>
    <row r="3">
      <c r="A3" s="14" t="n">
        <v>1</v>
      </c>
      <c r="B3" s="15" t="n"/>
      <c r="C3" s="16" t="n"/>
      <c r="D3" s="16" t="n"/>
      <c r="E3" s="16" t="n"/>
      <c r="F3" s="15" t="n"/>
      <c r="G3" s="15" t="n"/>
      <c r="H3" s="16" t="n"/>
      <c r="I3" s="16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7">
        <f>IF(O3="","",IF(O3="在",1,0)+IF(T3="在",1,0)+IF(Y3="在",1,0))</f>
        <v/>
      </c>
      <c r="AD3" s="17">
        <f>IF(Y3="在","是",IF(OR(O3="",T3="",Y3=""),"观测中","否"))</f>
        <v/>
      </c>
      <c r="AE3" s="16" t="n"/>
    </row>
    <row r="4">
      <c r="A4" s="14" t="n">
        <v>2</v>
      </c>
      <c r="B4" s="15" t="n"/>
      <c r="C4" s="16" t="n"/>
      <c r="D4" s="16" t="n"/>
      <c r="E4" s="16" t="n"/>
      <c r="F4" s="15" t="n"/>
      <c r="G4" s="15" t="n"/>
      <c r="H4" s="16" t="n"/>
      <c r="I4" s="16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7">
        <f>IF(O4="","",IF(O4="在",1,0)+IF(T4="在",1,0)+IF(Y4="在",1,0))</f>
        <v/>
      </c>
      <c r="AD4" s="17">
        <f>IF(Y4="在","是",IF(OR(O4="",T4="",Y4=""),"观测中","否"))</f>
        <v/>
      </c>
      <c r="AE4" s="16" t="n"/>
    </row>
    <row r="5">
      <c r="A5" s="14" t="n">
        <v>3</v>
      </c>
      <c r="B5" s="15" t="n"/>
      <c r="C5" s="16" t="n"/>
      <c r="D5" s="16" t="n"/>
      <c r="E5" s="16" t="n"/>
      <c r="F5" s="15" t="n"/>
      <c r="G5" s="15" t="n"/>
      <c r="H5" s="16" t="n"/>
      <c r="I5" s="16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7">
        <f>IF(O5="","",IF(O5="在",1,0)+IF(T5="在",1,0)+IF(Y5="在",1,0))</f>
        <v/>
      </c>
      <c r="AD5" s="17">
        <f>IF(Y5="在","是",IF(OR(O5="",T5="",Y5=""),"观测中","否"))</f>
        <v/>
      </c>
      <c r="AE5" s="16" t="n"/>
    </row>
    <row r="6">
      <c r="A6" s="14" t="n">
        <v>4</v>
      </c>
      <c r="B6" s="15" t="n"/>
      <c r="C6" s="16" t="n"/>
      <c r="D6" s="16" t="n"/>
      <c r="E6" s="16" t="n"/>
      <c r="F6" s="15" t="n"/>
      <c r="G6" s="15" t="n"/>
      <c r="H6" s="16" t="n"/>
      <c r="I6" s="16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7">
        <f>IF(O6="","",IF(O6="在",1,0)+IF(T6="在",1,0)+IF(Y6="在",1,0))</f>
        <v/>
      </c>
      <c r="AD6" s="17">
        <f>IF(Y6="在","是",IF(OR(O6="",T6="",Y6=""),"观测中","否"))</f>
        <v/>
      </c>
      <c r="AE6" s="16" t="n"/>
    </row>
    <row r="7">
      <c r="A7" s="14" t="n">
        <v>5</v>
      </c>
      <c r="B7" s="15" t="n"/>
      <c r="C7" s="16" t="n"/>
      <c r="D7" s="16" t="n"/>
      <c r="E7" s="16" t="n"/>
      <c r="F7" s="15" t="n"/>
      <c r="G7" s="15" t="n"/>
      <c r="H7" s="16" t="n"/>
      <c r="I7" s="16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7">
        <f>IF(O7="","",IF(O7="在",1,0)+IF(T7="在",1,0)+IF(Y7="在",1,0))</f>
        <v/>
      </c>
      <c r="AD7" s="17">
        <f>IF(Y7="在","是",IF(OR(O7="",T7="",Y7=""),"观测中","否"))</f>
        <v/>
      </c>
      <c r="AE7" s="16" t="n"/>
    </row>
    <row r="8">
      <c r="A8" s="14" t="n">
        <v>6</v>
      </c>
      <c r="B8" s="15" t="n"/>
      <c r="C8" s="16" t="n"/>
      <c r="D8" s="16" t="n"/>
      <c r="E8" s="16" t="n"/>
      <c r="F8" s="15" t="n"/>
      <c r="G8" s="15" t="n"/>
      <c r="H8" s="16" t="n"/>
      <c r="I8" s="16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7">
        <f>IF(O8="","",IF(O8="在",1,0)+IF(T8="在",1,0)+IF(Y8="在",1,0))</f>
        <v/>
      </c>
      <c r="AD8" s="17">
        <f>IF(Y8="在","是",IF(OR(O8="",T8="",Y8=""),"观测中","否"))</f>
        <v/>
      </c>
      <c r="AE8" s="16" t="n"/>
    </row>
    <row r="9">
      <c r="A9" s="14" t="n">
        <v>7</v>
      </c>
      <c r="B9" s="15" t="n"/>
      <c r="C9" s="16" t="n"/>
      <c r="D9" s="16" t="n"/>
      <c r="E9" s="16" t="n"/>
      <c r="F9" s="15" t="n"/>
      <c r="G9" s="15" t="n"/>
      <c r="H9" s="16" t="n"/>
      <c r="I9" s="16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7">
        <f>IF(O9="","",IF(O9="在",1,0)+IF(T9="在",1,0)+IF(Y9="在",1,0))</f>
        <v/>
      </c>
      <c r="AD9" s="17">
        <f>IF(Y9="在","是",IF(OR(O9="",T9="",Y9=""),"观测中","否"))</f>
        <v/>
      </c>
      <c r="AE9" s="16" t="n"/>
    </row>
    <row r="10">
      <c r="A10" s="14" t="n">
        <v>8</v>
      </c>
      <c r="B10" s="15" t="n"/>
      <c r="C10" s="16" t="n"/>
      <c r="D10" s="16" t="n"/>
      <c r="E10" s="16" t="n"/>
      <c r="F10" s="15" t="n"/>
      <c r="G10" s="15" t="n"/>
      <c r="H10" s="16" t="n"/>
      <c r="I10" s="16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7">
        <f>IF(O10="","",IF(O10="在",1,0)+IF(T10="在",1,0)+IF(Y10="在",1,0))</f>
        <v/>
      </c>
      <c r="AD10" s="17">
        <f>IF(Y10="在","是",IF(OR(O10="",T10="",Y10=""),"观测中","否"))</f>
        <v/>
      </c>
      <c r="AE10" s="16" t="n"/>
    </row>
    <row r="11">
      <c r="A11" s="14" t="n">
        <v>9</v>
      </c>
      <c r="B11" s="15" t="n"/>
      <c r="C11" s="16" t="n"/>
      <c r="D11" s="16" t="n"/>
      <c r="E11" s="16" t="n"/>
      <c r="F11" s="15" t="n"/>
      <c r="G11" s="15" t="n"/>
      <c r="H11" s="16" t="n"/>
      <c r="I11" s="16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7">
        <f>IF(O11="","",IF(O11="在",1,0)+IF(T11="在",1,0)+IF(Y11="在",1,0))</f>
        <v/>
      </c>
      <c r="AD11" s="17">
        <f>IF(Y11="在","是",IF(OR(O11="",T11="",Y11=""),"观测中","否"))</f>
        <v/>
      </c>
      <c r="AE11" s="16" t="n"/>
    </row>
    <row r="12">
      <c r="A12" s="14" t="n">
        <v>10</v>
      </c>
      <c r="B12" s="15" t="n"/>
      <c r="C12" s="16" t="n"/>
      <c r="D12" s="16" t="n"/>
      <c r="E12" s="16" t="n"/>
      <c r="F12" s="15" t="n"/>
      <c r="G12" s="15" t="n"/>
      <c r="H12" s="16" t="n"/>
      <c r="I12" s="16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7">
        <f>IF(O12="","",IF(O12="在",1,0)+IF(T12="在",1,0)+IF(Y12="在",1,0))</f>
        <v/>
      </c>
      <c r="AD12" s="17">
        <f>IF(Y12="在","是",IF(OR(O12="",T12="",Y12=""),"观测中","否"))</f>
        <v/>
      </c>
      <c r="AE12" s="16" t="n"/>
    </row>
    <row r="13">
      <c r="A13" s="14" t="n">
        <v>11</v>
      </c>
      <c r="B13" s="15" t="n"/>
      <c r="C13" s="16" t="n"/>
      <c r="D13" s="16" t="n"/>
      <c r="E13" s="16" t="n"/>
      <c r="F13" s="15" t="n"/>
      <c r="G13" s="15" t="n"/>
      <c r="H13" s="16" t="n"/>
      <c r="I13" s="16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7">
        <f>IF(O13="","",IF(O13="在",1,0)+IF(T13="在",1,0)+IF(Y13="在",1,0))</f>
        <v/>
      </c>
      <c r="AD13" s="17">
        <f>IF(Y13="在","是",IF(OR(O13="",T13="",Y13=""),"观测中","否"))</f>
        <v/>
      </c>
      <c r="AE13" s="16" t="n"/>
    </row>
    <row r="14">
      <c r="A14" s="14" t="n">
        <v>12</v>
      </c>
      <c r="B14" s="15" t="n"/>
      <c r="C14" s="16" t="n"/>
      <c r="D14" s="16" t="n"/>
      <c r="E14" s="16" t="n"/>
      <c r="F14" s="15" t="n"/>
      <c r="G14" s="15" t="n"/>
      <c r="H14" s="16" t="n"/>
      <c r="I14" s="16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7">
        <f>IF(O14="","",IF(O14="在",1,0)+IF(T14="在",1,0)+IF(Y14="在",1,0))</f>
        <v/>
      </c>
      <c r="AD14" s="17">
        <f>IF(Y14="在","是",IF(OR(O14="",T14="",Y14=""),"观测中","否"))</f>
        <v/>
      </c>
      <c r="AE14" s="16" t="n"/>
    </row>
    <row r="15">
      <c r="A15" s="14" t="n">
        <v>13</v>
      </c>
      <c r="B15" s="15" t="n"/>
      <c r="C15" s="16" t="n"/>
      <c r="D15" s="16" t="n"/>
      <c r="E15" s="16" t="n"/>
      <c r="F15" s="15" t="n"/>
      <c r="G15" s="15" t="n"/>
      <c r="H15" s="16" t="n"/>
      <c r="I15" s="16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7">
        <f>IF(O15="","",IF(O15="在",1,0)+IF(T15="在",1,0)+IF(Y15="在",1,0))</f>
        <v/>
      </c>
      <c r="AD15" s="17">
        <f>IF(Y15="在","是",IF(OR(O15="",T15="",Y15=""),"观测中","否"))</f>
        <v/>
      </c>
      <c r="AE15" s="16" t="n"/>
    </row>
    <row r="16">
      <c r="A16" s="14" t="n">
        <v>14</v>
      </c>
      <c r="B16" s="15" t="n"/>
      <c r="C16" s="16" t="n"/>
      <c r="D16" s="16" t="n"/>
      <c r="E16" s="16" t="n"/>
      <c r="F16" s="15" t="n"/>
      <c r="G16" s="15" t="n"/>
      <c r="H16" s="16" t="n"/>
      <c r="I16" s="16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7">
        <f>IF(O16="","",IF(O16="在",1,0)+IF(T16="在",1,0)+IF(Y16="在",1,0))</f>
        <v/>
      </c>
      <c r="AD16" s="17">
        <f>IF(Y16="在","是",IF(OR(O16="",T16="",Y16=""),"观测中","否"))</f>
        <v/>
      </c>
      <c r="AE16" s="16" t="n"/>
    </row>
    <row r="17">
      <c r="A17" s="14" t="n">
        <v>15</v>
      </c>
      <c r="B17" s="15" t="n"/>
      <c r="C17" s="16" t="n"/>
      <c r="D17" s="16" t="n"/>
      <c r="E17" s="16" t="n"/>
      <c r="F17" s="15" t="n"/>
      <c r="G17" s="15" t="n"/>
      <c r="H17" s="16" t="n"/>
      <c r="I17" s="16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7">
        <f>IF(O17="","",IF(O17="在",1,0)+IF(T17="在",1,0)+IF(Y17="在",1,0))</f>
        <v/>
      </c>
      <c r="AD17" s="17">
        <f>IF(Y17="在","是",IF(OR(O17="",T17="",Y17=""),"观测中","否"))</f>
        <v/>
      </c>
      <c r="AE17" s="16" t="n"/>
    </row>
    <row r="18">
      <c r="A18" s="14" t="n">
        <v>16</v>
      </c>
      <c r="B18" s="15" t="n"/>
      <c r="C18" s="16" t="n"/>
      <c r="D18" s="16" t="n"/>
      <c r="E18" s="16" t="n"/>
      <c r="F18" s="15" t="n"/>
      <c r="G18" s="15" t="n"/>
      <c r="H18" s="16" t="n"/>
      <c r="I18" s="16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7">
        <f>IF(O18="","",IF(O18="在",1,0)+IF(T18="在",1,0)+IF(Y18="在",1,0))</f>
        <v/>
      </c>
      <c r="AD18" s="17">
        <f>IF(Y18="在","是",IF(OR(O18="",T18="",Y18=""),"观测中","否"))</f>
        <v/>
      </c>
      <c r="AE18" s="16" t="n"/>
    </row>
    <row r="19">
      <c r="A19" s="14" t="n">
        <v>17</v>
      </c>
      <c r="B19" s="15" t="n"/>
      <c r="C19" s="16" t="n"/>
      <c r="D19" s="16" t="n"/>
      <c r="E19" s="16" t="n"/>
      <c r="F19" s="15" t="n"/>
      <c r="G19" s="15" t="n"/>
      <c r="H19" s="16" t="n"/>
      <c r="I19" s="16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7">
        <f>IF(O19="","",IF(O19="在",1,0)+IF(T19="在",1,0)+IF(Y19="在",1,0))</f>
        <v/>
      </c>
      <c r="AD19" s="17">
        <f>IF(Y19="在","是",IF(OR(O19="",T19="",Y19=""),"观测中","否"))</f>
        <v/>
      </c>
      <c r="AE19" s="16" t="n"/>
    </row>
    <row r="20">
      <c r="A20" s="14" t="n">
        <v>18</v>
      </c>
      <c r="B20" s="15" t="n"/>
      <c r="C20" s="16" t="n"/>
      <c r="D20" s="16" t="n"/>
      <c r="E20" s="16" t="n"/>
      <c r="F20" s="15" t="n"/>
      <c r="G20" s="15" t="n"/>
      <c r="H20" s="16" t="n"/>
      <c r="I20" s="16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7">
        <f>IF(O20="","",IF(O20="在",1,0)+IF(T20="在",1,0)+IF(Y20="在",1,0))</f>
        <v/>
      </c>
      <c r="AD20" s="17">
        <f>IF(Y20="在","是",IF(OR(O20="",T20="",Y20=""),"观测中","否"))</f>
        <v/>
      </c>
      <c r="AE20" s="16" t="n"/>
    </row>
    <row r="21">
      <c r="A21" s="14" t="n">
        <v>19</v>
      </c>
      <c r="B21" s="15" t="n"/>
      <c r="C21" s="16" t="n"/>
      <c r="D21" s="16" t="n"/>
      <c r="E21" s="16" t="n"/>
      <c r="F21" s="15" t="n"/>
      <c r="G21" s="15" t="n"/>
      <c r="H21" s="16" t="n"/>
      <c r="I21" s="16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7">
        <f>IF(O21="","",IF(O21="在",1,0)+IF(T21="在",1,0)+IF(Y21="在",1,0))</f>
        <v/>
      </c>
      <c r="AD21" s="17">
        <f>IF(Y21="在","是",IF(OR(O21="",T21="",Y21=""),"观测中","否"))</f>
        <v/>
      </c>
      <c r="AE21" s="16" t="n"/>
    </row>
    <row r="22">
      <c r="A22" s="14" t="n">
        <v>20</v>
      </c>
      <c r="B22" s="15" t="n"/>
      <c r="C22" s="16" t="n"/>
      <c r="D22" s="16" t="n"/>
      <c r="E22" s="16" t="n"/>
      <c r="F22" s="15" t="n"/>
      <c r="G22" s="15" t="n"/>
      <c r="H22" s="16" t="n"/>
      <c r="I22" s="16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7">
        <f>IF(O22="","",IF(O22="在",1,0)+IF(T22="在",1,0)+IF(Y22="在",1,0))</f>
        <v/>
      </c>
      <c r="AD22" s="17">
        <f>IF(Y22="在","是",IF(OR(O22="",T22="",Y22=""),"观测中","否"))</f>
        <v/>
      </c>
      <c r="AE22" s="16" t="n"/>
    </row>
    <row r="23">
      <c r="A23" s="14" t="n">
        <v>21</v>
      </c>
      <c r="B23" s="15" t="n"/>
      <c r="C23" s="16" t="n"/>
      <c r="D23" s="16" t="n"/>
      <c r="E23" s="16" t="n"/>
      <c r="F23" s="15" t="n"/>
      <c r="G23" s="15" t="n"/>
      <c r="H23" s="16" t="n"/>
      <c r="I23" s="16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7">
        <f>IF(O23="","",IF(O23="在",1,0)+IF(T23="在",1,0)+IF(Y23="在",1,0))</f>
        <v/>
      </c>
      <c r="AD23" s="17">
        <f>IF(Y23="在","是",IF(OR(O23="",T23="",Y23=""),"观测中","否"))</f>
        <v/>
      </c>
      <c r="AE23" s="16" t="n"/>
    </row>
    <row r="24">
      <c r="A24" s="14" t="n">
        <v>22</v>
      </c>
      <c r="B24" s="15" t="n"/>
      <c r="C24" s="16" t="n"/>
      <c r="D24" s="16" t="n"/>
      <c r="E24" s="16" t="n"/>
      <c r="F24" s="15" t="n"/>
      <c r="G24" s="15" t="n"/>
      <c r="H24" s="16" t="n"/>
      <c r="I24" s="16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7">
        <f>IF(O24="","",IF(O24="在",1,0)+IF(T24="在",1,0)+IF(Y24="在",1,0))</f>
        <v/>
      </c>
      <c r="AD24" s="17">
        <f>IF(Y24="在","是",IF(OR(O24="",T24="",Y24=""),"观测中","否"))</f>
        <v/>
      </c>
      <c r="AE24" s="16" t="n"/>
    </row>
    <row r="25">
      <c r="A25" s="14" t="n">
        <v>23</v>
      </c>
      <c r="B25" s="15" t="n"/>
      <c r="C25" s="16" t="n"/>
      <c r="D25" s="16" t="n"/>
      <c r="E25" s="16" t="n"/>
      <c r="F25" s="15" t="n"/>
      <c r="G25" s="15" t="n"/>
      <c r="H25" s="16" t="n"/>
      <c r="I25" s="16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7">
        <f>IF(O25="","",IF(O25="在",1,0)+IF(T25="在",1,0)+IF(Y25="在",1,0))</f>
        <v/>
      </c>
      <c r="AD25" s="17">
        <f>IF(Y25="在","是",IF(OR(O25="",T25="",Y25=""),"观测中","否"))</f>
        <v/>
      </c>
      <c r="AE25" s="16" t="n"/>
    </row>
    <row r="26">
      <c r="A26" s="14" t="n">
        <v>24</v>
      </c>
      <c r="B26" s="15" t="n"/>
      <c r="C26" s="16" t="n"/>
      <c r="D26" s="16" t="n"/>
      <c r="E26" s="16" t="n"/>
      <c r="F26" s="15" t="n"/>
      <c r="G26" s="15" t="n"/>
      <c r="H26" s="16" t="n"/>
      <c r="I26" s="16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7">
        <f>IF(O26="","",IF(O26="在",1,0)+IF(T26="在",1,0)+IF(Y26="在",1,0))</f>
        <v/>
      </c>
      <c r="AD26" s="17">
        <f>IF(Y26="在","是",IF(OR(O26="",T26="",Y26=""),"观测中","否"))</f>
        <v/>
      </c>
      <c r="AE26" s="16" t="n"/>
    </row>
    <row r="27">
      <c r="A27" s="14" t="n">
        <v>25</v>
      </c>
      <c r="B27" s="15" t="n"/>
      <c r="C27" s="16" t="n"/>
      <c r="D27" s="16" t="n"/>
      <c r="E27" s="16" t="n"/>
      <c r="F27" s="15" t="n"/>
      <c r="G27" s="15" t="n"/>
      <c r="H27" s="16" t="n"/>
      <c r="I27" s="16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7">
        <f>IF(O27="","",IF(O27="在",1,0)+IF(T27="在",1,0)+IF(Y27="在",1,0))</f>
        <v/>
      </c>
      <c r="AD27" s="17">
        <f>IF(Y27="在","是",IF(OR(O27="",T27="",Y27=""),"观测中","否"))</f>
        <v/>
      </c>
      <c r="AE27" s="16" t="n"/>
    </row>
    <row r="28">
      <c r="A28" s="14" t="n">
        <v>26</v>
      </c>
      <c r="B28" s="15" t="n"/>
      <c r="C28" s="16" t="n"/>
      <c r="D28" s="16" t="n"/>
      <c r="E28" s="16" t="n"/>
      <c r="F28" s="15" t="n"/>
      <c r="G28" s="15" t="n"/>
      <c r="H28" s="16" t="n"/>
      <c r="I28" s="16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7">
        <f>IF(O28="","",IF(O28="在",1,0)+IF(T28="在",1,0)+IF(Y28="在",1,0))</f>
        <v/>
      </c>
      <c r="AD28" s="17">
        <f>IF(Y28="在","是",IF(OR(O28="",T28="",Y28=""),"观测中","否"))</f>
        <v/>
      </c>
      <c r="AE28" s="16" t="n"/>
    </row>
    <row r="29">
      <c r="A29" s="14" t="n">
        <v>27</v>
      </c>
      <c r="B29" s="15" t="n"/>
      <c r="C29" s="16" t="n"/>
      <c r="D29" s="16" t="n"/>
      <c r="E29" s="16" t="n"/>
      <c r="F29" s="15" t="n"/>
      <c r="G29" s="15" t="n"/>
      <c r="H29" s="16" t="n"/>
      <c r="I29" s="16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7">
        <f>IF(O29="","",IF(O29="在",1,0)+IF(T29="在",1,0)+IF(Y29="在",1,0))</f>
        <v/>
      </c>
      <c r="AD29" s="17">
        <f>IF(Y29="在","是",IF(OR(O29="",T29="",Y29=""),"观测中","否"))</f>
        <v/>
      </c>
      <c r="AE29" s="16" t="n"/>
    </row>
    <row r="30">
      <c r="A30" s="14" t="n">
        <v>28</v>
      </c>
      <c r="B30" s="15" t="n"/>
      <c r="C30" s="16" t="n"/>
      <c r="D30" s="16" t="n"/>
      <c r="E30" s="16" t="n"/>
      <c r="F30" s="15" t="n"/>
      <c r="G30" s="15" t="n"/>
      <c r="H30" s="16" t="n"/>
      <c r="I30" s="16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7">
        <f>IF(O30="","",IF(O30="在",1,0)+IF(T30="在",1,0)+IF(Y30="在",1,0))</f>
        <v/>
      </c>
      <c r="AD30" s="17">
        <f>IF(Y30="在","是",IF(OR(O30="",T30="",Y30=""),"观测中","否"))</f>
        <v/>
      </c>
      <c r="AE30" s="16" t="n"/>
    </row>
    <row r="31">
      <c r="A31" s="14" t="n">
        <v>29</v>
      </c>
      <c r="B31" s="15" t="n"/>
      <c r="C31" s="16" t="n"/>
      <c r="D31" s="16" t="n"/>
      <c r="E31" s="16" t="n"/>
      <c r="F31" s="15" t="n"/>
      <c r="G31" s="15" t="n"/>
      <c r="H31" s="16" t="n"/>
      <c r="I31" s="16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7">
        <f>IF(O31="","",IF(O31="在",1,0)+IF(T31="在",1,0)+IF(Y31="在",1,0))</f>
        <v/>
      </c>
      <c r="AD31" s="17">
        <f>IF(Y31="在","是",IF(OR(O31="",T31="",Y31=""),"观测中","否"))</f>
        <v/>
      </c>
      <c r="AE31" s="16" t="n"/>
    </row>
    <row r="32">
      <c r="A32" s="14" t="n">
        <v>30</v>
      </c>
      <c r="B32" s="15" t="n"/>
      <c r="C32" s="16" t="n"/>
      <c r="D32" s="16" t="n"/>
      <c r="E32" s="16" t="n"/>
      <c r="F32" s="15" t="n"/>
      <c r="G32" s="15" t="n"/>
      <c r="H32" s="16" t="n"/>
      <c r="I32" s="16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7">
        <f>IF(O32="","",IF(O32="在",1,0)+IF(T32="在",1,0)+IF(Y32="在",1,0))</f>
        <v/>
      </c>
      <c r="AD32" s="17">
        <f>IF(Y32="在","是",IF(OR(O32="",T32="",Y32=""),"观测中","否"))</f>
        <v/>
      </c>
      <c r="AE32" s="16" t="n"/>
    </row>
    <row r="33">
      <c r="A33" s="14" t="n">
        <v>31</v>
      </c>
      <c r="B33" s="15" t="n"/>
      <c r="C33" s="16" t="n"/>
      <c r="D33" s="16" t="n"/>
      <c r="E33" s="16" t="n"/>
      <c r="F33" s="15" t="n"/>
      <c r="G33" s="15" t="n"/>
      <c r="H33" s="16" t="n"/>
      <c r="I33" s="16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7">
        <f>IF(O33="","",IF(O33="在",1,0)+IF(T33="在",1,0)+IF(Y33="在",1,0))</f>
        <v/>
      </c>
      <c r="AD33" s="17">
        <f>IF(Y33="在","是",IF(OR(O33="",T33="",Y33=""),"观测中","否"))</f>
        <v/>
      </c>
      <c r="AE33" s="16" t="n"/>
    </row>
    <row r="34">
      <c r="A34" s="14" t="n">
        <v>32</v>
      </c>
      <c r="B34" s="15" t="n"/>
      <c r="C34" s="16" t="n"/>
      <c r="D34" s="16" t="n"/>
      <c r="E34" s="16" t="n"/>
      <c r="F34" s="15" t="n"/>
      <c r="G34" s="15" t="n"/>
      <c r="H34" s="16" t="n"/>
      <c r="I34" s="16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7">
        <f>IF(O34="","",IF(O34="在",1,0)+IF(T34="在",1,0)+IF(Y34="在",1,0))</f>
        <v/>
      </c>
      <c r="AD34" s="17">
        <f>IF(Y34="在","是",IF(OR(O34="",T34="",Y34=""),"观测中","否"))</f>
        <v/>
      </c>
      <c r="AE34" s="16" t="n"/>
    </row>
    <row r="35">
      <c r="A35" s="14" t="n">
        <v>33</v>
      </c>
      <c r="B35" s="15" t="n"/>
      <c r="C35" s="16" t="n"/>
      <c r="D35" s="16" t="n"/>
      <c r="E35" s="16" t="n"/>
      <c r="F35" s="15" t="n"/>
      <c r="G35" s="15" t="n"/>
      <c r="H35" s="16" t="n"/>
      <c r="I35" s="16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7">
        <f>IF(O35="","",IF(O35="在",1,0)+IF(T35="在",1,0)+IF(Y35="在",1,0))</f>
        <v/>
      </c>
      <c r="AD35" s="17">
        <f>IF(Y35="在","是",IF(OR(O35="",T35="",Y35=""),"观测中","否"))</f>
        <v/>
      </c>
      <c r="AE35" s="16" t="n"/>
    </row>
    <row r="36">
      <c r="A36" s="14" t="n">
        <v>34</v>
      </c>
      <c r="B36" s="15" t="n"/>
      <c r="C36" s="16" t="n"/>
      <c r="D36" s="16" t="n"/>
      <c r="E36" s="16" t="n"/>
      <c r="F36" s="15" t="n"/>
      <c r="G36" s="15" t="n"/>
      <c r="H36" s="16" t="n"/>
      <c r="I36" s="16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7">
        <f>IF(O36="","",IF(O36="在",1,0)+IF(T36="在",1,0)+IF(Y36="在",1,0))</f>
        <v/>
      </c>
      <c r="AD36" s="17">
        <f>IF(Y36="在","是",IF(OR(O36="",T36="",Y36=""),"观测中","否"))</f>
        <v/>
      </c>
      <c r="AE36" s="16" t="n"/>
    </row>
    <row r="37">
      <c r="A37" s="14" t="n">
        <v>35</v>
      </c>
      <c r="B37" s="15" t="n"/>
      <c r="C37" s="16" t="n"/>
      <c r="D37" s="16" t="n"/>
      <c r="E37" s="16" t="n"/>
      <c r="F37" s="15" t="n"/>
      <c r="G37" s="15" t="n"/>
      <c r="H37" s="16" t="n"/>
      <c r="I37" s="16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7">
        <f>IF(O37="","",IF(O37="在",1,0)+IF(T37="在",1,0)+IF(Y37="在",1,0))</f>
        <v/>
      </c>
      <c r="AD37" s="17">
        <f>IF(Y37="在","是",IF(OR(O37="",T37="",Y37=""),"观测中","否"))</f>
        <v/>
      </c>
      <c r="AE37" s="16" t="n"/>
    </row>
    <row r="38">
      <c r="A38" s="14" t="n">
        <v>36</v>
      </c>
      <c r="B38" s="15" t="n"/>
      <c r="C38" s="16" t="n"/>
      <c r="D38" s="16" t="n"/>
      <c r="E38" s="16" t="n"/>
      <c r="F38" s="15" t="n"/>
      <c r="G38" s="15" t="n"/>
      <c r="H38" s="16" t="n"/>
      <c r="I38" s="16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7">
        <f>IF(O38="","",IF(O38="在",1,0)+IF(T38="在",1,0)+IF(Y38="在",1,0))</f>
        <v/>
      </c>
      <c r="AD38" s="17">
        <f>IF(Y38="在","是",IF(OR(O38="",T38="",Y38=""),"观测中","否"))</f>
        <v/>
      </c>
      <c r="AE38" s="16" t="n"/>
    </row>
    <row r="39">
      <c r="A39" s="14" t="n">
        <v>37</v>
      </c>
      <c r="B39" s="15" t="n"/>
      <c r="C39" s="16" t="n"/>
      <c r="D39" s="16" t="n"/>
      <c r="E39" s="16" t="n"/>
      <c r="F39" s="15" t="n"/>
      <c r="G39" s="15" t="n"/>
      <c r="H39" s="16" t="n"/>
      <c r="I39" s="16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7">
        <f>IF(O39="","",IF(O39="在",1,0)+IF(T39="在",1,0)+IF(Y39="在",1,0))</f>
        <v/>
      </c>
      <c r="AD39" s="17">
        <f>IF(Y39="在","是",IF(OR(O39="",T39="",Y39=""),"观测中","否"))</f>
        <v/>
      </c>
      <c r="AE39" s="16" t="n"/>
    </row>
    <row r="40">
      <c r="A40" s="14" t="n">
        <v>38</v>
      </c>
      <c r="B40" s="15" t="n"/>
      <c r="C40" s="16" t="n"/>
      <c r="D40" s="16" t="n"/>
      <c r="E40" s="16" t="n"/>
      <c r="F40" s="15" t="n"/>
      <c r="G40" s="15" t="n"/>
      <c r="H40" s="16" t="n"/>
      <c r="I40" s="16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7">
        <f>IF(O40="","",IF(O40="在",1,0)+IF(T40="在",1,0)+IF(Y40="在",1,0))</f>
        <v/>
      </c>
      <c r="AD40" s="17">
        <f>IF(Y40="在","是",IF(OR(O40="",T40="",Y40=""),"观测中","否"))</f>
        <v/>
      </c>
      <c r="AE40" s="16" t="n"/>
    </row>
    <row r="41">
      <c r="A41" s="14" t="n">
        <v>39</v>
      </c>
      <c r="B41" s="15" t="n"/>
      <c r="C41" s="16" t="n"/>
      <c r="D41" s="16" t="n"/>
      <c r="E41" s="16" t="n"/>
      <c r="F41" s="15" t="n"/>
      <c r="G41" s="15" t="n"/>
      <c r="H41" s="16" t="n"/>
      <c r="I41" s="16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7">
        <f>IF(O41="","",IF(O41="在",1,0)+IF(T41="在",1,0)+IF(Y41="在",1,0))</f>
        <v/>
      </c>
      <c r="AD41" s="17">
        <f>IF(Y41="在","是",IF(OR(O41="",T41="",Y41=""),"观测中","否"))</f>
        <v/>
      </c>
      <c r="AE41" s="16" t="n"/>
    </row>
    <row r="42">
      <c r="A42" s="14" t="n">
        <v>40</v>
      </c>
      <c r="B42" s="15" t="n"/>
      <c r="C42" s="16" t="n"/>
      <c r="D42" s="16" t="n"/>
      <c r="E42" s="16" t="n"/>
      <c r="F42" s="15" t="n"/>
      <c r="G42" s="15" t="n"/>
      <c r="H42" s="16" t="n"/>
      <c r="I42" s="16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7">
        <f>IF(O42="","",IF(O42="在",1,0)+IF(T42="在",1,0)+IF(Y42="在",1,0))</f>
        <v/>
      </c>
      <c r="AD42" s="17">
        <f>IF(Y42="在","是",IF(OR(O42="",T42="",Y42=""),"观测中","否"))</f>
        <v/>
      </c>
      <c r="AE42" s="16" t="n"/>
    </row>
    <row r="43">
      <c r="A43" s="14" t="n">
        <v>41</v>
      </c>
      <c r="B43" s="15" t="n"/>
      <c r="C43" s="16" t="n"/>
      <c r="D43" s="16" t="n"/>
      <c r="E43" s="16" t="n"/>
      <c r="F43" s="15" t="n"/>
      <c r="G43" s="15" t="n"/>
      <c r="H43" s="16" t="n"/>
      <c r="I43" s="16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7">
        <f>IF(O43="","",IF(O43="在",1,0)+IF(T43="在",1,0)+IF(Y43="在",1,0))</f>
        <v/>
      </c>
      <c r="AD43" s="17">
        <f>IF(Y43="在","是",IF(OR(O43="",T43="",Y43=""),"观测中","否"))</f>
        <v/>
      </c>
      <c r="AE43" s="16" t="n"/>
    </row>
    <row r="44">
      <c r="A44" s="14" t="n">
        <v>42</v>
      </c>
      <c r="B44" s="15" t="n"/>
      <c r="C44" s="16" t="n"/>
      <c r="D44" s="16" t="n"/>
      <c r="E44" s="16" t="n"/>
      <c r="F44" s="15" t="n"/>
      <c r="G44" s="15" t="n"/>
      <c r="H44" s="16" t="n"/>
      <c r="I44" s="16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7">
        <f>IF(O44="","",IF(O44="在",1,0)+IF(T44="在",1,0)+IF(Y44="在",1,0))</f>
        <v/>
      </c>
      <c r="AD44" s="17">
        <f>IF(Y44="在","是",IF(OR(O44="",T44="",Y44=""),"观测中","否"))</f>
        <v/>
      </c>
      <c r="AE44" s="16" t="n"/>
    </row>
    <row r="45">
      <c r="A45" s="14" t="n">
        <v>43</v>
      </c>
      <c r="B45" s="15" t="n"/>
      <c r="C45" s="16" t="n"/>
      <c r="D45" s="16" t="n"/>
      <c r="E45" s="16" t="n"/>
      <c r="F45" s="15" t="n"/>
      <c r="G45" s="15" t="n"/>
      <c r="H45" s="16" t="n"/>
      <c r="I45" s="16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7">
        <f>IF(O45="","",IF(O45="在",1,0)+IF(T45="在",1,0)+IF(Y45="在",1,0))</f>
        <v/>
      </c>
      <c r="AD45" s="17">
        <f>IF(Y45="在","是",IF(OR(O45="",T45="",Y45=""),"观测中","否"))</f>
        <v/>
      </c>
      <c r="AE45" s="16" t="n"/>
    </row>
    <row r="46">
      <c r="A46" s="14" t="n">
        <v>44</v>
      </c>
      <c r="B46" s="15" t="n"/>
      <c r="C46" s="16" t="n"/>
      <c r="D46" s="16" t="n"/>
      <c r="E46" s="16" t="n"/>
      <c r="F46" s="15" t="n"/>
      <c r="G46" s="15" t="n"/>
      <c r="H46" s="16" t="n"/>
      <c r="I46" s="16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7">
        <f>IF(O46="","",IF(O46="在",1,0)+IF(T46="在",1,0)+IF(Y46="在",1,0))</f>
        <v/>
      </c>
      <c r="AD46" s="17">
        <f>IF(Y46="在","是",IF(OR(O46="",T46="",Y46=""),"观测中","否"))</f>
        <v/>
      </c>
      <c r="AE46" s="16" t="n"/>
    </row>
    <row r="47">
      <c r="A47" s="14" t="n">
        <v>45</v>
      </c>
      <c r="B47" s="15" t="n"/>
      <c r="C47" s="16" t="n"/>
      <c r="D47" s="16" t="n"/>
      <c r="E47" s="16" t="n"/>
      <c r="F47" s="15" t="n"/>
      <c r="G47" s="15" t="n"/>
      <c r="H47" s="16" t="n"/>
      <c r="I47" s="16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7">
        <f>IF(O47="","",IF(O47="在",1,0)+IF(T47="在",1,0)+IF(Y47="在",1,0))</f>
        <v/>
      </c>
      <c r="AD47" s="17">
        <f>IF(Y47="在","是",IF(OR(O47="",T47="",Y47=""),"观测中","否"))</f>
        <v/>
      </c>
      <c r="AE47" s="16" t="n"/>
    </row>
    <row r="48">
      <c r="A48" s="14" t="n">
        <v>46</v>
      </c>
      <c r="B48" s="15" t="n"/>
      <c r="C48" s="16" t="n"/>
      <c r="D48" s="16" t="n"/>
      <c r="E48" s="16" t="n"/>
      <c r="F48" s="15" t="n"/>
      <c r="G48" s="15" t="n"/>
      <c r="H48" s="16" t="n"/>
      <c r="I48" s="16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7">
        <f>IF(O48="","",IF(O48="在",1,0)+IF(T48="在",1,0)+IF(Y48="在",1,0))</f>
        <v/>
      </c>
      <c r="AD48" s="17">
        <f>IF(Y48="在","是",IF(OR(O48="",T48="",Y48=""),"观测中","否"))</f>
        <v/>
      </c>
      <c r="AE48" s="16" t="n"/>
    </row>
    <row r="49">
      <c r="A49" s="14" t="n">
        <v>47</v>
      </c>
      <c r="B49" s="15" t="n"/>
      <c r="C49" s="16" t="n"/>
      <c r="D49" s="16" t="n"/>
      <c r="E49" s="16" t="n"/>
      <c r="F49" s="15" t="n"/>
      <c r="G49" s="15" t="n"/>
      <c r="H49" s="16" t="n"/>
      <c r="I49" s="16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7">
        <f>IF(O49="","",IF(O49="在",1,0)+IF(T49="在",1,0)+IF(Y49="在",1,0))</f>
        <v/>
      </c>
      <c r="AD49" s="17">
        <f>IF(Y49="在","是",IF(OR(O49="",T49="",Y49=""),"观测中","否"))</f>
        <v/>
      </c>
      <c r="AE49" s="16" t="n"/>
    </row>
    <row r="50">
      <c r="A50" s="14" t="n">
        <v>48</v>
      </c>
      <c r="B50" s="15" t="n"/>
      <c r="C50" s="16" t="n"/>
      <c r="D50" s="16" t="n"/>
      <c r="E50" s="16" t="n"/>
      <c r="F50" s="15" t="n"/>
      <c r="G50" s="15" t="n"/>
      <c r="H50" s="16" t="n"/>
      <c r="I50" s="16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7">
        <f>IF(O50="","",IF(O50="在",1,0)+IF(T50="在",1,0)+IF(Y50="在",1,0))</f>
        <v/>
      </c>
      <c r="AD50" s="17">
        <f>IF(Y50="在","是",IF(OR(O50="",T50="",Y50=""),"观测中","否"))</f>
        <v/>
      </c>
      <c r="AE50" s="16" t="n"/>
    </row>
    <row r="51">
      <c r="A51" s="14" t="n">
        <v>49</v>
      </c>
      <c r="B51" s="15" t="n"/>
      <c r="C51" s="16" t="n"/>
      <c r="D51" s="16" t="n"/>
      <c r="E51" s="16" t="n"/>
      <c r="F51" s="15" t="n"/>
      <c r="G51" s="15" t="n"/>
      <c r="H51" s="16" t="n"/>
      <c r="I51" s="16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7">
        <f>IF(O51="","",IF(O51="在",1,0)+IF(T51="在",1,0)+IF(Y51="在",1,0))</f>
        <v/>
      </c>
      <c r="AD51" s="17">
        <f>IF(Y51="在","是",IF(OR(O51="",T51="",Y51=""),"观测中","否"))</f>
        <v/>
      </c>
      <c r="AE51" s="16" t="n"/>
    </row>
    <row r="52">
      <c r="A52" s="14" t="n">
        <v>50</v>
      </c>
      <c r="B52" s="15" t="n"/>
      <c r="C52" s="16" t="n"/>
      <c r="D52" s="16" t="n"/>
      <c r="E52" s="16" t="n"/>
      <c r="F52" s="15" t="n"/>
      <c r="G52" s="15" t="n"/>
      <c r="H52" s="16" t="n"/>
      <c r="I52" s="16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7">
        <f>IF(O52="","",IF(O52="在",1,0)+IF(T52="在",1,0)+IF(Y52="在",1,0))</f>
        <v/>
      </c>
      <c r="AD52" s="17">
        <f>IF(Y52="在","是",IF(OR(O52="",T52="",Y52=""),"观测中","否"))</f>
        <v/>
      </c>
      <c r="AE52" s="16" t="n"/>
    </row>
  </sheetData>
  <mergeCells count="6">
    <mergeCell ref="AC1:AE1"/>
    <mergeCell ref="X1:AB1"/>
    <mergeCell ref="A1:I1"/>
    <mergeCell ref="S1:W1"/>
    <mergeCell ref="J1:M1"/>
    <mergeCell ref="N1:R1"/>
  </mergeCells>
  <dataValidations count="6">
    <dataValidation sqref="E3:E52" showDropDown="0" showInputMessage="0" showErrorMessage="0" allowBlank="1" type="list">
      <formula1>=选项!$M$2:$M$7</formula1>
    </dataValidation>
    <dataValidation sqref="F3:F52" showDropDown="0" showInputMessage="0" showErrorMessage="0" allowBlank="1" type="list">
      <formula1>=选项!$E$2:$E$3</formula1>
    </dataValidation>
    <dataValidation sqref="G3:G52" showDropDown="0" showInputMessage="0" showErrorMessage="0" allowBlank="1" type="list">
      <formula1>=选项!$K$2:$K$4</formula1>
    </dataValidation>
    <dataValidation sqref="O3:O52" showDropDown="0" showInputMessage="0" showErrorMessage="0" allowBlank="1" type="list">
      <formula1>=选项!$L$2:$L$5</formula1>
    </dataValidation>
    <dataValidation sqref="T3:T52" showDropDown="0" showInputMessage="0" showErrorMessage="0" allowBlank="1" type="list">
      <formula1>=选项!$L$2:$L$5</formula1>
    </dataValidation>
    <dataValidation sqref="Y3:Y52" showDropDown="0" showInputMessage="0" showErrorMessage="0" allowBlank="1" type="list">
      <formula1>=选项!$L$2:$L$5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  <col width="9" customWidth="1" min="7" max="7"/>
  </cols>
  <sheetData>
    <row r="1">
      <c r="A1" s="21" t="inlineStr">
        <is>
          <t>皇后的秘密 · 面膜(Quality1st代运营) · 笔记投放总览 Dashboard（自动汇总）</t>
        </is>
      </c>
    </row>
    <row r="2">
      <c r="A2" s="22" t="inlineStr">
        <is>
          <t>填各记录表后自动更新；如未刷新按 F9 或重开文件。</t>
        </is>
      </c>
    </row>
    <row r="4">
      <c r="A4" s="23" t="inlineStr">
        <is>
          <t>图文KOC投放（按产品）</t>
        </is>
      </c>
    </row>
    <row r="5">
      <c r="A5" s="24" t="inlineStr">
        <is>
          <t>产品</t>
        </is>
      </c>
      <c r="B5" s="24" t="inlineStr">
        <is>
          <t>篇数</t>
        </is>
      </c>
      <c r="C5" s="24" t="inlineStr">
        <is>
          <t>总曝光</t>
        </is>
      </c>
      <c r="D5" s="24" t="inlineStr">
        <is>
          <t>总互动</t>
        </is>
      </c>
      <c r="E5" s="24" t="inlineStr">
        <is>
          <t>均互动率</t>
        </is>
      </c>
      <c r="F5" s="24" t="inlineStr">
        <is>
          <t>总花费</t>
        </is>
      </c>
      <c r="G5" s="24" t="inlineStr">
        <is>
          <t>均CPE</t>
        </is>
      </c>
    </row>
    <row r="6">
      <c r="A6" s="25" t="inlineStr">
        <is>
          <t>黑钻VC100(黑金)</t>
        </is>
      </c>
      <c r="B6" s="26">
        <f>COUNTIFS('① 图文KOC投放笔记'!$I$3:$I$42,"黑钻VC100(黑金)")</f>
        <v/>
      </c>
      <c r="C6" s="27">
        <f>SUMIFS('① 图文KOC投放笔记'!$AK$3:$AK$42,'① 图文KOC投放笔记'!$I$3:$I$42,"黑钻VC100(黑金)")</f>
        <v/>
      </c>
      <c r="D6" s="27">
        <f>SUMIFS('① 图文KOC投放笔记'!$AQ$3:$AQ$42,'① 图文KOC投放笔记'!$I$3:$I$42,"黑钻VC100(黑金)")</f>
        <v/>
      </c>
      <c r="E6" s="28">
        <f>IFERROR(AVERAGEIFS('① 图文KOC投放笔记'!$AR$3:$AR$42,'① 图文KOC投放笔记'!$I$3:$I$42,"黑钻VC100(黑金)"),"")</f>
        <v/>
      </c>
      <c r="F6" s="27">
        <f>SUMIFS('① 图文KOC投放笔记'!$AV$3:$AV$42,'① 图文KOC投放笔记'!$I$3:$I$42,"黑钻VC100(黑金)")</f>
        <v/>
      </c>
      <c r="G6" s="29">
        <f>IFERROR(AVERAGEIFS('① 图文KOC投放笔记'!$AT$3:$AT$42,'① 图文KOC投放笔记'!$I$3:$I$42,"黑钻VC100(黑金)"),"")</f>
        <v/>
      </c>
    </row>
    <row r="7">
      <c r="A7" s="25" t="inlineStr">
        <is>
          <t>金色·提亮补水</t>
        </is>
      </c>
      <c r="B7" s="26">
        <f>COUNTIFS('① 图文KOC投放笔记'!$I$3:$I$42,"金色·提亮补水")</f>
        <v/>
      </c>
      <c r="C7" s="27">
        <f>SUMIFS('① 图文KOC投放笔记'!$AK$3:$AK$42,'① 图文KOC投放笔记'!$I$3:$I$42,"金色·提亮补水")</f>
        <v/>
      </c>
      <c r="D7" s="27">
        <f>SUMIFS('① 图文KOC投放笔记'!$AQ$3:$AQ$42,'① 图文KOC投放笔记'!$I$3:$I$42,"金色·提亮补水")</f>
        <v/>
      </c>
      <c r="E7" s="28">
        <f>IFERROR(AVERAGEIFS('① 图文KOC投放笔记'!$AR$3:$AR$42,'① 图文KOC投放笔记'!$I$3:$I$42,"金色·提亮补水"),"")</f>
        <v/>
      </c>
      <c r="F7" s="27">
        <f>SUMIFS('① 图文KOC投放笔记'!$AV$3:$AV$42,'① 图文KOC投放笔记'!$I$3:$I$42,"金色·提亮补水")</f>
        <v/>
      </c>
      <c r="G7" s="29">
        <f>IFERROR(AVERAGEIFS('① 图文KOC投放笔记'!$AT$3:$AT$42,'① 图文KOC投放笔记'!$I$3:$I$42,"金色·提亮补水"),"")</f>
        <v/>
      </c>
    </row>
    <row r="8">
      <c r="A8" s="25" t="inlineStr">
        <is>
          <t>黑银·水光细毛孔</t>
        </is>
      </c>
      <c r="B8" s="26">
        <f>COUNTIFS('① 图文KOC投放笔记'!$I$3:$I$42,"黑银·水光细毛孔")</f>
        <v/>
      </c>
      <c r="C8" s="27">
        <f>SUMIFS('① 图文KOC投放笔记'!$AK$3:$AK$42,'① 图文KOC投放笔记'!$I$3:$I$42,"黑银·水光细毛孔")</f>
        <v/>
      </c>
      <c r="D8" s="27">
        <f>SUMIFS('① 图文KOC投放笔记'!$AQ$3:$AQ$42,'① 图文KOC投放笔记'!$I$3:$I$42,"黑银·水光细毛孔")</f>
        <v/>
      </c>
      <c r="E8" s="28">
        <f>IFERROR(AVERAGEIFS('① 图文KOC投放笔记'!$AR$3:$AR$42,'① 图文KOC投放笔记'!$I$3:$I$42,"黑银·水光细毛孔"),"")</f>
        <v/>
      </c>
      <c r="F8" s="27">
        <f>SUMIFS('① 图文KOC投放笔记'!$AV$3:$AV$42,'① 图文KOC投放笔记'!$I$3:$I$42,"黑银·水光细毛孔")</f>
        <v/>
      </c>
      <c r="G8" s="29">
        <f>IFERROR(AVERAGEIFS('① 图文KOC投放笔记'!$AT$3:$AT$42,'① 图文KOC投放笔记'!$I$3:$I$42,"黑银·水光细毛孔"),"")</f>
        <v/>
      </c>
    </row>
    <row r="9">
      <c r="A9" s="25" t="inlineStr">
        <is>
          <t>深蓝·维稳补水</t>
        </is>
      </c>
      <c r="B9" s="26">
        <f>COUNTIFS('① 图文KOC投放笔记'!$I$3:$I$42,"深蓝·维稳补水")</f>
        <v/>
      </c>
      <c r="C9" s="27">
        <f>SUMIFS('① 图文KOC投放笔记'!$AK$3:$AK$42,'① 图文KOC投放笔记'!$I$3:$I$42,"深蓝·维稳补水")</f>
        <v/>
      </c>
      <c r="D9" s="27">
        <f>SUMIFS('① 图文KOC投放笔记'!$AQ$3:$AQ$42,'① 图文KOC投放笔记'!$I$3:$I$42,"深蓝·维稳补水")</f>
        <v/>
      </c>
      <c r="E9" s="28">
        <f>IFERROR(AVERAGEIFS('① 图文KOC投放笔记'!$AR$3:$AR$42,'① 图文KOC投放笔记'!$I$3:$I$42,"深蓝·维稳补水"),"")</f>
        <v/>
      </c>
      <c r="F9" s="27">
        <f>SUMIFS('① 图文KOC投放笔记'!$AV$3:$AV$42,'① 图文KOC投放笔记'!$I$3:$I$42,"深蓝·维稳补水")</f>
        <v/>
      </c>
      <c r="G9" s="29">
        <f>IFERROR(AVERAGEIFS('① 图文KOC投放笔记'!$AT$3:$AT$42,'① 图文KOC投放笔记'!$I$3:$I$42,"深蓝·维稳补水"),"")</f>
        <v/>
      </c>
    </row>
    <row r="10">
      <c r="A10" s="25" t="inlineStr">
        <is>
          <t>银色·提亮</t>
        </is>
      </c>
      <c r="B10" s="26">
        <f>COUNTIFS('① 图文KOC投放笔记'!$I$3:$I$42,"银色·提亮")</f>
        <v/>
      </c>
      <c r="C10" s="27">
        <f>SUMIFS('① 图文KOC投放笔记'!$AK$3:$AK$42,'① 图文KOC投放笔记'!$I$3:$I$42,"银色·提亮")</f>
        <v/>
      </c>
      <c r="D10" s="27">
        <f>SUMIFS('① 图文KOC投放笔记'!$AQ$3:$AQ$42,'① 图文KOC投放笔记'!$I$3:$I$42,"银色·提亮")</f>
        <v/>
      </c>
      <c r="E10" s="28">
        <f>IFERROR(AVERAGEIFS('① 图文KOC投放笔记'!$AR$3:$AR$42,'① 图文KOC投放笔记'!$I$3:$I$42,"银色·提亮"),"")</f>
        <v/>
      </c>
      <c r="F10" s="27">
        <f>SUMIFS('① 图文KOC投放笔记'!$AV$3:$AV$42,'① 图文KOC投放笔记'!$I$3:$I$42,"银色·提亮")</f>
        <v/>
      </c>
      <c r="G10" s="29">
        <f>IFERROR(AVERAGEIFS('① 图文KOC投放笔记'!$AT$3:$AT$42,'① 图文KOC投放笔记'!$I$3:$I$42,"银色·提亮"),"")</f>
        <v/>
      </c>
    </row>
    <row r="11">
      <c r="A11" s="25" t="inlineStr">
        <is>
          <t>（其他/新品）</t>
        </is>
      </c>
      <c r="B11" s="26">
        <f>COUNTIFS('① 图文KOC投放笔记'!$I$3:$I$42,"（其他/新品）")</f>
        <v/>
      </c>
      <c r="C11" s="27">
        <f>SUMIFS('① 图文KOC投放笔记'!$AK$3:$AK$42,'① 图文KOC投放笔记'!$I$3:$I$42,"（其他/新品）")</f>
        <v/>
      </c>
      <c r="D11" s="27">
        <f>SUMIFS('① 图文KOC投放笔记'!$AQ$3:$AQ$42,'① 图文KOC投放笔记'!$I$3:$I$42,"（其他/新品）")</f>
        <v/>
      </c>
      <c r="E11" s="28">
        <f>IFERROR(AVERAGEIFS('① 图文KOC投放笔记'!$AR$3:$AR$42,'① 图文KOC投放笔记'!$I$3:$I$42,"（其他/新品）"),"")</f>
        <v/>
      </c>
      <c r="F11" s="27">
        <f>SUMIFS('① 图文KOC投放笔记'!$AV$3:$AV$42,'① 图文KOC投放笔记'!$I$3:$I$42,"（其他/新品）")</f>
        <v/>
      </c>
      <c r="G11" s="29">
        <f>IFERROR(AVERAGEIFS('① 图文KOC投放笔记'!$AT$3:$AT$42,'① 图文KOC投放笔记'!$I$3:$I$42,"（其他/新品）"),"")</f>
        <v/>
      </c>
    </row>
    <row r="13">
      <c r="A13" s="23" t="inlineStr">
        <is>
          <t>视频KOC投放（按产品）</t>
        </is>
      </c>
    </row>
    <row r="14">
      <c r="A14" s="24" t="inlineStr">
        <is>
          <t>产品</t>
        </is>
      </c>
      <c r="B14" s="24" t="inlineStr">
        <is>
          <t>篇数</t>
        </is>
      </c>
      <c r="C14" s="24" t="inlineStr">
        <is>
          <t>总曝光</t>
        </is>
      </c>
      <c r="D14" s="24" t="inlineStr">
        <is>
          <t>总互动</t>
        </is>
      </c>
      <c r="E14" s="24" t="inlineStr">
        <is>
          <t>均互动率</t>
        </is>
      </c>
      <c r="F14" s="24" t="inlineStr">
        <is>
          <t>总花费</t>
        </is>
      </c>
      <c r="G14" s="24" t="inlineStr">
        <is>
          <t>均CPE</t>
        </is>
      </c>
    </row>
    <row r="15">
      <c r="A15" s="25" t="inlineStr">
        <is>
          <t>黑钻VC100(黑金)</t>
        </is>
      </c>
      <c r="B15" s="26">
        <f>COUNTIFS('② 视频KOC投放笔记'!$I$3:$I$42,"黑钻VC100(黑金)")</f>
        <v/>
      </c>
      <c r="C15" s="27">
        <f>SUMIFS('② 视频KOC投放笔记'!$AK$3:$AK$42,'② 视频KOC投放笔记'!$I$3:$I$42,"黑钻VC100(黑金)")</f>
        <v/>
      </c>
      <c r="D15" s="27">
        <f>SUMIFS('② 视频KOC投放笔记'!$AQ$3:$AQ$42,'② 视频KOC投放笔记'!$I$3:$I$42,"黑钻VC100(黑金)")</f>
        <v/>
      </c>
      <c r="E15" s="28">
        <f>IFERROR(AVERAGEIFS('② 视频KOC投放笔记'!$AR$3:$AR$42,'② 视频KOC投放笔记'!$I$3:$I$42,"黑钻VC100(黑金)"),"")</f>
        <v/>
      </c>
      <c r="F15" s="27">
        <f>SUMIFS('② 视频KOC投放笔记'!$AV$3:$AV$42,'② 视频KOC投放笔记'!$I$3:$I$42,"黑钻VC100(黑金)")</f>
        <v/>
      </c>
      <c r="G15" s="29">
        <f>IFERROR(AVERAGEIFS('② 视频KOC投放笔记'!$AT$3:$AT$42,'② 视频KOC投放笔记'!$I$3:$I$42,"黑钻VC100(黑金)"),"")</f>
        <v/>
      </c>
    </row>
    <row r="16">
      <c r="A16" s="25" t="inlineStr">
        <is>
          <t>金色·提亮补水</t>
        </is>
      </c>
      <c r="B16" s="26">
        <f>COUNTIFS('② 视频KOC投放笔记'!$I$3:$I$42,"金色·提亮补水")</f>
        <v/>
      </c>
      <c r="C16" s="27">
        <f>SUMIFS('② 视频KOC投放笔记'!$AK$3:$AK$42,'② 视频KOC投放笔记'!$I$3:$I$42,"金色·提亮补水")</f>
        <v/>
      </c>
      <c r="D16" s="27">
        <f>SUMIFS('② 视频KOC投放笔记'!$AQ$3:$AQ$42,'② 视频KOC投放笔记'!$I$3:$I$42,"金色·提亮补水")</f>
        <v/>
      </c>
      <c r="E16" s="28">
        <f>IFERROR(AVERAGEIFS('② 视频KOC投放笔记'!$AR$3:$AR$42,'② 视频KOC投放笔记'!$I$3:$I$42,"金色·提亮补水"),"")</f>
        <v/>
      </c>
      <c r="F16" s="27">
        <f>SUMIFS('② 视频KOC投放笔记'!$AV$3:$AV$42,'② 视频KOC投放笔记'!$I$3:$I$42,"金色·提亮补水")</f>
        <v/>
      </c>
      <c r="G16" s="29">
        <f>IFERROR(AVERAGEIFS('② 视频KOC投放笔记'!$AT$3:$AT$42,'② 视频KOC投放笔记'!$I$3:$I$42,"金色·提亮补水"),"")</f>
        <v/>
      </c>
    </row>
    <row r="17">
      <c r="A17" s="25" t="inlineStr">
        <is>
          <t>黑银·水光细毛孔</t>
        </is>
      </c>
      <c r="B17" s="26">
        <f>COUNTIFS('② 视频KOC投放笔记'!$I$3:$I$42,"黑银·水光细毛孔")</f>
        <v/>
      </c>
      <c r="C17" s="27">
        <f>SUMIFS('② 视频KOC投放笔记'!$AK$3:$AK$42,'② 视频KOC投放笔记'!$I$3:$I$42,"黑银·水光细毛孔")</f>
        <v/>
      </c>
      <c r="D17" s="27">
        <f>SUMIFS('② 视频KOC投放笔记'!$AQ$3:$AQ$42,'② 视频KOC投放笔记'!$I$3:$I$42,"黑银·水光细毛孔")</f>
        <v/>
      </c>
      <c r="E17" s="28">
        <f>IFERROR(AVERAGEIFS('② 视频KOC投放笔记'!$AR$3:$AR$42,'② 视频KOC投放笔记'!$I$3:$I$42,"黑银·水光细毛孔"),"")</f>
        <v/>
      </c>
      <c r="F17" s="27">
        <f>SUMIFS('② 视频KOC投放笔记'!$AV$3:$AV$42,'② 视频KOC投放笔记'!$I$3:$I$42,"黑银·水光细毛孔")</f>
        <v/>
      </c>
      <c r="G17" s="29">
        <f>IFERROR(AVERAGEIFS('② 视频KOC投放笔记'!$AT$3:$AT$42,'② 视频KOC投放笔记'!$I$3:$I$42,"黑银·水光细毛孔"),"")</f>
        <v/>
      </c>
    </row>
    <row r="18">
      <c r="A18" s="25" t="inlineStr">
        <is>
          <t>深蓝·维稳补水</t>
        </is>
      </c>
      <c r="B18" s="26">
        <f>COUNTIFS('② 视频KOC投放笔记'!$I$3:$I$42,"深蓝·维稳补水")</f>
        <v/>
      </c>
      <c r="C18" s="27">
        <f>SUMIFS('② 视频KOC投放笔记'!$AK$3:$AK$42,'② 视频KOC投放笔记'!$I$3:$I$42,"深蓝·维稳补水")</f>
        <v/>
      </c>
      <c r="D18" s="27">
        <f>SUMIFS('② 视频KOC投放笔记'!$AQ$3:$AQ$42,'② 视频KOC投放笔记'!$I$3:$I$42,"深蓝·维稳补水")</f>
        <v/>
      </c>
      <c r="E18" s="28">
        <f>IFERROR(AVERAGEIFS('② 视频KOC投放笔记'!$AR$3:$AR$42,'② 视频KOC投放笔记'!$I$3:$I$42,"深蓝·维稳补水"),"")</f>
        <v/>
      </c>
      <c r="F18" s="27">
        <f>SUMIFS('② 视频KOC投放笔记'!$AV$3:$AV$42,'② 视频KOC投放笔记'!$I$3:$I$42,"深蓝·维稳补水")</f>
        <v/>
      </c>
      <c r="G18" s="29">
        <f>IFERROR(AVERAGEIFS('② 视频KOC投放笔记'!$AT$3:$AT$42,'② 视频KOC投放笔记'!$I$3:$I$42,"深蓝·维稳补水"),"")</f>
        <v/>
      </c>
    </row>
    <row r="19">
      <c r="A19" s="25" t="inlineStr">
        <is>
          <t>银色·提亮</t>
        </is>
      </c>
      <c r="B19" s="26">
        <f>COUNTIFS('② 视频KOC投放笔记'!$I$3:$I$42,"银色·提亮")</f>
        <v/>
      </c>
      <c r="C19" s="27">
        <f>SUMIFS('② 视频KOC投放笔记'!$AK$3:$AK$42,'② 视频KOC投放笔记'!$I$3:$I$42,"银色·提亮")</f>
        <v/>
      </c>
      <c r="D19" s="27">
        <f>SUMIFS('② 视频KOC投放笔记'!$AQ$3:$AQ$42,'② 视频KOC投放笔记'!$I$3:$I$42,"银色·提亮")</f>
        <v/>
      </c>
      <c r="E19" s="28">
        <f>IFERROR(AVERAGEIFS('② 视频KOC投放笔记'!$AR$3:$AR$42,'② 视频KOC投放笔记'!$I$3:$I$42,"银色·提亮"),"")</f>
        <v/>
      </c>
      <c r="F19" s="27">
        <f>SUMIFS('② 视频KOC投放笔记'!$AV$3:$AV$42,'② 视频KOC投放笔记'!$I$3:$I$42,"银色·提亮")</f>
        <v/>
      </c>
      <c r="G19" s="29">
        <f>IFERROR(AVERAGEIFS('② 视频KOC投放笔记'!$AT$3:$AT$42,'② 视频KOC投放笔记'!$I$3:$I$42,"银色·提亮"),"")</f>
        <v/>
      </c>
    </row>
    <row r="20">
      <c r="A20" s="25" t="inlineStr">
        <is>
          <t>（其他/新品）</t>
        </is>
      </c>
      <c r="B20" s="26">
        <f>COUNTIFS('② 视频KOC投放笔记'!$I$3:$I$42,"（其他/新品）")</f>
        <v/>
      </c>
      <c r="C20" s="27">
        <f>SUMIFS('② 视频KOC投放笔记'!$AK$3:$AK$42,'② 视频KOC投放笔记'!$I$3:$I$42,"（其他/新品）")</f>
        <v/>
      </c>
      <c r="D20" s="27">
        <f>SUMIFS('② 视频KOC投放笔记'!$AQ$3:$AQ$42,'② 视频KOC投放笔记'!$I$3:$I$42,"（其他/新品）")</f>
        <v/>
      </c>
      <c r="E20" s="28">
        <f>IFERROR(AVERAGEIFS('② 视频KOC投放笔记'!$AR$3:$AR$42,'② 视频KOC投放笔记'!$I$3:$I$42,"（其他/新品）"),"")</f>
        <v/>
      </c>
      <c r="F20" s="27">
        <f>SUMIFS('② 视频KOC投放笔记'!$AV$3:$AV$42,'② 视频KOC投放笔记'!$I$3:$I$42,"（其他/新品）")</f>
        <v/>
      </c>
      <c r="G20" s="29">
        <f>IFERROR(AVERAGEIFS('② 视频KOC投放笔记'!$AT$3:$AT$42,'② 视频KOC投放笔记'!$I$3:$I$42,"（其他/新品）"),"")</f>
        <v/>
      </c>
    </row>
    <row r="22">
      <c r="A22" s="23" t="inlineStr">
        <is>
          <t>店铺自发（按产品）</t>
        </is>
      </c>
    </row>
    <row r="23">
      <c r="A23" s="24" t="inlineStr">
        <is>
          <t>产品</t>
        </is>
      </c>
      <c r="B23" s="24" t="inlineStr">
        <is>
          <t>篇数</t>
        </is>
      </c>
      <c r="C23" s="24" t="inlineStr">
        <is>
          <t>总曝光</t>
        </is>
      </c>
      <c r="D23" s="24" t="inlineStr">
        <is>
          <t>总互动</t>
        </is>
      </c>
      <c r="E23" s="24" t="inlineStr">
        <is>
          <t>均互动率</t>
        </is>
      </c>
    </row>
    <row r="24">
      <c r="A24" s="25" t="inlineStr">
        <is>
          <t>黑钻VC100(黑金)</t>
        </is>
      </c>
      <c r="B24" s="26">
        <f>COUNTIFS('③ 店铺自发笔记'!$E$3:$E$42,"黑钻VC100(黑金)")</f>
        <v/>
      </c>
      <c r="C24" s="27">
        <f>SUMIFS('③ 店铺自发笔记'!$AF$3:$AF$42,'③ 店铺自发笔记'!$E$3:$E$42,"黑钻VC100(黑金)")</f>
        <v/>
      </c>
      <c r="D24" s="27">
        <f>SUMIFS('③ 店铺自发笔记'!$AL$3:$AL$42,'③ 店铺自发笔记'!$E$3:$E$42,"黑钻VC100(黑金)")</f>
        <v/>
      </c>
      <c r="E24" s="28">
        <f>IFERROR(AVERAGEIFS('③ 店铺自发笔记'!$AM$3:$AM$42,'③ 店铺自发笔记'!$E$3:$E$42,"黑钻VC100(黑金)"),"")</f>
        <v/>
      </c>
    </row>
    <row r="25">
      <c r="A25" s="25" t="inlineStr">
        <is>
          <t>金色·提亮补水</t>
        </is>
      </c>
      <c r="B25" s="26">
        <f>COUNTIFS('③ 店铺自发笔记'!$E$3:$E$42,"金色·提亮补水")</f>
        <v/>
      </c>
      <c r="C25" s="27">
        <f>SUMIFS('③ 店铺自发笔记'!$AF$3:$AF$42,'③ 店铺自发笔记'!$E$3:$E$42,"金色·提亮补水")</f>
        <v/>
      </c>
      <c r="D25" s="27">
        <f>SUMIFS('③ 店铺自发笔记'!$AL$3:$AL$42,'③ 店铺自发笔记'!$E$3:$E$42,"金色·提亮补水")</f>
        <v/>
      </c>
      <c r="E25" s="28">
        <f>IFERROR(AVERAGEIFS('③ 店铺自发笔记'!$AM$3:$AM$42,'③ 店铺自发笔记'!$E$3:$E$42,"金色·提亮补水"),"")</f>
        <v/>
      </c>
    </row>
    <row r="26">
      <c r="A26" s="25" t="inlineStr">
        <is>
          <t>黑银·水光细毛孔</t>
        </is>
      </c>
      <c r="B26" s="26">
        <f>COUNTIFS('③ 店铺自发笔记'!$E$3:$E$42,"黑银·水光细毛孔")</f>
        <v/>
      </c>
      <c r="C26" s="27">
        <f>SUMIFS('③ 店铺自发笔记'!$AF$3:$AF$42,'③ 店铺自发笔记'!$E$3:$E$42,"黑银·水光细毛孔")</f>
        <v/>
      </c>
      <c r="D26" s="27">
        <f>SUMIFS('③ 店铺自发笔记'!$AL$3:$AL$42,'③ 店铺自发笔记'!$E$3:$E$42,"黑银·水光细毛孔")</f>
        <v/>
      </c>
      <c r="E26" s="28">
        <f>IFERROR(AVERAGEIFS('③ 店铺自发笔记'!$AM$3:$AM$42,'③ 店铺自发笔记'!$E$3:$E$42,"黑银·水光细毛孔"),"")</f>
        <v/>
      </c>
    </row>
    <row r="27">
      <c r="A27" s="25" t="inlineStr">
        <is>
          <t>深蓝·维稳补水</t>
        </is>
      </c>
      <c r="B27" s="26">
        <f>COUNTIFS('③ 店铺自发笔记'!$E$3:$E$42,"深蓝·维稳补水")</f>
        <v/>
      </c>
      <c r="C27" s="27">
        <f>SUMIFS('③ 店铺自发笔记'!$AF$3:$AF$42,'③ 店铺自发笔记'!$E$3:$E$42,"深蓝·维稳补水")</f>
        <v/>
      </c>
      <c r="D27" s="27">
        <f>SUMIFS('③ 店铺自发笔记'!$AL$3:$AL$42,'③ 店铺自发笔记'!$E$3:$E$42,"深蓝·维稳补水")</f>
        <v/>
      </c>
      <c r="E27" s="28">
        <f>IFERROR(AVERAGEIFS('③ 店铺自发笔记'!$AM$3:$AM$42,'③ 店铺自发笔记'!$E$3:$E$42,"深蓝·维稳补水"),"")</f>
        <v/>
      </c>
    </row>
    <row r="28">
      <c r="A28" s="25" t="inlineStr">
        <is>
          <t>银色·提亮</t>
        </is>
      </c>
      <c r="B28" s="26">
        <f>COUNTIFS('③ 店铺自发笔记'!$E$3:$E$42,"银色·提亮")</f>
        <v/>
      </c>
      <c r="C28" s="27">
        <f>SUMIFS('③ 店铺自发笔记'!$AF$3:$AF$42,'③ 店铺自发笔记'!$E$3:$E$42,"银色·提亮")</f>
        <v/>
      </c>
      <c r="D28" s="27">
        <f>SUMIFS('③ 店铺自发笔记'!$AL$3:$AL$42,'③ 店铺自发笔记'!$E$3:$E$42,"银色·提亮")</f>
        <v/>
      </c>
      <c r="E28" s="28">
        <f>IFERROR(AVERAGEIFS('③ 店铺自发笔记'!$AM$3:$AM$42,'③ 店铺自发笔记'!$E$3:$E$42,"银色·提亮"),"")</f>
        <v/>
      </c>
    </row>
    <row r="29">
      <c r="A29" s="25" t="inlineStr">
        <is>
          <t>（其他/新品）</t>
        </is>
      </c>
      <c r="B29" s="26">
        <f>COUNTIFS('③ 店铺自发笔记'!$E$3:$E$42,"（其他/新品）")</f>
        <v/>
      </c>
      <c r="C29" s="27">
        <f>SUMIFS('③ 店铺自发笔记'!$AF$3:$AF$42,'③ 店铺自发笔记'!$E$3:$E$42,"（其他/新品）")</f>
        <v/>
      </c>
      <c r="D29" s="27">
        <f>SUMIFS('③ 店铺自发笔记'!$AL$3:$AL$42,'③ 店铺自发笔记'!$E$3:$E$42,"（其他/新品）")</f>
        <v/>
      </c>
      <c r="E29" s="28">
        <f>IFERROR(AVERAGEIFS('③ 店铺自发笔记'!$AM$3:$AM$42,'③ 店铺自发笔记'!$E$3:$E$42,"（其他/新品）"),"")</f>
        <v/>
      </c>
    </row>
    <row r="31">
      <c r="A31" s="23" t="inlineStr">
        <is>
          <t>素人笔记 · 留存概览</t>
        </is>
      </c>
    </row>
    <row r="32">
      <c r="A32" s="24" t="inlineStr">
        <is>
          <t>留存/口碑</t>
        </is>
      </c>
      <c r="B32" s="24" t="inlineStr">
        <is>
          <t>数量</t>
        </is>
      </c>
    </row>
    <row r="33">
      <c r="A33" s="25" t="inlineStr">
        <is>
          <t>满3月留存=是</t>
        </is>
      </c>
      <c r="B33" s="26">
        <f>COUNTIFS('④ 素人笔记·留存追踪'!$AD$3:$AD$52,"是")</f>
        <v/>
      </c>
    </row>
    <row r="34">
      <c r="A34" s="25" t="inlineStr">
        <is>
          <t>满3月留存=否</t>
        </is>
      </c>
      <c r="B34" s="26">
        <f>COUNTIFS('④ 素人笔记·留存追踪'!$AD$3:$AD$52,"否")</f>
        <v/>
      </c>
    </row>
    <row r="35">
      <c r="A35" s="25" t="inlineStr">
        <is>
          <t>观测中</t>
        </is>
      </c>
      <c r="B35" s="26">
        <f>COUNTIFS('④ 素人笔记·留存追踪'!$AD$3:$AD$52,"观测中")</f>
        <v/>
      </c>
    </row>
    <row r="36">
      <c r="A36" s="25" t="inlineStr">
        <is>
          <t>口碑·正面</t>
        </is>
      </c>
      <c r="B36" s="26">
        <f>COUNTIFS('④ 素人笔记·留存追踪'!$G$3:$G$52,"正面")</f>
        <v/>
      </c>
    </row>
    <row r="37">
      <c r="A37" s="25" t="inlineStr">
        <is>
          <t>口碑·中性</t>
        </is>
      </c>
      <c r="B37" s="26">
        <f>COUNTIFS('④ 素人笔记·留存追踪'!$G$3:$G$52,"中性")</f>
        <v/>
      </c>
    </row>
    <row r="38">
      <c r="A38" s="25" t="inlineStr">
        <is>
          <t>口碑·负面</t>
        </is>
      </c>
      <c r="B38" s="26">
        <f>COUNTIFS('④ 素人笔记·留存追踪'!$G$3:$G$52,"负面")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18" customHeight="1">
      <c r="A1" s="30" t="inlineStr">
        <is>
          <t>皇后的秘密 · 面膜(Quality1st代运营) · 笔记数据收集表 · 填写说明</t>
        </is>
      </c>
      <c r="B1" s="31" t="inlineStr"/>
    </row>
    <row r="2" ht="18" customHeight="1">
      <c r="A2" s="32" t="inlineStr">
        <is>
          <t>浅黄底 单元格</t>
        </is>
      </c>
      <c r="B2" s="31" t="inlineStr">
        <is>
          <t>人工填写（输入项）</t>
        </is>
      </c>
    </row>
    <row r="3" ht="18" customHeight="1">
      <c r="A3" s="32" t="inlineStr">
        <is>
          <t>浅灰底 单元格</t>
        </is>
      </c>
      <c r="B3" s="31" t="inlineStr">
        <is>
          <t>自动公式，勿手改（发布月/互动量/互动率/收藏率/CPE/CPM/留存）</t>
        </is>
      </c>
    </row>
    <row r="4" ht="18" customHeight="1">
      <c r="A4" s="32" t="inlineStr">
        <is>
          <t>下拉列表</t>
        </is>
      </c>
      <c r="B4" s="31" t="inlineStr">
        <is>
          <t>状态·产品·类型·合规审核·结算·留存状态等为下拉，选项在「选项」页维护</t>
        </is>
      </c>
    </row>
    <row r="5" ht="18" customHeight="1">
      <c r="A5" s="32" t="inlineStr"/>
      <c r="B5" s="31" t="inlineStr"/>
    </row>
    <row r="6" ht="18" customHeight="1">
      <c r="A6" s="32" t="inlineStr">
        <is>
          <t>① 图文KOC投放笔记</t>
        </is>
      </c>
      <c r="B6" s="31" t="inlineStr">
        <is>
          <t>付费投放的图文KOC/达人笔记：投前审核→发布→T+3/7/15三轮采数→自动效率。</t>
        </is>
      </c>
    </row>
    <row r="7" ht="18" customHeight="1">
      <c r="A7" s="32" t="inlineStr">
        <is>
          <t>② 视频KOC投放笔记</t>
        </is>
      </c>
      <c r="B7" s="31" t="inlineStr">
        <is>
          <t>付费投放的视频KOC/达人笔记：结构同上，媒体字段为视频时长。</t>
        </is>
      </c>
    </row>
    <row r="8" ht="18" customHeight="1">
      <c r="A8" s="32" t="inlineStr">
        <is>
          <t>③ 店铺自发笔记</t>
        </is>
      </c>
      <c r="B8" s="31" t="inlineStr">
        <is>
          <t>自家蓝V/店铺号发布：无达人费用，重合规与自然数据表现。</t>
        </is>
      </c>
    </row>
    <row r="9" ht="18" customHeight="1">
      <c r="A9" s="32" t="inlineStr">
        <is>
          <t>④ 素人笔记·留存追踪</t>
        </is>
      </c>
      <c r="B9" s="31" t="inlineStr">
        <is>
          <t>素人自发提及品牌的笔记：每月观测1次、连观3个月，看『留存时长』与口碑。</t>
        </is>
      </c>
    </row>
    <row r="10" ht="18" customHeight="1">
      <c r="A10" s="32" t="inlineStr">
        <is>
          <t xml:space="preserve">   —— 留存状态</t>
        </is>
      </c>
      <c r="B10" s="31" t="inlineStr">
        <is>
          <t>在=仍可见 / 已删除 / 限流(搜不到) / 改为无关；『满3月留存』自动判定。</t>
        </is>
      </c>
    </row>
    <row r="11" ht="18" customHeight="1">
      <c r="A11" s="32" t="inlineStr">
        <is>
          <t>⑤ 总览Dashboard</t>
        </is>
      </c>
      <c r="B11" s="31" t="inlineStr">
        <is>
          <t>各表按产品自动汇总篇数·曝光·互动·互动率·花费·CPE + 素人留存概览。</t>
        </is>
      </c>
    </row>
    <row r="12" ht="18" customHeight="1">
      <c r="A12" s="32" t="inlineStr"/>
      <c r="B12" s="31" t="inlineStr"/>
    </row>
    <row r="13" ht="30" customHeight="1">
      <c r="A13" s="32" t="inlineStr">
        <is>
          <t>⚠️ 合规红线</t>
        </is>
      </c>
      <c r="B13" s="31" t="inlineStr">
        <is>
          <t>化妆品红线：美白/焕白/去黄/淡斑/抗老/A醇/视黄醇/修复屏障/祛痘/医美/院线/极限词 → 改用提亮/透亮/水润/细致毛孔；小红书禁站外硬导流。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3" t="inlineStr">
        <is>
          <t>状态</t>
        </is>
      </c>
      <c r="B1" s="33" t="inlineStr">
        <is>
          <t>达人层级</t>
        </is>
      </c>
      <c r="C1" s="33" t="inlineStr">
        <is>
          <t>内部对接人</t>
        </is>
      </c>
      <c r="D1" s="33" t="inlineStr">
        <is>
          <t>笔记类型</t>
        </is>
      </c>
      <c r="E1" s="33" t="inlineStr">
        <is>
          <t>内容形式</t>
        </is>
      </c>
      <c r="F1" s="33" t="inlineStr">
        <is>
          <t>合规审核</t>
        </is>
      </c>
      <c r="G1" s="33" t="inlineStr">
        <is>
          <t>审核人</t>
        </is>
      </c>
      <c r="H1" s="33" t="inlineStr">
        <is>
          <t>是否</t>
        </is>
      </c>
      <c r="I1" s="33" t="inlineStr">
        <is>
          <t>话题维护</t>
        </is>
      </c>
      <c r="J1" s="33" t="inlineStr">
        <is>
          <t>结算状态</t>
        </is>
      </c>
      <c r="K1" s="33" t="inlineStr">
        <is>
          <t>情感倾向</t>
        </is>
      </c>
      <c r="L1" s="33" t="inlineStr">
        <is>
          <t>留存状态</t>
        </is>
      </c>
      <c r="M1" s="33" t="inlineStr">
        <is>
          <t>投放产品</t>
        </is>
      </c>
    </row>
    <row r="2">
      <c r="A2" t="inlineStr">
        <is>
          <t>排期</t>
        </is>
      </c>
      <c r="B2" t="inlineStr">
        <is>
          <t>头部KOL</t>
        </is>
      </c>
      <c r="C2" t="inlineStr">
        <is>
          <t>（填成员名）</t>
        </is>
      </c>
      <c r="D2" t="inlineStr">
        <is>
          <t>A·选购攻略</t>
        </is>
      </c>
      <c r="E2" t="inlineStr">
        <is>
          <t>图文</t>
        </is>
      </c>
      <c r="F2" t="inlineStr">
        <is>
          <t>待审</t>
        </is>
      </c>
      <c r="G2" t="inlineStr">
        <is>
          <t>（填成员名）</t>
        </is>
      </c>
      <c r="H2" t="inlineStr">
        <is>
          <t>是</t>
        </is>
      </c>
      <c r="I2" t="inlineStr">
        <is>
          <t>已维护</t>
        </is>
      </c>
      <c r="J2" t="inlineStr">
        <is>
          <t>未付</t>
        </is>
      </c>
      <c r="K2" t="inlineStr">
        <is>
          <t>正面</t>
        </is>
      </c>
      <c r="L2" t="inlineStr">
        <is>
          <t>在</t>
        </is>
      </c>
      <c r="M2" t="inlineStr">
        <is>
          <t>黑钻VC100(黑金)</t>
        </is>
      </c>
    </row>
    <row r="3">
      <c r="A3" t="inlineStr">
        <is>
          <t>待审稿</t>
        </is>
      </c>
      <c r="B3" t="inlineStr">
        <is>
          <t>腰部</t>
        </is>
      </c>
      <c r="C3" t="inlineStr">
        <is>
          <t>曹</t>
        </is>
      </c>
      <c r="D3" t="inlineStr">
        <is>
          <t>B·测评回购</t>
        </is>
      </c>
      <c r="E3" t="inlineStr">
        <is>
          <t>视频</t>
        </is>
      </c>
      <c r="F3" t="inlineStr">
        <is>
          <t>✅通过</t>
        </is>
      </c>
      <c r="G3" t="inlineStr">
        <is>
          <t>曹</t>
        </is>
      </c>
      <c r="H3" t="inlineStr">
        <is>
          <t>否</t>
        </is>
      </c>
      <c r="I3" t="inlineStr">
        <is>
          <t>未维护</t>
        </is>
      </c>
      <c r="J3" t="inlineStr">
        <is>
          <t>已付</t>
        </is>
      </c>
      <c r="K3" t="inlineStr">
        <is>
          <t>中性</t>
        </is>
      </c>
      <c r="L3" t="inlineStr">
        <is>
          <t>已删除</t>
        </is>
      </c>
      <c r="M3" t="inlineStr">
        <is>
          <t>金色·提亮补水</t>
        </is>
      </c>
    </row>
    <row r="4">
      <c r="A4" t="inlineStr">
        <is>
          <t>已投</t>
        </is>
      </c>
      <c r="B4" t="inlineStr">
        <is>
          <t>尾部</t>
        </is>
      </c>
      <c r="C4" t="inlineStr">
        <is>
          <t>成员A</t>
        </is>
      </c>
      <c r="D4" t="inlineStr">
        <is>
          <t>C·场景种草</t>
        </is>
      </c>
      <c r="F4" t="inlineStr">
        <is>
          <t>⚠️需改</t>
        </is>
      </c>
      <c r="G4" t="inlineStr">
        <is>
          <t>成员A</t>
        </is>
      </c>
      <c r="I4" t="inlineStr">
        <is>
          <t>不适用</t>
        </is>
      </c>
      <c r="J4" t="inlineStr">
        <is>
          <t>部分付</t>
        </is>
      </c>
      <c r="K4" t="inlineStr">
        <is>
          <t>负面</t>
        </is>
      </c>
      <c r="L4" t="inlineStr">
        <is>
          <t>限流</t>
        </is>
      </c>
      <c r="M4" t="inlineStr">
        <is>
          <t>黑银·水光细毛孔</t>
        </is>
      </c>
    </row>
    <row r="5">
      <c r="A5" t="inlineStr">
        <is>
          <t>追踪中</t>
        </is>
      </c>
      <c r="B5" t="inlineStr">
        <is>
          <t>KOC</t>
        </is>
      </c>
      <c r="C5" t="inlineStr">
        <is>
          <t>成员B</t>
        </is>
      </c>
      <c r="D5" t="inlineStr">
        <is>
          <t>D·开箱vlog</t>
        </is>
      </c>
      <c r="F5" t="inlineStr">
        <is>
          <t>❌驳回</t>
        </is>
      </c>
      <c r="L5" t="inlineStr">
        <is>
          <t>改为无关</t>
        </is>
      </c>
      <c r="M5" t="inlineStr">
        <is>
          <t>深蓝·维稳补水</t>
        </is>
      </c>
    </row>
    <row r="6">
      <c r="A6" t="inlineStr">
        <is>
          <t>已结案</t>
        </is>
      </c>
      <c r="D6" t="inlineStr">
        <is>
          <t>E·比价囤货</t>
        </is>
      </c>
      <c r="M6" t="inlineStr">
        <is>
          <t>银色·提亮</t>
        </is>
      </c>
    </row>
    <row r="7">
      <c r="M7" t="inlineStr">
        <is>
          <t>（其他/新品）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2026-08-05T02:43:32Z</dcterms:created>
  <dcterms:modified xmlns:dcterms="http://purl.org/dc/terms/" xmlns:xsi="http://www.w3.org/2001/XMLSchema-instance" xsi:type="dcterms:W3CDTF">2026-08-05T02:43:32Z</dcterms:modified>
</cp:coreProperties>
</file>