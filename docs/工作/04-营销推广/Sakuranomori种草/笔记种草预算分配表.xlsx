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ノート予算配分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17">
    <font>
      <name val="Calibri"/>
      <family val="2"/>
      <color theme="1"/>
      <sz val="11"/>
      <scheme val="minor"/>
    </font>
    <font>
      <name val="Microsoft YaHei"/>
      <b val="1"/>
      <color rgb="00375623"/>
      <sz val="14"/>
    </font>
    <font>
      <name val="Microsoft YaHei"/>
      <b val="1"/>
      <color rgb="001F3864"/>
      <sz val="12"/>
    </font>
    <font>
      <name val="Microsoft YaHei"/>
      <b val="1"/>
      <color rgb="001F3864"/>
      <sz val="8.5"/>
    </font>
    <font>
      <name val="Microsoft YaHei"/>
      <b val="1"/>
      <color rgb="00000000"/>
      <sz val="12"/>
    </font>
    <font>
      <name val="Microsoft YaHei"/>
      <color rgb="00808080"/>
      <sz val="7.5"/>
    </font>
    <font>
      <name val="Microsoft YaHei"/>
      <b val="1"/>
      <color rgb="00BF6000"/>
      <sz val="12"/>
    </font>
    <font>
      <name val="Microsoft YaHei"/>
      <b val="1"/>
      <color rgb="00FFFFFF"/>
      <sz val="9"/>
    </font>
    <font>
      <name val="Microsoft YaHei"/>
      <b val="1"/>
      <color rgb="00000000"/>
      <sz val="9.5"/>
    </font>
    <font>
      <name val="Microsoft YaHei"/>
      <b val="1"/>
      <color rgb="00BF6000"/>
      <sz val="9"/>
    </font>
    <font>
      <name val="Microsoft YaHei"/>
      <b val="1"/>
      <color rgb="00FFFFFF"/>
      <sz val="12"/>
    </font>
    <font>
      <name val="Microsoft YaHei"/>
      <b val="1"/>
      <color rgb="00BF6000"/>
      <sz val="11"/>
    </font>
    <font>
      <name val="Microsoft YaHei"/>
      <color rgb="00000000"/>
      <sz val="10"/>
    </font>
    <font>
      <name val="Microsoft YaHei"/>
      <b val="1"/>
      <color rgb="00375623"/>
      <sz val="11"/>
    </font>
    <font>
      <name val="Microsoft YaHei"/>
      <b val="1"/>
      <color rgb="00000000"/>
      <sz val="11"/>
    </font>
    <font>
      <name val="Microsoft YaHei"/>
      <b val="1"/>
      <color rgb="00FFFFFF"/>
      <sz val="11"/>
    </font>
    <font>
      <name val="Microsoft YaHei"/>
      <color rgb="00404040"/>
      <sz val="9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DE7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A9C47F"/>
      </patternFill>
    </fill>
    <fill>
      <patternFill patternType="solid">
        <fgColor rgb="00C6E0B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9A8"/>
      </left>
      <right style="thin">
        <color rgb="00B7C9A8"/>
      </right>
      <top style="thin">
        <color rgb="00B7C9A8"/>
      </top>
      <bottom style="thin">
        <color rgb="00B7C9A8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3" fontId="8" fillId="8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8" fillId="8" borderId="1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/>
    </xf>
    <xf numFmtId="0" fontId="11" fillId="6" borderId="0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 wrapText="1"/>
    </xf>
    <xf numFmtId="3" fontId="12" fillId="4" borderId="1" applyAlignment="1" pivotButton="0" quotePrefix="0" xfId="0">
      <alignment horizontal="center" vertical="center" wrapText="1"/>
    </xf>
    <xf numFmtId="3" fontId="12" fillId="5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164" fontId="14" fillId="8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7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8" customWidth="1" min="11" max="11"/>
  </cols>
  <sheetData>
    <row r="1" ht="26" customHeight="1">
      <c r="A1" s="1" t="inlineStr">
        <is>
          <t>小紅書 ノート(種草)予算配分・効果 ／ 小红书笔记种草预算与效果 —— Sakuranomori</t>
        </is>
      </c>
    </row>
    <row r="3">
      <c r="A3" s="2" t="inlineStr">
        <is>
          <t>① 年度総括 ／ 年度总览（简单汇总）</t>
        </is>
      </c>
    </row>
    <row r="4" ht="32" customHeight="1">
      <c r="A4" s="3" t="inlineStr">
        <is>
          <t>年度予算
全年预算(手填)</t>
        </is>
      </c>
      <c r="B4" s="4" t="n">
        <v>2000000</v>
      </c>
      <c r="C4" s="3" t="inlineStr">
        <is>
          <t>本四半期予算
本季度(自动)</t>
        </is>
      </c>
      <c r="D4" s="5">
        <f>E8</f>
        <v/>
      </c>
      <c r="E4" s="3" t="inlineStr">
        <is>
          <t>本四半期占比</t>
        </is>
      </c>
      <c r="F4" s="6">
        <f>IF($B$4=0,"",$D$4/$B$4)</f>
        <v/>
      </c>
      <c r="G4" s="3" t="inlineStr">
        <is>
          <t>年度想定曝光
全年(手填)</t>
        </is>
      </c>
      <c r="H4" s="7" t="n">
        <v>5000000</v>
      </c>
      <c r="I4" s="3" t="inlineStr">
        <is>
          <t>年度想定互动
全年(手填)</t>
        </is>
      </c>
      <c r="J4" s="7" t="n">
        <v>150000</v>
      </c>
      <c r="K4" s="8" t="inlineStr">
        <is>
          <t>※本季度=下方3个月自动合计
全年为手填目标</t>
        </is>
      </c>
    </row>
    <row r="6">
      <c r="A6" s="9" t="inlineStr">
        <is>
          <t>② 四半期（3ヶ月）総括 ／ 季度汇总（自动·给品牌方看）</t>
        </is>
      </c>
    </row>
    <row r="7">
      <c r="A7" s="10" t="inlineStr">
        <is>
          <t>指標 / 指标</t>
        </is>
      </c>
      <c r="B7" s="10" t="inlineStr">
        <is>
          <t>8月</t>
        </is>
      </c>
      <c r="C7" s="10" t="inlineStr">
        <is>
          <t>9月</t>
        </is>
      </c>
      <c r="D7" s="10" t="inlineStr">
        <is>
          <t>10月</t>
        </is>
      </c>
      <c r="E7" s="10" t="inlineStr">
        <is>
          <t>合計</t>
        </is>
      </c>
    </row>
    <row r="8">
      <c r="A8" s="11" t="inlineStr">
        <is>
          <t>予算(円) 预算</t>
        </is>
      </c>
      <c r="B8" s="12">
        <f>E33</f>
        <v/>
      </c>
      <c r="C8" s="12">
        <f>E48</f>
        <v/>
      </c>
      <c r="D8" s="12">
        <f>E63</f>
        <v/>
      </c>
      <c r="E8" s="13">
        <f>SUM(B8:D8)</f>
        <v/>
      </c>
    </row>
    <row r="9">
      <c r="A9" s="11" t="inlineStr">
        <is>
          <t>投稿数 篇数</t>
        </is>
      </c>
      <c r="B9" s="14">
        <f>D33</f>
        <v/>
      </c>
      <c r="C9" s="14">
        <f>D48</f>
        <v/>
      </c>
      <c r="D9" s="14">
        <f>D63</f>
        <v/>
      </c>
      <c r="E9" s="15">
        <f>SUM(B9:D9)</f>
        <v/>
      </c>
    </row>
    <row r="10">
      <c r="A10" s="11" t="inlineStr">
        <is>
          <t>想定インプレ 曝光</t>
        </is>
      </c>
      <c r="B10" s="14">
        <f>F33</f>
        <v/>
      </c>
      <c r="C10" s="14">
        <f>F48</f>
        <v/>
      </c>
      <c r="D10" s="14">
        <f>F63</f>
        <v/>
      </c>
      <c r="E10" s="15">
        <f>SUM(B10:D10)</f>
        <v/>
      </c>
    </row>
    <row r="11">
      <c r="A11" s="11" t="inlineStr">
        <is>
          <t>想定エンゲージ 互动</t>
        </is>
      </c>
      <c r="B11" s="14">
        <f>G33</f>
        <v/>
      </c>
      <c r="C11" s="14">
        <f>G48</f>
        <v/>
      </c>
      <c r="D11" s="14">
        <f>G63</f>
        <v/>
      </c>
      <c r="E11" s="15">
        <f>SUM(B11:D11)</f>
        <v/>
      </c>
    </row>
    <row r="12">
      <c r="A12" s="11" t="inlineStr">
        <is>
          <t>エンゲージ率 互动率</t>
        </is>
      </c>
      <c r="B12" s="16">
        <f>IF(B10=0,"",B11/B10)</f>
        <v/>
      </c>
      <c r="C12" s="16">
        <f>IF(C10=0,"",C11/C10)</f>
        <v/>
      </c>
      <c r="D12" s="16">
        <f>IF(D10=0,"",D11/D10)</f>
        <v/>
      </c>
      <c r="E12" s="17">
        <f>IF(E10=0,"",E11/E10)</f>
        <v/>
      </c>
    </row>
    <row r="13">
      <c r="A13" s="11" t="inlineStr">
        <is>
          <t>想定保存 收藏</t>
        </is>
      </c>
      <c r="B13" s="14">
        <f>H33</f>
        <v/>
      </c>
      <c r="C13" s="14">
        <f>H48</f>
        <v/>
      </c>
      <c r="D13" s="14">
        <f>H63</f>
        <v/>
      </c>
      <c r="E13" s="15">
        <f>SUM(B13:D13)</f>
        <v/>
      </c>
    </row>
    <row r="14">
      <c r="A14" s="11" t="inlineStr">
        <is>
          <t>CPM(円)</t>
        </is>
      </c>
      <c r="B14" s="14">
        <f>IF(B10=0,"",B8/B10*1000)</f>
        <v/>
      </c>
      <c r="C14" s="14">
        <f>IF(C10=0,"",C8/C10*1000)</f>
        <v/>
      </c>
      <c r="D14" s="14">
        <f>IF(D10=0,"",D8/D10*1000)</f>
        <v/>
      </c>
      <c r="E14" s="15">
        <f>IF(E10=0,"",E8/E10*1000)</f>
        <v/>
      </c>
    </row>
    <row r="15">
      <c r="A15" s="11" t="inlineStr">
        <is>
          <t>CPE(円) 单次互动成本</t>
        </is>
      </c>
      <c r="B15" s="14">
        <f>IF(B11=0,"",B8/B11)</f>
        <v/>
      </c>
      <c r="C15" s="14">
        <f>IF(C11=0,"",C8/C11)</f>
        <v/>
      </c>
      <c r="D15" s="14">
        <f>IF(D11=0,"",D8/D11)</f>
        <v/>
      </c>
      <c r="E15" s="15">
        <f>IF(E11=0,"",E8/E11)</f>
        <v/>
      </c>
    </row>
    <row r="16">
      <c r="A16" s="18" t="inlineStr">
        <is>
          <t>③ 种草衔接（投后回填 · 品牌方最关心）→ 见下方说明</t>
        </is>
      </c>
    </row>
    <row r="18">
      <c r="A18" s="19" t="inlineStr">
        <is>
          <t>④ 月別明細 ／ 月度明细（主要·按达人细分；黄=手填，灰=自动）</t>
        </is>
      </c>
    </row>
    <row r="19">
      <c r="A19" s="20" t="inlineStr">
        <is>
          <t>■ 8月 明細</t>
        </is>
      </c>
    </row>
    <row r="20" ht="30" customHeight="1">
      <c r="A20" s="10" t="inlineStr">
        <is>
          <t>アカウント名
账号</t>
        </is>
      </c>
      <c r="B20" s="10" t="inlineStr">
        <is>
          <t>層級</t>
        </is>
      </c>
      <c r="C20" s="10" t="inlineStr">
        <is>
          <t>投稿形式
形式</t>
        </is>
      </c>
      <c r="D20" s="10" t="inlineStr">
        <is>
          <t>投稿数
篇数</t>
        </is>
      </c>
      <c r="E20" s="10" t="inlineStr">
        <is>
          <t>稿費(円)
稿费</t>
        </is>
      </c>
      <c r="F20" s="10" t="inlineStr">
        <is>
          <t>想定インプレ
预估曝光</t>
        </is>
      </c>
      <c r="G20" s="10" t="inlineStr">
        <is>
          <t>想定エンゲージ
预估互动</t>
        </is>
      </c>
      <c r="H20" s="10" t="inlineStr">
        <is>
          <t>想定保存
预估收藏</t>
        </is>
      </c>
      <c r="I20" s="10" t="inlineStr">
        <is>
          <t>CPM(円)</t>
        </is>
      </c>
      <c r="J20" s="10" t="inlineStr">
        <is>
          <t>CPE(円)
单次互动</t>
        </is>
      </c>
      <c r="K20" s="10" t="inlineStr">
        <is>
          <t>備考</t>
        </is>
      </c>
    </row>
    <row r="21">
      <c r="A21" s="21" t="inlineStr">
        <is>
          <t>欧淋莉</t>
        </is>
      </c>
      <c r="B21" s="22" t="inlineStr">
        <is>
          <t>腰部</t>
        </is>
      </c>
      <c r="C21" s="22" t="inlineStr">
        <is>
          <t>動画(视频)</t>
        </is>
      </c>
      <c r="D21" s="22" t="n">
        <v>1</v>
      </c>
      <c r="E21" s="23" t="n">
        <v>45000</v>
      </c>
      <c r="F21" s="24" t="n">
        <v>120000</v>
      </c>
      <c r="G21" s="24" t="n">
        <v>3600</v>
      </c>
      <c r="H21" s="24" t="n">
        <v>1400</v>
      </c>
      <c r="I21" s="25">
        <f>IF(OR(E21="",F21="",F21=0),"",E21/F21*1000)</f>
        <v/>
      </c>
      <c r="J21" s="25">
        <f>IF(OR(E21="",G21="",G21=0),"",E21/G21)</f>
        <v/>
      </c>
      <c r="K21" s="21" t="inlineStr">
        <is>
          <t>直播同期配合</t>
        </is>
      </c>
    </row>
    <row r="22">
      <c r="A22" s="21" t="inlineStr">
        <is>
          <t>如酱在东京</t>
        </is>
      </c>
      <c r="B22" s="22" t="inlineStr">
        <is>
          <t>腰部</t>
        </is>
      </c>
      <c r="C22" s="22" t="inlineStr">
        <is>
          <t>画像(图文)</t>
        </is>
      </c>
      <c r="D22" s="22" t="n">
        <v>2</v>
      </c>
      <c r="E22" s="23" t="n">
        <v>40000</v>
      </c>
      <c r="F22" s="24" t="n">
        <v>80000</v>
      </c>
      <c r="G22" s="24" t="n">
        <v>2400</v>
      </c>
      <c r="H22" s="24" t="n">
        <v>1000</v>
      </c>
      <c r="I22" s="25">
        <f>IF(OR(E22="",F22="",F22=0),"",E22/F22*1000)</f>
        <v/>
      </c>
      <c r="J22" s="25">
        <f>IF(OR(E22="",G22="",G22=0),"",E22/G22)</f>
        <v/>
      </c>
      <c r="K22" s="21" t="inlineStr"/>
    </row>
    <row r="23">
      <c r="A23" s="21" t="inlineStr">
        <is>
          <t>KOC铺量·多人</t>
        </is>
      </c>
      <c r="B23" s="22" t="inlineStr">
        <is>
          <t>KOC</t>
        </is>
      </c>
      <c r="C23" s="22" t="inlineStr">
        <is>
          <t>画像(图文)</t>
        </is>
      </c>
      <c r="D23" s="22" t="n">
        <v>10</v>
      </c>
      <c r="E23" s="23" t="n">
        <v>5000</v>
      </c>
      <c r="F23" s="24" t="n">
        <v>12000</v>
      </c>
      <c r="G23" s="24" t="n">
        <v>480</v>
      </c>
      <c r="H23" s="24" t="n">
        <v>260</v>
      </c>
      <c r="I23" s="25">
        <f>IF(OR(E23="",F23="",F23=0),"",E23/F23*1000)</f>
        <v/>
      </c>
      <c r="J23" s="25">
        <f>IF(OR(E23="",G23="",G23=0),"",E23/G23)</f>
        <v/>
      </c>
      <c r="K23" s="21" t="inlineStr">
        <is>
          <t>真实体验铺搜索</t>
        </is>
      </c>
    </row>
    <row r="24">
      <c r="A24" s="21" t="n"/>
      <c r="B24" s="22" t="n"/>
      <c r="C24" s="22" t="n"/>
      <c r="D24" s="22" t="n"/>
      <c r="E24" s="23" t="n"/>
      <c r="F24" s="24" t="n"/>
      <c r="G24" s="24" t="n"/>
      <c r="H24" s="24" t="n"/>
      <c r="I24" s="25">
        <f>IF(OR(E24="",F24="",F24=0),"",E24/F24*1000)</f>
        <v/>
      </c>
      <c r="J24" s="25">
        <f>IF(OR(E24="",G24="",G24=0),"",E24/G24)</f>
        <v/>
      </c>
      <c r="K24" s="21" t="n"/>
    </row>
    <row r="25">
      <c r="A25" s="21" t="n"/>
      <c r="B25" s="22" t="n"/>
      <c r="C25" s="22" t="n"/>
      <c r="D25" s="22" t="n"/>
      <c r="E25" s="23" t="n"/>
      <c r="F25" s="24" t="n"/>
      <c r="G25" s="24" t="n"/>
      <c r="H25" s="24" t="n"/>
      <c r="I25" s="25">
        <f>IF(OR(E25="",F25="",F25=0),"",E25/F25*1000)</f>
        <v/>
      </c>
      <c r="J25" s="25">
        <f>IF(OR(E25="",G25="",G25=0),"",E25/G25)</f>
        <v/>
      </c>
      <c r="K25" s="21" t="n"/>
    </row>
    <row r="26">
      <c r="A26" s="21" t="n"/>
      <c r="B26" s="22" t="n"/>
      <c r="C26" s="22" t="n"/>
      <c r="D26" s="22" t="n"/>
      <c r="E26" s="23" t="n"/>
      <c r="F26" s="24" t="n"/>
      <c r="G26" s="24" t="n"/>
      <c r="H26" s="24" t="n"/>
      <c r="I26" s="25">
        <f>IF(OR(E26="",F26="",F26=0),"",E26/F26*1000)</f>
        <v/>
      </c>
      <c r="J26" s="25">
        <f>IF(OR(E26="",G26="",G26=0),"",E26/G26)</f>
        <v/>
      </c>
      <c r="K26" s="21" t="n"/>
    </row>
    <row r="27">
      <c r="A27" s="21" t="n"/>
      <c r="B27" s="22" t="n"/>
      <c r="C27" s="22" t="n"/>
      <c r="D27" s="22" t="n"/>
      <c r="E27" s="23" t="n"/>
      <c r="F27" s="24" t="n"/>
      <c r="G27" s="24" t="n"/>
      <c r="H27" s="24" t="n"/>
      <c r="I27" s="25">
        <f>IF(OR(E27="",F27="",F27=0),"",E27/F27*1000)</f>
        <v/>
      </c>
      <c r="J27" s="25">
        <f>IF(OR(E27="",G27="",G27=0),"",E27/G27)</f>
        <v/>
      </c>
      <c r="K27" s="21" t="n"/>
    </row>
    <row r="28">
      <c r="A28" s="21" t="n"/>
      <c r="B28" s="22" t="n"/>
      <c r="C28" s="22" t="n"/>
      <c r="D28" s="22" t="n"/>
      <c r="E28" s="23" t="n"/>
      <c r="F28" s="24" t="n"/>
      <c r="G28" s="24" t="n"/>
      <c r="H28" s="24" t="n"/>
      <c r="I28" s="25">
        <f>IF(OR(E28="",F28="",F28=0),"",E28/F28*1000)</f>
        <v/>
      </c>
      <c r="J28" s="25">
        <f>IF(OR(E28="",G28="",G28=0),"",E28/G28)</f>
        <v/>
      </c>
      <c r="K28" s="21" t="n"/>
    </row>
    <row r="29">
      <c r="A29" s="21" t="n"/>
      <c r="B29" s="22" t="n"/>
      <c r="C29" s="22" t="n"/>
      <c r="D29" s="22" t="n"/>
      <c r="E29" s="23" t="n"/>
      <c r="F29" s="24" t="n"/>
      <c r="G29" s="24" t="n"/>
      <c r="H29" s="24" t="n"/>
      <c r="I29" s="25">
        <f>IF(OR(E29="",F29="",F29=0),"",E29/F29*1000)</f>
        <v/>
      </c>
      <c r="J29" s="25">
        <f>IF(OR(E29="",G29="",G29=0),"",E29/G29)</f>
        <v/>
      </c>
      <c r="K29" s="21" t="n"/>
    </row>
    <row r="30">
      <c r="A30" s="21" t="n"/>
      <c r="B30" s="22" t="n"/>
      <c r="C30" s="22" t="n"/>
      <c r="D30" s="22" t="n"/>
      <c r="E30" s="23" t="n"/>
      <c r="F30" s="24" t="n"/>
      <c r="G30" s="24" t="n"/>
      <c r="H30" s="24" t="n"/>
      <c r="I30" s="25">
        <f>IF(OR(E30="",F30="",F30=0),"",E30/F30*1000)</f>
        <v/>
      </c>
      <c r="J30" s="25">
        <f>IF(OR(E30="",G30="",G30=0),"",E30/G30)</f>
        <v/>
      </c>
      <c r="K30" s="21" t="n"/>
    </row>
    <row r="31">
      <c r="A31" s="21" t="n"/>
      <c r="B31" s="22" t="n"/>
      <c r="C31" s="22" t="n"/>
      <c r="D31" s="22" t="n"/>
      <c r="E31" s="23" t="n"/>
      <c r="F31" s="24" t="n"/>
      <c r="G31" s="24" t="n"/>
      <c r="H31" s="24" t="n"/>
      <c r="I31" s="25">
        <f>IF(OR(E31="",F31="",F31=0),"",E31/F31*1000)</f>
        <v/>
      </c>
      <c r="J31" s="25">
        <f>IF(OR(E31="",G31="",G31=0),"",E31/G31)</f>
        <v/>
      </c>
      <c r="K31" s="21" t="n"/>
    </row>
    <row r="32">
      <c r="A32" s="21" t="n"/>
      <c r="B32" s="22" t="n"/>
      <c r="C32" s="22" t="n"/>
      <c r="D32" s="22" t="n"/>
      <c r="E32" s="23" t="n"/>
      <c r="F32" s="24" t="n"/>
      <c r="G32" s="24" t="n"/>
      <c r="H32" s="24" t="n"/>
      <c r="I32" s="25">
        <f>IF(OR(E32="",F32="",F32=0),"",E32/F32*1000)</f>
        <v/>
      </c>
      <c r="J32" s="25">
        <f>IF(OR(E32="",G32="",G32=0),"",E32/G32)</f>
        <v/>
      </c>
      <c r="K32" s="21" t="n"/>
    </row>
    <row r="33">
      <c r="A33" s="26" t="inlineStr">
        <is>
          <t>8月 月計 / 月合计</t>
        </is>
      </c>
      <c r="B33" s="27" t="n"/>
      <c r="C33" s="27" t="n"/>
      <c r="D33" s="28">
        <f>SUM(D21:D32)</f>
        <v/>
      </c>
      <c r="E33" s="29">
        <f>SUM(E21:E32)</f>
        <v/>
      </c>
      <c r="F33" s="28">
        <f>SUM(F21:F32)</f>
        <v/>
      </c>
      <c r="G33" s="28">
        <f>SUM(G21:G32)</f>
        <v/>
      </c>
      <c r="H33" s="28">
        <f>SUM(H21:H32)</f>
        <v/>
      </c>
      <c r="I33" s="28">
        <f>IF(F33=0,"",E33/F33*1000)</f>
        <v/>
      </c>
      <c r="J33" s="28">
        <f>IF(G33=0,"",E33/G33)</f>
        <v/>
      </c>
      <c r="K33" s="27" t="n"/>
    </row>
    <row r="34">
      <c r="A34" s="20" t="inlineStr">
        <is>
          <t>■ 9月 明細</t>
        </is>
      </c>
    </row>
    <row r="35" ht="30" customHeight="1">
      <c r="A35" s="10" t="inlineStr">
        <is>
          <t>アカウント名
账号</t>
        </is>
      </c>
      <c r="B35" s="10" t="inlineStr">
        <is>
          <t>層級</t>
        </is>
      </c>
      <c r="C35" s="10" t="inlineStr">
        <is>
          <t>投稿形式
形式</t>
        </is>
      </c>
      <c r="D35" s="10" t="inlineStr">
        <is>
          <t>投稿数
篇数</t>
        </is>
      </c>
      <c r="E35" s="10" t="inlineStr">
        <is>
          <t>稿費(円)
稿费</t>
        </is>
      </c>
      <c r="F35" s="10" t="inlineStr">
        <is>
          <t>想定インプレ
预估曝光</t>
        </is>
      </c>
      <c r="G35" s="10" t="inlineStr">
        <is>
          <t>想定エンゲージ
预估互动</t>
        </is>
      </c>
      <c r="H35" s="10" t="inlineStr">
        <is>
          <t>想定保存
预估收藏</t>
        </is>
      </c>
      <c r="I35" s="10" t="inlineStr">
        <is>
          <t>CPM(円)</t>
        </is>
      </c>
      <c r="J35" s="10" t="inlineStr">
        <is>
          <t>CPE(円)
单次互动</t>
        </is>
      </c>
      <c r="K35" s="10" t="inlineStr">
        <is>
          <t>備考</t>
        </is>
      </c>
    </row>
    <row r="36">
      <c r="A36" s="21" t="inlineStr">
        <is>
          <t>单眼皮的妮可</t>
        </is>
      </c>
      <c r="B36" s="22" t="inlineStr">
        <is>
          <t>KOC</t>
        </is>
      </c>
      <c r="C36" s="22" t="inlineStr">
        <is>
          <t>画像(图文)</t>
        </is>
      </c>
      <c r="D36" s="22" t="n">
        <v>3</v>
      </c>
      <c r="E36" s="23" t="n">
        <v>5000</v>
      </c>
      <c r="F36" s="24" t="n">
        <v>15000</v>
      </c>
      <c r="G36" s="24" t="n">
        <v>600</v>
      </c>
      <c r="H36" s="24" t="n">
        <v>320</v>
      </c>
      <c r="I36" s="25">
        <f>IF(OR(E36="",F36="",F36=0),"",E36/F36*1000)</f>
        <v/>
      </c>
      <c r="J36" s="25">
        <f>IF(OR(E36="",G36="",G36=0),"",E36/G36)</f>
        <v/>
      </c>
      <c r="K36" s="21" t="inlineStr"/>
    </row>
    <row r="37">
      <c r="A37" s="21" t="inlineStr">
        <is>
          <t>(头部造势·待定)</t>
        </is>
      </c>
      <c r="B37" s="22" t="inlineStr">
        <is>
          <t>頭部</t>
        </is>
      </c>
      <c r="C37" s="22" t="inlineStr">
        <is>
          <t>動画(视频)</t>
        </is>
      </c>
      <c r="D37" s="22" t="n">
        <v>1</v>
      </c>
      <c r="E37" s="23" t="n">
        <v>200000</v>
      </c>
      <c r="F37" s="24" t="n">
        <v>300000</v>
      </c>
      <c r="G37" s="24" t="n">
        <v>9000</v>
      </c>
      <c r="H37" s="24" t="n">
        <v>4000</v>
      </c>
      <c r="I37" s="25">
        <f>IF(OR(E37="",F37="",F37=0),"",E37/F37*1000)</f>
        <v/>
      </c>
      <c r="J37" s="25">
        <f>IF(OR(E37="",G37="",G37=0),"",E37/G37)</f>
        <v/>
      </c>
      <c r="K37" s="21" t="inlineStr">
        <is>
          <t>造势</t>
        </is>
      </c>
    </row>
    <row r="38">
      <c r="A38" s="21" t="inlineStr">
        <is>
          <t>腰部攻略</t>
        </is>
      </c>
      <c r="B38" s="22" t="inlineStr">
        <is>
          <t>腰部</t>
        </is>
      </c>
      <c r="C38" s="22" t="inlineStr">
        <is>
          <t>画像(图文)</t>
        </is>
      </c>
      <c r="D38" s="22" t="n">
        <v>2</v>
      </c>
      <c r="E38" s="23" t="n">
        <v>45000</v>
      </c>
      <c r="F38" s="24" t="n">
        <v>90000</v>
      </c>
      <c r="G38" s="24" t="n">
        <v>2700</v>
      </c>
      <c r="H38" s="24" t="n">
        <v>1500</v>
      </c>
      <c r="I38" s="25">
        <f>IF(OR(E38="",F38="",F38=0),"",E38/F38*1000)</f>
        <v/>
      </c>
      <c r="J38" s="25">
        <f>IF(OR(E38="",G38="",G38=0),"",E38/G38)</f>
        <v/>
      </c>
      <c r="K38" s="21" t="inlineStr">
        <is>
          <t>怎么选攻略</t>
        </is>
      </c>
    </row>
    <row r="39">
      <c r="A39" s="21" t="n"/>
      <c r="B39" s="22" t="n"/>
      <c r="C39" s="22" t="n"/>
      <c r="D39" s="22" t="n"/>
      <c r="E39" s="23" t="n"/>
      <c r="F39" s="24" t="n"/>
      <c r="G39" s="24" t="n"/>
      <c r="H39" s="24" t="n"/>
      <c r="I39" s="25">
        <f>IF(OR(E39="",F39="",F39=0),"",E39/F39*1000)</f>
        <v/>
      </c>
      <c r="J39" s="25">
        <f>IF(OR(E39="",G39="",G39=0),"",E39/G39)</f>
        <v/>
      </c>
      <c r="K39" s="21" t="n"/>
    </row>
    <row r="40">
      <c r="A40" s="21" t="n"/>
      <c r="B40" s="22" t="n"/>
      <c r="C40" s="22" t="n"/>
      <c r="D40" s="22" t="n"/>
      <c r="E40" s="23" t="n"/>
      <c r="F40" s="24" t="n"/>
      <c r="G40" s="24" t="n"/>
      <c r="H40" s="24" t="n"/>
      <c r="I40" s="25">
        <f>IF(OR(E40="",F40="",F40=0),"",E40/F40*1000)</f>
        <v/>
      </c>
      <c r="J40" s="25">
        <f>IF(OR(E40="",G40="",G40=0),"",E40/G40)</f>
        <v/>
      </c>
      <c r="K40" s="21" t="n"/>
    </row>
    <row r="41">
      <c r="A41" s="21" t="n"/>
      <c r="B41" s="22" t="n"/>
      <c r="C41" s="22" t="n"/>
      <c r="D41" s="22" t="n"/>
      <c r="E41" s="23" t="n"/>
      <c r="F41" s="24" t="n"/>
      <c r="G41" s="24" t="n"/>
      <c r="H41" s="24" t="n"/>
      <c r="I41" s="25">
        <f>IF(OR(E41="",F41="",F41=0),"",E41/F41*1000)</f>
        <v/>
      </c>
      <c r="J41" s="25">
        <f>IF(OR(E41="",G41="",G41=0),"",E41/G41)</f>
        <v/>
      </c>
      <c r="K41" s="21" t="n"/>
    </row>
    <row r="42">
      <c r="A42" s="21" t="n"/>
      <c r="B42" s="22" t="n"/>
      <c r="C42" s="22" t="n"/>
      <c r="D42" s="22" t="n"/>
      <c r="E42" s="23" t="n"/>
      <c r="F42" s="24" t="n"/>
      <c r="G42" s="24" t="n"/>
      <c r="H42" s="24" t="n"/>
      <c r="I42" s="25">
        <f>IF(OR(E42="",F42="",F42=0),"",E42/F42*1000)</f>
        <v/>
      </c>
      <c r="J42" s="25">
        <f>IF(OR(E42="",G42="",G42=0),"",E42/G42)</f>
        <v/>
      </c>
      <c r="K42" s="21" t="n"/>
    </row>
    <row r="43">
      <c r="A43" s="21" t="n"/>
      <c r="B43" s="22" t="n"/>
      <c r="C43" s="22" t="n"/>
      <c r="D43" s="22" t="n"/>
      <c r="E43" s="23" t="n"/>
      <c r="F43" s="24" t="n"/>
      <c r="G43" s="24" t="n"/>
      <c r="H43" s="24" t="n"/>
      <c r="I43" s="25">
        <f>IF(OR(E43="",F43="",F43=0),"",E43/F43*1000)</f>
        <v/>
      </c>
      <c r="J43" s="25">
        <f>IF(OR(E43="",G43="",G43=0),"",E43/G43)</f>
        <v/>
      </c>
      <c r="K43" s="21" t="n"/>
    </row>
    <row r="44">
      <c r="A44" s="21" t="n"/>
      <c r="B44" s="22" t="n"/>
      <c r="C44" s="22" t="n"/>
      <c r="D44" s="22" t="n"/>
      <c r="E44" s="23" t="n"/>
      <c r="F44" s="24" t="n"/>
      <c r="G44" s="24" t="n"/>
      <c r="H44" s="24" t="n"/>
      <c r="I44" s="25">
        <f>IF(OR(E44="",F44="",F44=0),"",E44/F44*1000)</f>
        <v/>
      </c>
      <c r="J44" s="25">
        <f>IF(OR(E44="",G44="",G44=0),"",E44/G44)</f>
        <v/>
      </c>
      <c r="K44" s="21" t="n"/>
    </row>
    <row r="45">
      <c r="A45" s="21" t="n"/>
      <c r="B45" s="22" t="n"/>
      <c r="C45" s="22" t="n"/>
      <c r="D45" s="22" t="n"/>
      <c r="E45" s="23" t="n"/>
      <c r="F45" s="24" t="n"/>
      <c r="G45" s="24" t="n"/>
      <c r="H45" s="24" t="n"/>
      <c r="I45" s="25">
        <f>IF(OR(E45="",F45="",F45=0),"",E45/F45*1000)</f>
        <v/>
      </c>
      <c r="J45" s="25">
        <f>IF(OR(E45="",G45="",G45=0),"",E45/G45)</f>
        <v/>
      </c>
      <c r="K45" s="21" t="n"/>
    </row>
    <row r="46">
      <c r="A46" s="21" t="n"/>
      <c r="B46" s="22" t="n"/>
      <c r="C46" s="22" t="n"/>
      <c r="D46" s="22" t="n"/>
      <c r="E46" s="23" t="n"/>
      <c r="F46" s="24" t="n"/>
      <c r="G46" s="24" t="n"/>
      <c r="H46" s="24" t="n"/>
      <c r="I46" s="25">
        <f>IF(OR(E46="",F46="",F46=0),"",E46/F46*1000)</f>
        <v/>
      </c>
      <c r="J46" s="25">
        <f>IF(OR(E46="",G46="",G46=0),"",E46/G46)</f>
        <v/>
      </c>
      <c r="K46" s="21" t="n"/>
    </row>
    <row r="47">
      <c r="A47" s="21" t="n"/>
      <c r="B47" s="22" t="n"/>
      <c r="C47" s="22" t="n"/>
      <c r="D47" s="22" t="n"/>
      <c r="E47" s="23" t="n"/>
      <c r="F47" s="24" t="n"/>
      <c r="G47" s="24" t="n"/>
      <c r="H47" s="24" t="n"/>
      <c r="I47" s="25">
        <f>IF(OR(E47="",F47="",F47=0),"",E47/F47*1000)</f>
        <v/>
      </c>
      <c r="J47" s="25">
        <f>IF(OR(E47="",G47="",G47=0),"",E47/G47)</f>
        <v/>
      </c>
      <c r="K47" s="21" t="n"/>
    </row>
    <row r="48">
      <c r="A48" s="26" t="inlineStr">
        <is>
          <t>9月 月計 / 月合计</t>
        </is>
      </c>
      <c r="B48" s="27" t="n"/>
      <c r="C48" s="27" t="n"/>
      <c r="D48" s="28">
        <f>SUM(D36:D47)</f>
        <v/>
      </c>
      <c r="E48" s="29">
        <f>SUM(E36:E47)</f>
        <v/>
      </c>
      <c r="F48" s="28">
        <f>SUM(F36:F47)</f>
        <v/>
      </c>
      <c r="G48" s="28">
        <f>SUM(G36:G47)</f>
        <v/>
      </c>
      <c r="H48" s="28">
        <f>SUM(H36:H47)</f>
        <v/>
      </c>
      <c r="I48" s="28">
        <f>IF(F48=0,"",E48/F48*1000)</f>
        <v/>
      </c>
      <c r="J48" s="28">
        <f>IF(G48=0,"",E48/G48)</f>
        <v/>
      </c>
      <c r="K48" s="27" t="n"/>
    </row>
    <row r="49">
      <c r="A49" s="20" t="inlineStr">
        <is>
          <t>■ 10月 明細</t>
        </is>
      </c>
    </row>
    <row r="50" ht="30" customHeight="1">
      <c r="A50" s="10" t="inlineStr">
        <is>
          <t>アカウント名
账号</t>
        </is>
      </c>
      <c r="B50" s="10" t="inlineStr">
        <is>
          <t>層級</t>
        </is>
      </c>
      <c r="C50" s="10" t="inlineStr">
        <is>
          <t>投稿形式
形式</t>
        </is>
      </c>
      <c r="D50" s="10" t="inlineStr">
        <is>
          <t>投稿数
篇数</t>
        </is>
      </c>
      <c r="E50" s="10" t="inlineStr">
        <is>
          <t>稿費(円)
稿费</t>
        </is>
      </c>
      <c r="F50" s="10" t="inlineStr">
        <is>
          <t>想定インプレ
预估曝光</t>
        </is>
      </c>
      <c r="G50" s="10" t="inlineStr">
        <is>
          <t>想定エンゲージ
预估互动</t>
        </is>
      </c>
      <c r="H50" s="10" t="inlineStr">
        <is>
          <t>想定保存
预估收藏</t>
        </is>
      </c>
      <c r="I50" s="10" t="inlineStr">
        <is>
          <t>CPM(円)</t>
        </is>
      </c>
      <c r="J50" s="10" t="inlineStr">
        <is>
          <t>CPE(円)
单次互动</t>
        </is>
      </c>
      <c r="K50" s="10" t="inlineStr">
        <is>
          <t>備考</t>
        </is>
      </c>
    </row>
    <row r="51">
      <c r="A51" s="21" t="inlineStr">
        <is>
          <t>KOC铺量·多人</t>
        </is>
      </c>
      <c r="B51" s="22" t="inlineStr">
        <is>
          <t>KOC</t>
        </is>
      </c>
      <c r="C51" s="22" t="inlineStr">
        <is>
          <t>画像(图文)</t>
        </is>
      </c>
      <c r="D51" s="22" t="n">
        <v>15</v>
      </c>
      <c r="E51" s="23" t="n">
        <v>5000</v>
      </c>
      <c r="F51" s="24" t="n">
        <v>12000</v>
      </c>
      <c r="G51" s="24" t="n">
        <v>480</v>
      </c>
      <c r="H51" s="24" t="n">
        <v>260</v>
      </c>
      <c r="I51" s="25">
        <f>IF(OR(E51="",F51="",F51=0),"",E51/F51*1000)</f>
        <v/>
      </c>
      <c r="J51" s="25">
        <f>IF(OR(E51="",G51="",G51=0),"",E51/G51)</f>
        <v/>
      </c>
      <c r="K51" s="21" t="inlineStr">
        <is>
          <t>双11蓄水</t>
        </is>
      </c>
    </row>
    <row r="52">
      <c r="A52" s="21" t="inlineStr">
        <is>
          <t>腰部攻略</t>
        </is>
      </c>
      <c r="B52" s="22" t="inlineStr">
        <is>
          <t>腰部</t>
        </is>
      </c>
      <c r="C52" s="22" t="inlineStr">
        <is>
          <t>画像(图文)</t>
        </is>
      </c>
      <c r="D52" s="22" t="n">
        <v>2</v>
      </c>
      <c r="E52" s="23" t="n">
        <v>45000</v>
      </c>
      <c r="F52" s="24" t="n">
        <v>90000</v>
      </c>
      <c r="G52" s="24" t="n">
        <v>2700</v>
      </c>
      <c r="H52" s="24" t="n">
        <v>1500</v>
      </c>
      <c r="I52" s="25">
        <f>IF(OR(E52="",F52="",F52=0),"",E52/F52*1000)</f>
        <v/>
      </c>
      <c r="J52" s="25">
        <f>IF(OR(E52="",G52="",G52=0),"",E52/G52)</f>
        <v/>
      </c>
      <c r="K52" s="21" t="inlineStr"/>
    </row>
    <row r="53">
      <c r="A53" s="21" t="n"/>
      <c r="B53" s="22" t="n"/>
      <c r="C53" s="22" t="n"/>
      <c r="D53" s="22" t="n"/>
      <c r="E53" s="23" t="n"/>
      <c r="F53" s="24" t="n"/>
      <c r="G53" s="24" t="n"/>
      <c r="H53" s="24" t="n"/>
      <c r="I53" s="25">
        <f>IF(OR(E53="",F53="",F53=0),"",E53/F53*1000)</f>
        <v/>
      </c>
      <c r="J53" s="25">
        <f>IF(OR(E53="",G53="",G53=0),"",E53/G53)</f>
        <v/>
      </c>
      <c r="K53" s="21" t="n"/>
    </row>
    <row r="54">
      <c r="A54" s="21" t="n"/>
      <c r="B54" s="22" t="n"/>
      <c r="C54" s="22" t="n"/>
      <c r="D54" s="22" t="n"/>
      <c r="E54" s="23" t="n"/>
      <c r="F54" s="24" t="n"/>
      <c r="G54" s="24" t="n"/>
      <c r="H54" s="24" t="n"/>
      <c r="I54" s="25">
        <f>IF(OR(E54="",F54="",F54=0),"",E54/F54*1000)</f>
        <v/>
      </c>
      <c r="J54" s="25">
        <f>IF(OR(E54="",G54="",G54=0),"",E54/G54)</f>
        <v/>
      </c>
      <c r="K54" s="21" t="n"/>
    </row>
    <row r="55">
      <c r="A55" s="21" t="n"/>
      <c r="B55" s="22" t="n"/>
      <c r="C55" s="22" t="n"/>
      <c r="D55" s="22" t="n"/>
      <c r="E55" s="23" t="n"/>
      <c r="F55" s="24" t="n"/>
      <c r="G55" s="24" t="n"/>
      <c r="H55" s="24" t="n"/>
      <c r="I55" s="25">
        <f>IF(OR(E55="",F55="",F55=0),"",E55/F55*1000)</f>
        <v/>
      </c>
      <c r="J55" s="25">
        <f>IF(OR(E55="",G55="",G55=0),"",E55/G55)</f>
        <v/>
      </c>
      <c r="K55" s="21" t="n"/>
    </row>
    <row r="56">
      <c r="A56" s="21" t="n"/>
      <c r="B56" s="22" t="n"/>
      <c r="C56" s="22" t="n"/>
      <c r="D56" s="22" t="n"/>
      <c r="E56" s="23" t="n"/>
      <c r="F56" s="24" t="n"/>
      <c r="G56" s="24" t="n"/>
      <c r="H56" s="24" t="n"/>
      <c r="I56" s="25">
        <f>IF(OR(E56="",F56="",F56=0),"",E56/F56*1000)</f>
        <v/>
      </c>
      <c r="J56" s="25">
        <f>IF(OR(E56="",G56="",G56=0),"",E56/G56)</f>
        <v/>
      </c>
      <c r="K56" s="21" t="n"/>
    </row>
    <row r="57">
      <c r="A57" s="21" t="n"/>
      <c r="B57" s="22" t="n"/>
      <c r="C57" s="22" t="n"/>
      <c r="D57" s="22" t="n"/>
      <c r="E57" s="23" t="n"/>
      <c r="F57" s="24" t="n"/>
      <c r="G57" s="24" t="n"/>
      <c r="H57" s="24" t="n"/>
      <c r="I57" s="25">
        <f>IF(OR(E57="",F57="",F57=0),"",E57/F57*1000)</f>
        <v/>
      </c>
      <c r="J57" s="25">
        <f>IF(OR(E57="",G57="",G57=0),"",E57/G57)</f>
        <v/>
      </c>
      <c r="K57" s="21" t="n"/>
    </row>
    <row r="58">
      <c r="A58" s="21" t="n"/>
      <c r="B58" s="22" t="n"/>
      <c r="C58" s="22" t="n"/>
      <c r="D58" s="22" t="n"/>
      <c r="E58" s="23" t="n"/>
      <c r="F58" s="24" t="n"/>
      <c r="G58" s="24" t="n"/>
      <c r="H58" s="24" t="n"/>
      <c r="I58" s="25">
        <f>IF(OR(E58="",F58="",F58=0),"",E58/F58*1000)</f>
        <v/>
      </c>
      <c r="J58" s="25">
        <f>IF(OR(E58="",G58="",G58=0),"",E58/G58)</f>
        <v/>
      </c>
      <c r="K58" s="21" t="n"/>
    </row>
    <row r="59">
      <c r="A59" s="21" t="n"/>
      <c r="B59" s="22" t="n"/>
      <c r="C59" s="22" t="n"/>
      <c r="D59" s="22" t="n"/>
      <c r="E59" s="23" t="n"/>
      <c r="F59" s="24" t="n"/>
      <c r="G59" s="24" t="n"/>
      <c r="H59" s="24" t="n"/>
      <c r="I59" s="25">
        <f>IF(OR(E59="",F59="",F59=0),"",E59/F59*1000)</f>
        <v/>
      </c>
      <c r="J59" s="25">
        <f>IF(OR(E59="",G59="",G59=0),"",E59/G59)</f>
        <v/>
      </c>
      <c r="K59" s="21" t="n"/>
    </row>
    <row r="60">
      <c r="A60" s="21" t="n"/>
      <c r="B60" s="22" t="n"/>
      <c r="C60" s="22" t="n"/>
      <c r="D60" s="22" t="n"/>
      <c r="E60" s="23" t="n"/>
      <c r="F60" s="24" t="n"/>
      <c r="G60" s="24" t="n"/>
      <c r="H60" s="24" t="n"/>
      <c r="I60" s="25">
        <f>IF(OR(E60="",F60="",F60=0),"",E60/F60*1000)</f>
        <v/>
      </c>
      <c r="J60" s="25">
        <f>IF(OR(E60="",G60="",G60=0),"",E60/G60)</f>
        <v/>
      </c>
      <c r="K60" s="21" t="n"/>
    </row>
    <row r="61">
      <c r="A61" s="21" t="n"/>
      <c r="B61" s="22" t="n"/>
      <c r="C61" s="22" t="n"/>
      <c r="D61" s="22" t="n"/>
      <c r="E61" s="23" t="n"/>
      <c r="F61" s="24" t="n"/>
      <c r="G61" s="24" t="n"/>
      <c r="H61" s="24" t="n"/>
      <c r="I61" s="25">
        <f>IF(OR(E61="",F61="",F61=0),"",E61/F61*1000)</f>
        <v/>
      </c>
      <c r="J61" s="25">
        <f>IF(OR(E61="",G61="",G61=0),"",E61/G61)</f>
        <v/>
      </c>
      <c r="K61" s="21" t="n"/>
    </row>
    <row r="62">
      <c r="A62" s="21" t="n"/>
      <c r="B62" s="22" t="n"/>
      <c r="C62" s="22" t="n"/>
      <c r="D62" s="22" t="n"/>
      <c r="E62" s="23" t="n"/>
      <c r="F62" s="24" t="n"/>
      <c r="G62" s="24" t="n"/>
      <c r="H62" s="24" t="n"/>
      <c r="I62" s="25">
        <f>IF(OR(E62="",F62="",F62=0),"",E62/F62*1000)</f>
        <v/>
      </c>
      <c r="J62" s="25">
        <f>IF(OR(E62="",G62="",G62=0),"",E62/G62)</f>
        <v/>
      </c>
      <c r="K62" s="21" t="n"/>
    </row>
    <row r="63">
      <c r="A63" s="26" t="inlineStr">
        <is>
          <t>10月 月計 / 月合计</t>
        </is>
      </c>
      <c r="B63" s="27" t="n"/>
      <c r="C63" s="27" t="n"/>
      <c r="D63" s="28">
        <f>SUM(D51:D62)</f>
        <v/>
      </c>
      <c r="E63" s="29">
        <f>SUM(E51:E62)</f>
        <v/>
      </c>
      <c r="F63" s="28">
        <f>SUM(F51:F62)</f>
        <v/>
      </c>
      <c r="G63" s="28">
        <f>SUM(G51:G62)</f>
        <v/>
      </c>
      <c r="H63" s="28">
        <f>SUM(H51:H62)</f>
        <v/>
      </c>
      <c r="I63" s="28">
        <f>IF(F63=0,"",E63/F63*1000)</f>
        <v/>
      </c>
      <c r="J63" s="28">
        <f>IF(G63=0,"",E63/G63)</f>
        <v/>
      </c>
      <c r="K63" s="27" t="n"/>
    </row>
    <row r="65">
      <c r="A65" s="30" t="inlineStr">
        <is>
          <t>⑤ 给品牌方看的数据说明 ／ ブランド様への報告指標</t>
        </is>
      </c>
    </row>
    <row r="66">
      <c r="A66" s="31" t="inlineStr">
        <is>
          <t>1. 投入：篇数 / 稿费(预算) / 达人层级分布。</t>
        </is>
      </c>
    </row>
    <row r="67">
      <c r="A67" s="31" t="inlineStr">
        <is>
          <t>2. 内容表现：曝光 / 互动 / 互动率 / 收藏(收藏率) / 爆文数。※收藏率=种草意向强信号；只看曝光会被『高曝低互动』骗到。</t>
        </is>
      </c>
    </row>
    <row r="68">
      <c r="A68" s="31" t="inlineStr">
        <is>
          <t>3. 种草衔接(最关键·投后回填)：小红书品牌/产品搜索指数变化 · A3深度种草人群增量(专业号后台) · 天猫搜索入店/加购/成交(关联来源)。</t>
        </is>
      </c>
    </row>
    <row r="69">
      <c r="A69" s="31" t="inlineStr">
        <is>
          <t>4. 效率：CPM(千次曝光成本) · CPE(单次互动成本)。※笔记不用ROAS/GMV当主口径(无小红书店、归因模糊)。</t>
        </is>
      </c>
    </row>
    <row r="70">
      <c r="A70" s="31" t="inlineStr">
        <is>
          <t>5. 预估 vs 实际：投前给目标，投后回填实际算达成率——最能让品牌方放心。</t>
        </is>
      </c>
    </row>
    <row r="71">
      <c r="A71" s="31" t="inlineStr">
        <is>
          <t>本表=投放前『预算+预估效果』；投后建议同结构再建一张『实际效果』做对比。</t>
        </is>
      </c>
    </row>
  </sheetData>
  <mergeCells count="15">
    <mergeCell ref="A6:K6"/>
    <mergeCell ref="A34:K34"/>
    <mergeCell ref="A18:K18"/>
    <mergeCell ref="A69:K69"/>
    <mergeCell ref="A3:K3"/>
    <mergeCell ref="A16:E16"/>
    <mergeCell ref="A65:K65"/>
    <mergeCell ref="A19:K19"/>
    <mergeCell ref="A49:K49"/>
    <mergeCell ref="A71:K71"/>
    <mergeCell ref="A68:K68"/>
    <mergeCell ref="A66:K66"/>
    <mergeCell ref="A1:K1"/>
    <mergeCell ref="A70:K70"/>
    <mergeCell ref="A67:K67"/>
  </mergeCells>
  <dataValidations count="6">
    <dataValidation sqref="B21:B32" showDropDown="0" showInputMessage="0" showErrorMessage="0" allowBlank="1" type="list">
      <formula1>"頭部,腰部,尾部,KOC"</formula1>
    </dataValidation>
    <dataValidation sqref="C21:C32" showDropDown="0" showInputMessage="0" showErrorMessage="0" allowBlank="1" type="list">
      <formula1>"画像(图文),動画(视频)"</formula1>
    </dataValidation>
    <dataValidation sqref="B36:B47" showDropDown="0" showInputMessage="0" showErrorMessage="0" allowBlank="1" type="list">
      <formula1>"頭部,腰部,尾部,KOC"</formula1>
    </dataValidation>
    <dataValidation sqref="C36:C47" showDropDown="0" showInputMessage="0" showErrorMessage="0" allowBlank="1" type="list">
      <formula1>"画像(图文),動画(视频)"</formula1>
    </dataValidation>
    <dataValidation sqref="B51:B62" showDropDown="0" showInputMessage="0" showErrorMessage="0" allowBlank="1" type="list">
      <formula1>"頭部,腰部,尾部,KOC"</formula1>
    </dataValidation>
    <dataValidation sqref="C51:C62" showDropDown="0" showInputMessage="0" showErrorMessage="0" allowBlank="1" type="list">
      <formula1>"画像(图文),動画(视频)"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2026-08-06T05:57:45Z</dcterms:created>
  <dcterms:modified xmlns:dcterms="http://purl.org/dc/terms/" xmlns:xsi="http://www.w3.org/2001/XMLSchema-instance" xsi:type="dcterms:W3CDTF">2026-08-06T05:57:45Z</dcterms:modified>
</cp:coreProperties>
</file>