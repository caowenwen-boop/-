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ノート予算配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15">
    <font>
      <name val="Calibri"/>
      <family val="2"/>
      <color theme="1"/>
      <sz val="11"/>
      <scheme val="minor"/>
    </font>
    <font>
      <name val="Microsoft YaHei"/>
      <b val="1"/>
      <color rgb="00375623"/>
      <sz val="14"/>
    </font>
    <font>
      <name val="Microsoft YaHei"/>
      <b val="1"/>
      <color rgb="001F3864"/>
      <sz val="12"/>
    </font>
    <font>
      <name val="Microsoft YaHei"/>
      <b val="1"/>
      <color rgb="001F3864"/>
      <sz val="9"/>
    </font>
    <font>
      <name val="Microsoft YaHei"/>
      <b val="1"/>
      <color rgb="00000000"/>
      <sz val="12"/>
    </font>
    <font>
      <name val="Microsoft YaHei"/>
      <color rgb="00808080"/>
      <sz val="8"/>
    </font>
    <font>
      <name val="Microsoft YaHei"/>
      <b val="1"/>
      <color rgb="00BF6000"/>
      <sz val="12"/>
    </font>
    <font>
      <name val="Microsoft YaHei"/>
      <b val="1"/>
      <color rgb="00FFFFFF"/>
      <sz val="9"/>
    </font>
    <font>
      <name val="Microsoft YaHei"/>
      <b val="1"/>
      <color rgb="00000000"/>
      <sz val="10"/>
    </font>
    <font>
      <name val="Microsoft YaHei"/>
      <b val="1"/>
      <color rgb="00375623"/>
      <sz val="12"/>
    </font>
    <font>
      <name val="Microsoft YaHei"/>
      <b val="1"/>
      <color rgb="00FFFFFF"/>
      <sz val="12"/>
    </font>
    <font>
      <name val="Microsoft YaHei"/>
      <b val="1"/>
      <color rgb="00BF6000"/>
      <sz val="11"/>
    </font>
    <font>
      <name val="Microsoft YaHei"/>
      <color rgb="00000000"/>
      <sz val="10"/>
    </font>
    <font>
      <name val="Microsoft YaHei"/>
      <b val="1"/>
      <color rgb="00375623"/>
      <sz val="11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DE7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A9C47F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7C9A8"/>
      </left>
      <right style="thin">
        <color rgb="00B7C9A8"/>
      </right>
      <top style="thin">
        <color rgb="00B7C9A8"/>
      </top>
      <bottom style="thin">
        <color rgb="00B7C9A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3" fontId="8" fillId="8" borderId="1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164" fontId="12" fillId="4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3" fontId="12" fillId="4" borderId="1" applyAlignment="1" pivotButton="0" quotePrefix="0" xfId="0">
      <alignment horizontal="center" vertical="center" wrapText="1"/>
    </xf>
    <xf numFmtId="3" fontId="12" fillId="5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3" fontId="14" fillId="8" borderId="1" applyAlignment="1" pivotButton="0" quotePrefix="0" xfId="0">
      <alignment horizontal="center" vertical="center" wrapText="1"/>
    </xf>
    <xf numFmtId="164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8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小紅書 ノート(種草)予算配分 ／ 小红书笔记种草预算分配 —— Sakuranomori</t>
        </is>
      </c>
    </row>
    <row r="3">
      <c r="A3" s="2" t="inlineStr">
        <is>
          <t>① 年度総括 ／ 年度总览（简单汇总）</t>
        </is>
      </c>
    </row>
    <row r="4" ht="30" customHeight="1">
      <c r="A4" s="3" t="inlineStr">
        <is>
          <t>年度ノート予算
全年预算(手填)</t>
        </is>
      </c>
      <c r="B4" s="4" t="n">
        <v>2000000</v>
      </c>
      <c r="C4" s="3" t="inlineStr">
        <is>
          <t>本四半期予算
本季度(自动)</t>
        </is>
      </c>
      <c r="D4" s="5">
        <f>E8</f>
        <v/>
      </c>
      <c r="E4" s="3" t="inlineStr">
        <is>
          <t>本四半期占比</t>
        </is>
      </c>
      <c r="F4" s="6">
        <f>IF($B$4=0,"",$D$4/$B$4)</f>
        <v/>
      </c>
      <c r="G4" s="3" t="inlineStr">
        <is>
          <t>年度想定インプレ
全年曝光(手填)</t>
        </is>
      </c>
      <c r="H4" s="7" t="n">
        <v>5000000</v>
      </c>
      <c r="I4" s="8" t="inlineStr">
        <is>
          <t>※本季度=下方3个月自动合计；全年为手填目标</t>
        </is>
      </c>
    </row>
    <row r="6">
      <c r="A6" s="9" t="inlineStr">
        <is>
          <t>② 四半期（3ヶ月）総括 ／ 季度汇总（自动·简单）</t>
        </is>
      </c>
    </row>
    <row r="7">
      <c r="A7" s="10" t="inlineStr">
        <is>
          <t>指標 / 指标</t>
        </is>
      </c>
      <c r="B7" s="10" t="inlineStr">
        <is>
          <t>8月</t>
        </is>
      </c>
      <c r="C7" s="10" t="inlineStr">
        <is>
          <t>9月</t>
        </is>
      </c>
      <c r="D7" s="10" t="inlineStr">
        <is>
          <t>10月</t>
        </is>
      </c>
      <c r="E7" s="10" t="inlineStr">
        <is>
          <t>合計</t>
        </is>
      </c>
    </row>
    <row r="8">
      <c r="A8" s="11" t="inlineStr">
        <is>
          <t>予算(円) 预算</t>
        </is>
      </c>
      <c r="B8" s="12">
        <f>F30</f>
        <v/>
      </c>
      <c r="C8" s="12">
        <f>F45</f>
        <v/>
      </c>
      <c r="D8" s="12">
        <f>F60</f>
        <v/>
      </c>
      <c r="E8" s="13">
        <f>SUM(B8:D8)</f>
        <v/>
      </c>
    </row>
    <row r="9">
      <c r="A9" s="11" t="inlineStr">
        <is>
          <t>投稿数 篇数</t>
        </is>
      </c>
      <c r="B9" s="14">
        <f>D30</f>
        <v/>
      </c>
      <c r="C9" s="14">
        <f>D45</f>
        <v/>
      </c>
      <c r="D9" s="14">
        <f>D60</f>
        <v/>
      </c>
      <c r="E9" s="15">
        <f>SUM(B9:D9)</f>
        <v/>
      </c>
    </row>
    <row r="10">
      <c r="A10" s="11" t="inlineStr">
        <is>
          <t>想定インプレ 曝光</t>
        </is>
      </c>
      <c r="B10" s="14">
        <f>G30</f>
        <v/>
      </c>
      <c r="C10" s="14">
        <f>G45</f>
        <v/>
      </c>
      <c r="D10" s="14">
        <f>G60</f>
        <v/>
      </c>
      <c r="E10" s="15">
        <f>SUM(B10:D10)</f>
        <v/>
      </c>
    </row>
    <row r="11">
      <c r="A11" s="11" t="inlineStr">
        <is>
          <t>想定エンゲージ 互动</t>
        </is>
      </c>
      <c r="B11" s="14">
        <f>H30</f>
        <v/>
      </c>
      <c r="C11" s="14">
        <f>H45</f>
        <v/>
      </c>
      <c r="D11" s="14">
        <f>H60</f>
        <v/>
      </c>
      <c r="E11" s="15">
        <f>SUM(B11:D11)</f>
        <v/>
      </c>
    </row>
    <row r="12">
      <c r="A12" s="11" t="inlineStr">
        <is>
          <t>CPM(円) 千次曝光成本</t>
        </is>
      </c>
      <c r="B12" s="14">
        <f>IF(B10=0,"",B8/B10*1000)</f>
        <v/>
      </c>
      <c r="C12" s="14">
        <f>IF(C10=0,"",C8/C10*1000)</f>
        <v/>
      </c>
      <c r="D12" s="14">
        <f>IF(D10=0,"",D8/D10*1000)</f>
        <v/>
      </c>
      <c r="E12" s="15">
        <f>IF(E10=0,"",E8/E10*1000)</f>
        <v/>
      </c>
    </row>
    <row r="14">
      <c r="A14" s="16" t="inlineStr">
        <is>
          <t>③ 月別明細 ／ 月度明细（主要·按达人细分，黄色手填/灰色自动）</t>
        </is>
      </c>
    </row>
    <row r="16">
      <c r="A16" s="17" t="inlineStr">
        <is>
          <t>■ 8月 明細</t>
        </is>
      </c>
    </row>
    <row r="17" ht="30" customHeight="1">
      <c r="A17" s="10" t="inlineStr">
        <is>
          <t>アカウント名
账号</t>
        </is>
      </c>
      <c r="B17" s="10" t="inlineStr">
        <is>
          <t>フォロワー層
层级</t>
        </is>
      </c>
      <c r="C17" s="10" t="inlineStr">
        <is>
          <t>投稿形式
形式</t>
        </is>
      </c>
      <c r="D17" s="10" t="inlineStr">
        <is>
          <t>投稿数
篇数</t>
        </is>
      </c>
      <c r="E17" s="10" t="inlineStr">
        <is>
          <t>単価(円)
单价</t>
        </is>
      </c>
      <c r="F17" s="10" t="inlineStr">
        <is>
          <t>支払金額(円)
小计</t>
        </is>
      </c>
      <c r="G17" s="10" t="inlineStr">
        <is>
          <t>想定インプレ
预期曝光</t>
        </is>
      </c>
      <c r="H17" s="10" t="inlineStr">
        <is>
          <t>想定エンゲージ
预期互动</t>
        </is>
      </c>
      <c r="I17" s="10" t="inlineStr">
        <is>
          <t>CPM(円)</t>
        </is>
      </c>
      <c r="J17" s="10" t="inlineStr">
        <is>
          <t>備考
备注</t>
        </is>
      </c>
    </row>
    <row r="18">
      <c r="A18" s="18" t="inlineStr">
        <is>
          <t>欧淋莉</t>
        </is>
      </c>
      <c r="B18" s="19" t="inlineStr">
        <is>
          <t>腰部</t>
        </is>
      </c>
      <c r="C18" s="19" t="inlineStr">
        <is>
          <t>動画(视频)</t>
        </is>
      </c>
      <c r="D18" s="19" t="n">
        <v>1</v>
      </c>
      <c r="E18" s="20" t="n">
        <v>45000</v>
      </c>
      <c r="F18" s="21">
        <f>IF(OR(D18="",E18=""),"",D18*E18)</f>
        <v/>
      </c>
      <c r="G18" s="22" t="n">
        <v>120000</v>
      </c>
      <c r="H18" s="22" t="n">
        <v>3600</v>
      </c>
      <c r="I18" s="23">
        <f>IF(OR(F18="",G18="",G18=0),"",F18/G18*1000)</f>
        <v/>
      </c>
      <c r="J18" s="18" t="inlineStr">
        <is>
          <t>直播同期配合</t>
        </is>
      </c>
    </row>
    <row r="19">
      <c r="A19" s="18" t="inlineStr">
        <is>
          <t>如酱在东京</t>
        </is>
      </c>
      <c r="B19" s="19" t="inlineStr">
        <is>
          <t>腰部</t>
        </is>
      </c>
      <c r="C19" s="19" t="inlineStr">
        <is>
          <t>画像(图文)</t>
        </is>
      </c>
      <c r="D19" s="19" t="n">
        <v>2</v>
      </c>
      <c r="E19" s="20" t="n">
        <v>40000</v>
      </c>
      <c r="F19" s="21">
        <f>IF(OR(D19="",E19=""),"",D19*E19)</f>
        <v/>
      </c>
      <c r="G19" s="22" t="n">
        <v>80000</v>
      </c>
      <c r="H19" s="22" t="n">
        <v>2400</v>
      </c>
      <c r="I19" s="23">
        <f>IF(OR(F19="",G19="",G19=0),"",F19/G19*1000)</f>
        <v/>
      </c>
      <c r="J19" s="18" t="inlineStr"/>
    </row>
    <row r="20">
      <c r="A20" s="18" t="inlineStr">
        <is>
          <t>KOC铺量·多人</t>
        </is>
      </c>
      <c r="B20" s="19" t="inlineStr">
        <is>
          <t>KOC</t>
        </is>
      </c>
      <c r="C20" s="19" t="inlineStr">
        <is>
          <t>画像(图文)</t>
        </is>
      </c>
      <c r="D20" s="19" t="n">
        <v>10</v>
      </c>
      <c r="E20" s="20" t="n">
        <v>5000</v>
      </c>
      <c r="F20" s="21">
        <f>IF(OR(D20="",E20=""),"",D20*E20)</f>
        <v/>
      </c>
      <c r="G20" s="22" t="n">
        <v>12000</v>
      </c>
      <c r="H20" s="22" t="n">
        <v>480</v>
      </c>
      <c r="I20" s="23">
        <f>IF(OR(F20="",G20="",G20=0),"",F20/G20*1000)</f>
        <v/>
      </c>
      <c r="J20" s="18" t="inlineStr">
        <is>
          <t>真实体验铺搜索</t>
        </is>
      </c>
    </row>
    <row r="21">
      <c r="A21" s="18" t="n"/>
      <c r="B21" s="19" t="n"/>
      <c r="C21" s="19" t="n"/>
      <c r="D21" s="19" t="n"/>
      <c r="E21" s="20" t="n"/>
      <c r="F21" s="21">
        <f>IF(OR(D21="",E21=""),"",D21*E21)</f>
        <v/>
      </c>
      <c r="G21" s="22" t="n"/>
      <c r="H21" s="22" t="n"/>
      <c r="I21" s="23">
        <f>IF(OR(F21="",G21="",G21=0),"",F21/G21*1000)</f>
        <v/>
      </c>
      <c r="J21" s="18" t="n"/>
    </row>
    <row r="22">
      <c r="A22" s="18" t="n"/>
      <c r="B22" s="19" t="n"/>
      <c r="C22" s="19" t="n"/>
      <c r="D22" s="19" t="n"/>
      <c r="E22" s="20" t="n"/>
      <c r="F22" s="21">
        <f>IF(OR(D22="",E22=""),"",D22*E22)</f>
        <v/>
      </c>
      <c r="G22" s="22" t="n"/>
      <c r="H22" s="22" t="n"/>
      <c r="I22" s="23">
        <f>IF(OR(F22="",G22="",G22=0),"",F22/G22*1000)</f>
        <v/>
      </c>
      <c r="J22" s="18" t="n"/>
    </row>
    <row r="23">
      <c r="A23" s="18" t="n"/>
      <c r="B23" s="19" t="n"/>
      <c r="C23" s="19" t="n"/>
      <c r="D23" s="19" t="n"/>
      <c r="E23" s="20" t="n"/>
      <c r="F23" s="21">
        <f>IF(OR(D23="",E23=""),"",D23*E23)</f>
        <v/>
      </c>
      <c r="G23" s="22" t="n"/>
      <c r="H23" s="22" t="n"/>
      <c r="I23" s="23">
        <f>IF(OR(F23="",G23="",G23=0),"",F23/G23*1000)</f>
        <v/>
      </c>
      <c r="J23" s="18" t="n"/>
    </row>
    <row r="24">
      <c r="A24" s="18" t="n"/>
      <c r="B24" s="19" t="n"/>
      <c r="C24" s="19" t="n"/>
      <c r="D24" s="19" t="n"/>
      <c r="E24" s="20" t="n"/>
      <c r="F24" s="21">
        <f>IF(OR(D24="",E24=""),"",D24*E24)</f>
        <v/>
      </c>
      <c r="G24" s="22" t="n"/>
      <c r="H24" s="22" t="n"/>
      <c r="I24" s="23">
        <f>IF(OR(F24="",G24="",G24=0),"",F24/G24*1000)</f>
        <v/>
      </c>
      <c r="J24" s="18" t="n"/>
    </row>
    <row r="25">
      <c r="A25" s="18" t="n"/>
      <c r="B25" s="19" t="n"/>
      <c r="C25" s="19" t="n"/>
      <c r="D25" s="19" t="n"/>
      <c r="E25" s="20" t="n"/>
      <c r="F25" s="21">
        <f>IF(OR(D25="",E25=""),"",D25*E25)</f>
        <v/>
      </c>
      <c r="G25" s="22" t="n"/>
      <c r="H25" s="22" t="n"/>
      <c r="I25" s="23">
        <f>IF(OR(F25="",G25="",G25=0),"",F25/G25*1000)</f>
        <v/>
      </c>
      <c r="J25" s="18" t="n"/>
    </row>
    <row r="26">
      <c r="A26" s="18" t="n"/>
      <c r="B26" s="19" t="n"/>
      <c r="C26" s="19" t="n"/>
      <c r="D26" s="19" t="n"/>
      <c r="E26" s="20" t="n"/>
      <c r="F26" s="21">
        <f>IF(OR(D26="",E26=""),"",D26*E26)</f>
        <v/>
      </c>
      <c r="G26" s="22" t="n"/>
      <c r="H26" s="22" t="n"/>
      <c r="I26" s="23">
        <f>IF(OR(F26="",G26="",G26=0),"",F26/G26*1000)</f>
        <v/>
      </c>
      <c r="J26" s="18" t="n"/>
    </row>
    <row r="27">
      <c r="A27" s="18" t="n"/>
      <c r="B27" s="19" t="n"/>
      <c r="C27" s="19" t="n"/>
      <c r="D27" s="19" t="n"/>
      <c r="E27" s="20" t="n"/>
      <c r="F27" s="21">
        <f>IF(OR(D27="",E27=""),"",D27*E27)</f>
        <v/>
      </c>
      <c r="G27" s="22" t="n"/>
      <c r="H27" s="22" t="n"/>
      <c r="I27" s="23">
        <f>IF(OR(F27="",G27="",G27=0),"",F27/G27*1000)</f>
        <v/>
      </c>
      <c r="J27" s="18" t="n"/>
    </row>
    <row r="28">
      <c r="A28" s="18" t="n"/>
      <c r="B28" s="19" t="n"/>
      <c r="C28" s="19" t="n"/>
      <c r="D28" s="19" t="n"/>
      <c r="E28" s="20" t="n"/>
      <c r="F28" s="21">
        <f>IF(OR(D28="",E28=""),"",D28*E28)</f>
        <v/>
      </c>
      <c r="G28" s="22" t="n"/>
      <c r="H28" s="22" t="n"/>
      <c r="I28" s="23">
        <f>IF(OR(F28="",G28="",G28=0),"",F28/G28*1000)</f>
        <v/>
      </c>
      <c r="J28" s="18" t="n"/>
    </row>
    <row r="29">
      <c r="A29" s="18" t="n"/>
      <c r="B29" s="19" t="n"/>
      <c r="C29" s="19" t="n"/>
      <c r="D29" s="19" t="n"/>
      <c r="E29" s="20" t="n"/>
      <c r="F29" s="21">
        <f>IF(OR(D29="",E29=""),"",D29*E29)</f>
        <v/>
      </c>
      <c r="G29" s="22" t="n"/>
      <c r="H29" s="22" t="n"/>
      <c r="I29" s="23">
        <f>IF(OR(F29="",G29="",G29=0),"",F29/G29*1000)</f>
        <v/>
      </c>
      <c r="J29" s="18" t="n"/>
    </row>
    <row r="30">
      <c r="A30" s="24" t="inlineStr">
        <is>
          <t>8月 月計 / 月合计</t>
        </is>
      </c>
      <c r="B30" s="25" t="n"/>
      <c r="C30" s="25" t="n"/>
      <c r="D30" s="26">
        <f>SUM(D18:D29)</f>
        <v/>
      </c>
      <c r="E30" s="25" t="n"/>
      <c r="F30" s="27">
        <f>SUM(F18:F29)</f>
        <v/>
      </c>
      <c r="G30" s="26">
        <f>SUM(G18:G29)</f>
        <v/>
      </c>
      <c r="H30" s="26">
        <f>SUM(H18:H29)</f>
        <v/>
      </c>
      <c r="I30" s="26">
        <f>IF(G30=0,"",F30/G30*1000)</f>
        <v/>
      </c>
      <c r="J30" s="25" t="n"/>
    </row>
    <row r="31">
      <c r="A31" s="17" t="inlineStr">
        <is>
          <t>■ 9月 明細</t>
        </is>
      </c>
    </row>
    <row r="32" ht="30" customHeight="1">
      <c r="A32" s="10" t="inlineStr">
        <is>
          <t>アカウント名
账号</t>
        </is>
      </c>
      <c r="B32" s="10" t="inlineStr">
        <is>
          <t>フォロワー層
层级</t>
        </is>
      </c>
      <c r="C32" s="10" t="inlineStr">
        <is>
          <t>投稿形式
形式</t>
        </is>
      </c>
      <c r="D32" s="10" t="inlineStr">
        <is>
          <t>投稿数
篇数</t>
        </is>
      </c>
      <c r="E32" s="10" t="inlineStr">
        <is>
          <t>単価(円)
单价</t>
        </is>
      </c>
      <c r="F32" s="10" t="inlineStr">
        <is>
          <t>支払金額(円)
小计</t>
        </is>
      </c>
      <c r="G32" s="10" t="inlineStr">
        <is>
          <t>想定インプレ
预期曝光</t>
        </is>
      </c>
      <c r="H32" s="10" t="inlineStr">
        <is>
          <t>想定エンゲージ
预期互动</t>
        </is>
      </c>
      <c r="I32" s="10" t="inlineStr">
        <is>
          <t>CPM(円)</t>
        </is>
      </c>
      <c r="J32" s="10" t="inlineStr">
        <is>
          <t>備考
备注</t>
        </is>
      </c>
    </row>
    <row r="33">
      <c r="A33" s="18" t="inlineStr">
        <is>
          <t>单眼皮的妮可</t>
        </is>
      </c>
      <c r="B33" s="19" t="inlineStr">
        <is>
          <t>KOC</t>
        </is>
      </c>
      <c r="C33" s="19" t="inlineStr">
        <is>
          <t>画像(图文)</t>
        </is>
      </c>
      <c r="D33" s="19" t="n">
        <v>3</v>
      </c>
      <c r="E33" s="20" t="n">
        <v>5000</v>
      </c>
      <c r="F33" s="21">
        <f>IF(OR(D33="",E33=""),"",D33*E33)</f>
        <v/>
      </c>
      <c r="G33" s="22" t="n">
        <v>15000</v>
      </c>
      <c r="H33" s="22" t="n">
        <v>600</v>
      </c>
      <c r="I33" s="23">
        <f>IF(OR(F33="",G33="",G33=0),"",F33/G33*1000)</f>
        <v/>
      </c>
      <c r="J33" s="18" t="inlineStr"/>
    </row>
    <row r="34">
      <c r="A34" s="18" t="inlineStr">
        <is>
          <t>(头部造势·待定)</t>
        </is>
      </c>
      <c r="B34" s="19" t="inlineStr">
        <is>
          <t>頭部</t>
        </is>
      </c>
      <c r="C34" s="19" t="inlineStr">
        <is>
          <t>動画(视频)</t>
        </is>
      </c>
      <c r="D34" s="19" t="n">
        <v>1</v>
      </c>
      <c r="E34" s="20" t="n">
        <v>200000</v>
      </c>
      <c r="F34" s="21">
        <f>IF(OR(D34="",E34=""),"",D34*E34)</f>
        <v/>
      </c>
      <c r="G34" s="22" t="n">
        <v>300000</v>
      </c>
      <c r="H34" s="22" t="n">
        <v>9000</v>
      </c>
      <c r="I34" s="23">
        <f>IF(OR(F34="",G34="",G34=0),"",F34/G34*1000)</f>
        <v/>
      </c>
      <c r="J34" s="18" t="inlineStr">
        <is>
          <t>造势</t>
        </is>
      </c>
    </row>
    <row r="35">
      <c r="A35" s="18" t="inlineStr">
        <is>
          <t>腰部攻略</t>
        </is>
      </c>
      <c r="B35" s="19" t="inlineStr">
        <is>
          <t>腰部</t>
        </is>
      </c>
      <c r="C35" s="19" t="inlineStr">
        <is>
          <t>画像(图文)</t>
        </is>
      </c>
      <c r="D35" s="19" t="n">
        <v>2</v>
      </c>
      <c r="E35" s="20" t="n">
        <v>45000</v>
      </c>
      <c r="F35" s="21">
        <f>IF(OR(D35="",E35=""),"",D35*E35)</f>
        <v/>
      </c>
      <c r="G35" s="22" t="n">
        <v>90000</v>
      </c>
      <c r="H35" s="22" t="n">
        <v>2700</v>
      </c>
      <c r="I35" s="23">
        <f>IF(OR(F35="",G35="",G35=0),"",F35/G35*1000)</f>
        <v/>
      </c>
      <c r="J35" s="18" t="inlineStr"/>
    </row>
    <row r="36">
      <c r="A36" s="18" t="n"/>
      <c r="B36" s="19" t="n"/>
      <c r="C36" s="19" t="n"/>
      <c r="D36" s="19" t="n"/>
      <c r="E36" s="20" t="n"/>
      <c r="F36" s="21">
        <f>IF(OR(D36="",E36=""),"",D36*E36)</f>
        <v/>
      </c>
      <c r="G36" s="22" t="n"/>
      <c r="H36" s="22" t="n"/>
      <c r="I36" s="23">
        <f>IF(OR(F36="",G36="",G36=0),"",F36/G36*1000)</f>
        <v/>
      </c>
      <c r="J36" s="18" t="n"/>
    </row>
    <row r="37">
      <c r="A37" s="18" t="n"/>
      <c r="B37" s="19" t="n"/>
      <c r="C37" s="19" t="n"/>
      <c r="D37" s="19" t="n"/>
      <c r="E37" s="20" t="n"/>
      <c r="F37" s="21">
        <f>IF(OR(D37="",E37=""),"",D37*E37)</f>
        <v/>
      </c>
      <c r="G37" s="22" t="n"/>
      <c r="H37" s="22" t="n"/>
      <c r="I37" s="23">
        <f>IF(OR(F37="",G37="",G37=0),"",F37/G37*1000)</f>
        <v/>
      </c>
      <c r="J37" s="18" t="n"/>
    </row>
    <row r="38">
      <c r="A38" s="18" t="n"/>
      <c r="B38" s="19" t="n"/>
      <c r="C38" s="19" t="n"/>
      <c r="D38" s="19" t="n"/>
      <c r="E38" s="20" t="n"/>
      <c r="F38" s="21">
        <f>IF(OR(D38="",E38=""),"",D38*E38)</f>
        <v/>
      </c>
      <c r="G38" s="22" t="n"/>
      <c r="H38" s="22" t="n"/>
      <c r="I38" s="23">
        <f>IF(OR(F38="",G38="",G38=0),"",F38/G38*1000)</f>
        <v/>
      </c>
      <c r="J38" s="18" t="n"/>
    </row>
    <row r="39">
      <c r="A39" s="18" t="n"/>
      <c r="B39" s="19" t="n"/>
      <c r="C39" s="19" t="n"/>
      <c r="D39" s="19" t="n"/>
      <c r="E39" s="20" t="n"/>
      <c r="F39" s="21">
        <f>IF(OR(D39="",E39=""),"",D39*E39)</f>
        <v/>
      </c>
      <c r="G39" s="22" t="n"/>
      <c r="H39" s="22" t="n"/>
      <c r="I39" s="23">
        <f>IF(OR(F39="",G39="",G39=0),"",F39/G39*1000)</f>
        <v/>
      </c>
      <c r="J39" s="18" t="n"/>
    </row>
    <row r="40">
      <c r="A40" s="18" t="n"/>
      <c r="B40" s="19" t="n"/>
      <c r="C40" s="19" t="n"/>
      <c r="D40" s="19" t="n"/>
      <c r="E40" s="20" t="n"/>
      <c r="F40" s="21">
        <f>IF(OR(D40="",E40=""),"",D40*E40)</f>
        <v/>
      </c>
      <c r="G40" s="22" t="n"/>
      <c r="H40" s="22" t="n"/>
      <c r="I40" s="23">
        <f>IF(OR(F40="",G40="",G40=0),"",F40/G40*1000)</f>
        <v/>
      </c>
      <c r="J40" s="18" t="n"/>
    </row>
    <row r="41">
      <c r="A41" s="18" t="n"/>
      <c r="B41" s="19" t="n"/>
      <c r="C41" s="19" t="n"/>
      <c r="D41" s="19" t="n"/>
      <c r="E41" s="20" t="n"/>
      <c r="F41" s="21">
        <f>IF(OR(D41="",E41=""),"",D41*E41)</f>
        <v/>
      </c>
      <c r="G41" s="22" t="n"/>
      <c r="H41" s="22" t="n"/>
      <c r="I41" s="23">
        <f>IF(OR(F41="",G41="",G41=0),"",F41/G41*1000)</f>
        <v/>
      </c>
      <c r="J41" s="18" t="n"/>
    </row>
    <row r="42">
      <c r="A42" s="18" t="n"/>
      <c r="B42" s="19" t="n"/>
      <c r="C42" s="19" t="n"/>
      <c r="D42" s="19" t="n"/>
      <c r="E42" s="20" t="n"/>
      <c r="F42" s="21">
        <f>IF(OR(D42="",E42=""),"",D42*E42)</f>
        <v/>
      </c>
      <c r="G42" s="22" t="n"/>
      <c r="H42" s="22" t="n"/>
      <c r="I42" s="23">
        <f>IF(OR(F42="",G42="",G42=0),"",F42/G42*1000)</f>
        <v/>
      </c>
      <c r="J42" s="18" t="n"/>
    </row>
    <row r="43">
      <c r="A43" s="18" t="n"/>
      <c r="B43" s="19" t="n"/>
      <c r="C43" s="19" t="n"/>
      <c r="D43" s="19" t="n"/>
      <c r="E43" s="20" t="n"/>
      <c r="F43" s="21">
        <f>IF(OR(D43="",E43=""),"",D43*E43)</f>
        <v/>
      </c>
      <c r="G43" s="22" t="n"/>
      <c r="H43" s="22" t="n"/>
      <c r="I43" s="23">
        <f>IF(OR(F43="",G43="",G43=0),"",F43/G43*1000)</f>
        <v/>
      </c>
      <c r="J43" s="18" t="n"/>
    </row>
    <row r="44">
      <c r="A44" s="18" t="n"/>
      <c r="B44" s="19" t="n"/>
      <c r="C44" s="19" t="n"/>
      <c r="D44" s="19" t="n"/>
      <c r="E44" s="20" t="n"/>
      <c r="F44" s="21">
        <f>IF(OR(D44="",E44=""),"",D44*E44)</f>
        <v/>
      </c>
      <c r="G44" s="22" t="n"/>
      <c r="H44" s="22" t="n"/>
      <c r="I44" s="23">
        <f>IF(OR(F44="",G44="",G44=0),"",F44/G44*1000)</f>
        <v/>
      </c>
      <c r="J44" s="18" t="n"/>
    </row>
    <row r="45">
      <c r="A45" s="24" t="inlineStr">
        <is>
          <t>9月 月計 / 月合计</t>
        </is>
      </c>
      <c r="B45" s="25" t="n"/>
      <c r="C45" s="25" t="n"/>
      <c r="D45" s="26">
        <f>SUM(D33:D44)</f>
        <v/>
      </c>
      <c r="E45" s="25" t="n"/>
      <c r="F45" s="27">
        <f>SUM(F33:F44)</f>
        <v/>
      </c>
      <c r="G45" s="26">
        <f>SUM(G33:G44)</f>
        <v/>
      </c>
      <c r="H45" s="26">
        <f>SUM(H33:H44)</f>
        <v/>
      </c>
      <c r="I45" s="26">
        <f>IF(G45=0,"",F45/G45*1000)</f>
        <v/>
      </c>
      <c r="J45" s="25" t="n"/>
    </row>
    <row r="46">
      <c r="A46" s="17" t="inlineStr">
        <is>
          <t>■ 10月 明細</t>
        </is>
      </c>
    </row>
    <row r="47" ht="30" customHeight="1">
      <c r="A47" s="10" t="inlineStr">
        <is>
          <t>アカウント名
账号</t>
        </is>
      </c>
      <c r="B47" s="10" t="inlineStr">
        <is>
          <t>フォロワー層
层级</t>
        </is>
      </c>
      <c r="C47" s="10" t="inlineStr">
        <is>
          <t>投稿形式
形式</t>
        </is>
      </c>
      <c r="D47" s="10" t="inlineStr">
        <is>
          <t>投稿数
篇数</t>
        </is>
      </c>
      <c r="E47" s="10" t="inlineStr">
        <is>
          <t>単価(円)
单价</t>
        </is>
      </c>
      <c r="F47" s="10" t="inlineStr">
        <is>
          <t>支払金額(円)
小计</t>
        </is>
      </c>
      <c r="G47" s="10" t="inlineStr">
        <is>
          <t>想定インプレ
预期曝光</t>
        </is>
      </c>
      <c r="H47" s="10" t="inlineStr">
        <is>
          <t>想定エンゲージ
预期互动</t>
        </is>
      </c>
      <c r="I47" s="10" t="inlineStr">
        <is>
          <t>CPM(円)</t>
        </is>
      </c>
      <c r="J47" s="10" t="inlineStr">
        <is>
          <t>備考
备注</t>
        </is>
      </c>
    </row>
    <row r="48">
      <c r="A48" s="18" t="inlineStr">
        <is>
          <t>KOC铺量·多人</t>
        </is>
      </c>
      <c r="B48" s="19" t="inlineStr">
        <is>
          <t>KOC</t>
        </is>
      </c>
      <c r="C48" s="19" t="inlineStr">
        <is>
          <t>画像(图文)</t>
        </is>
      </c>
      <c r="D48" s="19" t="n">
        <v>15</v>
      </c>
      <c r="E48" s="20" t="n">
        <v>5000</v>
      </c>
      <c r="F48" s="21">
        <f>IF(OR(D48="",E48=""),"",D48*E48)</f>
        <v/>
      </c>
      <c r="G48" s="22" t="n">
        <v>12000</v>
      </c>
      <c r="H48" s="22" t="n">
        <v>480</v>
      </c>
      <c r="I48" s="23">
        <f>IF(OR(F48="",G48="",G48=0),"",F48/G48*1000)</f>
        <v/>
      </c>
      <c r="J48" s="18" t="inlineStr">
        <is>
          <t>双11蓄水</t>
        </is>
      </c>
    </row>
    <row r="49">
      <c r="A49" s="18" t="inlineStr">
        <is>
          <t>腰部攻略</t>
        </is>
      </c>
      <c r="B49" s="19" t="inlineStr">
        <is>
          <t>腰部</t>
        </is>
      </c>
      <c r="C49" s="19" t="inlineStr">
        <is>
          <t>画像(图文)</t>
        </is>
      </c>
      <c r="D49" s="19" t="n">
        <v>2</v>
      </c>
      <c r="E49" s="20" t="n">
        <v>45000</v>
      </c>
      <c r="F49" s="21">
        <f>IF(OR(D49="",E49=""),"",D49*E49)</f>
        <v/>
      </c>
      <c r="G49" s="22" t="n">
        <v>90000</v>
      </c>
      <c r="H49" s="22" t="n">
        <v>2700</v>
      </c>
      <c r="I49" s="23">
        <f>IF(OR(F49="",G49="",G49=0),"",F49/G49*1000)</f>
        <v/>
      </c>
      <c r="J49" s="18" t="inlineStr"/>
    </row>
    <row r="50">
      <c r="A50" s="18" t="n"/>
      <c r="B50" s="19" t="n"/>
      <c r="C50" s="19" t="n"/>
      <c r="D50" s="19" t="n"/>
      <c r="E50" s="20" t="n"/>
      <c r="F50" s="21">
        <f>IF(OR(D50="",E50=""),"",D50*E50)</f>
        <v/>
      </c>
      <c r="G50" s="22" t="n"/>
      <c r="H50" s="22" t="n"/>
      <c r="I50" s="23">
        <f>IF(OR(F50="",G50="",G50=0),"",F50/G50*1000)</f>
        <v/>
      </c>
      <c r="J50" s="18" t="n"/>
    </row>
    <row r="51">
      <c r="A51" s="18" t="n"/>
      <c r="B51" s="19" t="n"/>
      <c r="C51" s="19" t="n"/>
      <c r="D51" s="19" t="n"/>
      <c r="E51" s="20" t="n"/>
      <c r="F51" s="21">
        <f>IF(OR(D51="",E51=""),"",D51*E51)</f>
        <v/>
      </c>
      <c r="G51" s="22" t="n"/>
      <c r="H51" s="22" t="n"/>
      <c r="I51" s="23">
        <f>IF(OR(F51="",G51="",G51=0),"",F51/G51*1000)</f>
        <v/>
      </c>
      <c r="J51" s="18" t="n"/>
    </row>
    <row r="52">
      <c r="A52" s="18" t="n"/>
      <c r="B52" s="19" t="n"/>
      <c r="C52" s="19" t="n"/>
      <c r="D52" s="19" t="n"/>
      <c r="E52" s="20" t="n"/>
      <c r="F52" s="21">
        <f>IF(OR(D52="",E52=""),"",D52*E52)</f>
        <v/>
      </c>
      <c r="G52" s="22" t="n"/>
      <c r="H52" s="22" t="n"/>
      <c r="I52" s="23">
        <f>IF(OR(F52="",G52="",G52=0),"",F52/G52*1000)</f>
        <v/>
      </c>
      <c r="J52" s="18" t="n"/>
    </row>
    <row r="53">
      <c r="A53" s="18" t="n"/>
      <c r="B53" s="19" t="n"/>
      <c r="C53" s="19" t="n"/>
      <c r="D53" s="19" t="n"/>
      <c r="E53" s="20" t="n"/>
      <c r="F53" s="21">
        <f>IF(OR(D53="",E53=""),"",D53*E53)</f>
        <v/>
      </c>
      <c r="G53" s="22" t="n"/>
      <c r="H53" s="22" t="n"/>
      <c r="I53" s="23">
        <f>IF(OR(F53="",G53="",G53=0),"",F53/G53*1000)</f>
        <v/>
      </c>
      <c r="J53" s="18" t="n"/>
    </row>
    <row r="54">
      <c r="A54" s="18" t="n"/>
      <c r="B54" s="19" t="n"/>
      <c r="C54" s="19" t="n"/>
      <c r="D54" s="19" t="n"/>
      <c r="E54" s="20" t="n"/>
      <c r="F54" s="21">
        <f>IF(OR(D54="",E54=""),"",D54*E54)</f>
        <v/>
      </c>
      <c r="G54" s="22" t="n"/>
      <c r="H54" s="22" t="n"/>
      <c r="I54" s="23">
        <f>IF(OR(F54="",G54="",G54=0),"",F54/G54*1000)</f>
        <v/>
      </c>
      <c r="J54" s="18" t="n"/>
    </row>
    <row r="55">
      <c r="A55" s="18" t="n"/>
      <c r="B55" s="19" t="n"/>
      <c r="C55" s="19" t="n"/>
      <c r="D55" s="19" t="n"/>
      <c r="E55" s="20" t="n"/>
      <c r="F55" s="21">
        <f>IF(OR(D55="",E55=""),"",D55*E55)</f>
        <v/>
      </c>
      <c r="G55" s="22" t="n"/>
      <c r="H55" s="22" t="n"/>
      <c r="I55" s="23">
        <f>IF(OR(F55="",G55="",G55=0),"",F55/G55*1000)</f>
        <v/>
      </c>
      <c r="J55" s="18" t="n"/>
    </row>
    <row r="56">
      <c r="A56" s="18" t="n"/>
      <c r="B56" s="19" t="n"/>
      <c r="C56" s="19" t="n"/>
      <c r="D56" s="19" t="n"/>
      <c r="E56" s="20" t="n"/>
      <c r="F56" s="21">
        <f>IF(OR(D56="",E56=""),"",D56*E56)</f>
        <v/>
      </c>
      <c r="G56" s="22" t="n"/>
      <c r="H56" s="22" t="n"/>
      <c r="I56" s="23">
        <f>IF(OR(F56="",G56="",G56=0),"",F56/G56*1000)</f>
        <v/>
      </c>
      <c r="J56" s="18" t="n"/>
    </row>
    <row r="57">
      <c r="A57" s="18" t="n"/>
      <c r="B57" s="19" t="n"/>
      <c r="C57" s="19" t="n"/>
      <c r="D57" s="19" t="n"/>
      <c r="E57" s="20" t="n"/>
      <c r="F57" s="21">
        <f>IF(OR(D57="",E57=""),"",D57*E57)</f>
        <v/>
      </c>
      <c r="G57" s="22" t="n"/>
      <c r="H57" s="22" t="n"/>
      <c r="I57" s="23">
        <f>IF(OR(F57="",G57="",G57=0),"",F57/G57*1000)</f>
        <v/>
      </c>
      <c r="J57" s="18" t="n"/>
    </row>
    <row r="58">
      <c r="A58" s="18" t="n"/>
      <c r="B58" s="19" t="n"/>
      <c r="C58" s="19" t="n"/>
      <c r="D58" s="19" t="n"/>
      <c r="E58" s="20" t="n"/>
      <c r="F58" s="21">
        <f>IF(OR(D58="",E58=""),"",D58*E58)</f>
        <v/>
      </c>
      <c r="G58" s="22" t="n"/>
      <c r="H58" s="22" t="n"/>
      <c r="I58" s="23">
        <f>IF(OR(F58="",G58="",G58=0),"",F58/G58*1000)</f>
        <v/>
      </c>
      <c r="J58" s="18" t="n"/>
    </row>
    <row r="59">
      <c r="A59" s="18" t="n"/>
      <c r="B59" s="19" t="n"/>
      <c r="C59" s="19" t="n"/>
      <c r="D59" s="19" t="n"/>
      <c r="E59" s="20" t="n"/>
      <c r="F59" s="21">
        <f>IF(OR(D59="",E59=""),"",D59*E59)</f>
        <v/>
      </c>
      <c r="G59" s="22" t="n"/>
      <c r="H59" s="22" t="n"/>
      <c r="I59" s="23">
        <f>IF(OR(F59="",G59="",G59=0),"",F59/G59*1000)</f>
        <v/>
      </c>
      <c r="J59" s="18" t="n"/>
    </row>
    <row r="60">
      <c r="A60" s="24" t="inlineStr">
        <is>
          <t>10月 月計 / 月合计</t>
        </is>
      </c>
      <c r="B60" s="25" t="n"/>
      <c r="C60" s="25" t="n"/>
      <c r="D60" s="26">
        <f>SUM(D48:D59)</f>
        <v/>
      </c>
      <c r="E60" s="25" t="n"/>
      <c r="F60" s="27">
        <f>SUM(F48:F59)</f>
        <v/>
      </c>
      <c r="G60" s="26">
        <f>SUM(G48:G59)</f>
        <v/>
      </c>
      <c r="H60" s="26">
        <f>SUM(H48:H59)</f>
        <v/>
      </c>
      <c r="I60" s="26">
        <f>IF(G60=0,"",F60/G60*1000)</f>
        <v/>
      </c>
      <c r="J60" s="25" t="n"/>
    </row>
  </sheetData>
  <mergeCells count="8">
    <mergeCell ref="A1:J1"/>
    <mergeCell ref="A46:J46"/>
    <mergeCell ref="I4:J4"/>
    <mergeCell ref="A14:J14"/>
    <mergeCell ref="A31:J31"/>
    <mergeCell ref="A6:J6"/>
    <mergeCell ref="A3:J3"/>
    <mergeCell ref="A16:J16"/>
  </mergeCells>
  <dataValidations count="6">
    <dataValidation sqref="B18:B29" showDropDown="0" showInputMessage="0" showErrorMessage="0" allowBlank="1" type="list">
      <formula1>"頭部,腰部,尾部,KOC"</formula1>
    </dataValidation>
    <dataValidation sqref="C18:C29" showDropDown="0" showInputMessage="0" showErrorMessage="0" allowBlank="1" type="list">
      <formula1>"画像(图文),動画(视频)"</formula1>
    </dataValidation>
    <dataValidation sqref="B33:B44" showDropDown="0" showInputMessage="0" showErrorMessage="0" allowBlank="1" type="list">
      <formula1>"頭部,腰部,尾部,KOC"</formula1>
    </dataValidation>
    <dataValidation sqref="C33:C44" showDropDown="0" showInputMessage="0" showErrorMessage="0" allowBlank="1" type="list">
      <formula1>"画像(图文),動画(视频)"</formula1>
    </dataValidation>
    <dataValidation sqref="B48:B59" showDropDown="0" showInputMessage="0" showErrorMessage="0" allowBlank="1" type="list">
      <formula1>"頭部,腰部,尾部,KOC"</formula1>
    </dataValidation>
    <dataValidation sqref="C48:C59" showDropDown="0" showInputMessage="0" showErrorMessage="0" allowBlank="1" type="list">
      <formula1>"画像(图文),動画(视频)"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2026-08-06T03:16:13Z</dcterms:created>
  <dcterms:modified xmlns:dcterms="http://purl.org/dc/terms/" xmlns:xsi="http://www.w3.org/2001/XMLSchema-instance" xsi:type="dcterms:W3CDTF">2026-08-06T03:16:13Z</dcterms:modified>
</cp:coreProperties>
</file>