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小紅書ノート予算配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¥#,##0.0"/>
  </numFmts>
  <fonts count="10">
    <font>
      <name val="Calibri"/>
      <family val="2"/>
      <color theme="1"/>
      <sz val="11"/>
      <scheme val="minor"/>
    </font>
    <font>
      <name val="Microsoft YaHei"/>
      <b val="1"/>
      <color rgb="00375623"/>
      <sz val="14"/>
    </font>
    <font>
      <name val="Microsoft YaHei"/>
      <b val="1"/>
      <color rgb="00375623"/>
      <sz val="9"/>
    </font>
    <font>
      <name val="Microsoft YaHei"/>
      <b val="1"/>
      <color rgb="001F3864"/>
      <sz val="14"/>
    </font>
    <font>
      <name val="Microsoft YaHei"/>
      <b val="1"/>
      <color rgb="00FFFFFF"/>
      <sz val="9"/>
    </font>
    <font>
      <name val="Microsoft YaHei"/>
      <color rgb="00000000"/>
      <sz val="10"/>
    </font>
    <font>
      <name val="Microsoft YaHei"/>
      <b val="1"/>
      <color rgb="00375623"/>
      <sz val="11"/>
    </font>
    <font>
      <name val="Microsoft YaHei"/>
      <b val="1"/>
      <color rgb="00000000"/>
      <sz val="11"/>
    </font>
    <font>
      <name val="Microsoft YaHei"/>
      <b val="1"/>
      <color rgb="00375623"/>
      <sz val="10"/>
    </font>
    <font>
      <name val="Microsoft YaHei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A9C47F"/>
      </patternFill>
    </fill>
    <fill>
      <patternFill patternType="solid">
        <fgColor rgb="00FFFDE7"/>
      </patternFill>
    </fill>
    <fill>
      <patternFill patternType="solid">
        <fgColor rgb="00F2F2F2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7C9A8"/>
      </left>
      <right style="thin">
        <color rgb="00B7C9A8"/>
      </right>
      <top style="thin">
        <color rgb="00B7C9A8"/>
      </top>
      <bottom style="thin">
        <color rgb="00B7C9A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164" fontId="7" fillId="6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8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22" customWidth="1" min="10" max="10"/>
  </cols>
  <sheetData>
    <row r="1" ht="26" customHeight="1">
      <c r="A1" s="1" t="inlineStr">
        <is>
          <t>小紅書 ノート(種草)予算配分 ／ 小红书笔记种草预算分配 —— Sakuranomori · Q1</t>
        </is>
      </c>
    </row>
    <row r="2" ht="26" customHeight="1">
      <c r="A2" s="2" t="inlineStr">
        <is>
          <t>ノート総予算
笔记总预算(円)</t>
        </is>
      </c>
      <c r="C2" s="2" t="inlineStr">
        <is>
          <t>総投稿数
总篇数</t>
        </is>
      </c>
      <c r="E2" s="2" t="inlineStr">
        <is>
          <t>想定総インプレ
预期总曝光</t>
        </is>
      </c>
      <c r="G2" s="2" t="inlineStr">
        <is>
          <t>平均CPM(円)
千次曝光成本</t>
        </is>
      </c>
    </row>
    <row r="3" ht="24" customHeight="1">
      <c r="A3" s="3">
        <f>F26</f>
        <v/>
      </c>
      <c r="C3" s="4">
        <f>D26</f>
        <v/>
      </c>
      <c r="E3" s="4">
        <f>G26</f>
        <v/>
      </c>
      <c r="G3" s="5">
        <f>IF(G26=0,"",F26/G26*1000)</f>
        <v/>
      </c>
    </row>
    <row r="5" ht="32" customHeight="1">
      <c r="A5" s="6" t="inlineStr">
        <is>
          <t>アカウント名
账号</t>
        </is>
      </c>
      <c r="B5" s="6" t="inlineStr">
        <is>
          <t>フォロワー層
粉丝层级</t>
        </is>
      </c>
      <c r="C5" s="6" t="inlineStr">
        <is>
          <t>投稿形式
形式</t>
        </is>
      </c>
      <c r="D5" s="6" t="inlineStr">
        <is>
          <t>投稿数
篇数</t>
        </is>
      </c>
      <c r="E5" s="6" t="inlineStr">
        <is>
          <t>単価(円)
单篇稿费</t>
        </is>
      </c>
      <c r="F5" s="6" t="inlineStr">
        <is>
          <t>支払金額(円)
小计</t>
        </is>
      </c>
      <c r="G5" s="6" t="inlineStr">
        <is>
          <t>想定インプレ
预期曝光</t>
        </is>
      </c>
      <c r="H5" s="6" t="inlineStr">
        <is>
          <t>想定エンゲージ
预期互动</t>
        </is>
      </c>
      <c r="I5" s="6" t="inlineStr">
        <is>
          <t>CPM(円)
千次曝光成本</t>
        </is>
      </c>
      <c r="J5" s="6" t="inlineStr">
        <is>
          <t>備考
备注</t>
        </is>
      </c>
    </row>
    <row r="6">
      <c r="A6" s="7" t="inlineStr">
        <is>
          <t>欧淋莉</t>
        </is>
      </c>
      <c r="B6" s="8" t="inlineStr">
        <is>
          <t>腰部</t>
        </is>
      </c>
      <c r="C6" s="8" t="inlineStr">
        <is>
          <t>動画(视频)</t>
        </is>
      </c>
      <c r="D6" s="8" t="n">
        <v>1</v>
      </c>
      <c r="E6" s="9" t="n">
        <v>45000</v>
      </c>
      <c r="F6" s="10">
        <f>IF(OR(D6="",E6=""),"",D6*E6)</f>
        <v/>
      </c>
      <c r="G6" s="11" t="n">
        <v>120000</v>
      </c>
      <c r="H6" s="11" t="n">
        <v>3600</v>
      </c>
      <c r="I6" s="12">
        <f>IF(OR(F6="",G6="",G6=0),"",F6/G6*1000)</f>
        <v/>
      </c>
      <c r="J6" s="7" t="inlineStr">
        <is>
          <t>直播档同期配合1条种草</t>
        </is>
      </c>
    </row>
    <row r="7">
      <c r="A7" s="7" t="inlineStr">
        <is>
          <t>如酱在东京</t>
        </is>
      </c>
      <c r="B7" s="8" t="inlineStr">
        <is>
          <t>腰部</t>
        </is>
      </c>
      <c r="C7" s="8" t="inlineStr">
        <is>
          <t>画像(图文)</t>
        </is>
      </c>
      <c r="D7" s="8" t="n">
        <v>2</v>
      </c>
      <c r="E7" s="9" t="n">
        <v>40000</v>
      </c>
      <c r="F7" s="10">
        <f>IF(OR(D7="",E7=""),"",D7*E7)</f>
        <v/>
      </c>
      <c r="G7" s="11" t="n">
        <v>80000</v>
      </c>
      <c r="H7" s="11" t="n">
        <v>2400</v>
      </c>
      <c r="I7" s="12">
        <f>IF(OR(F7="",G7="",G7=0),"",F7/G7*1000)</f>
        <v/>
      </c>
      <c r="J7" s="7" t="inlineStr"/>
    </row>
    <row r="8">
      <c r="A8" s="7" t="inlineStr">
        <is>
          <t>单眼皮的妮可</t>
        </is>
      </c>
      <c r="B8" s="8" t="inlineStr">
        <is>
          <t>KOC</t>
        </is>
      </c>
      <c r="C8" s="8" t="inlineStr">
        <is>
          <t>画像(图文)</t>
        </is>
      </c>
      <c r="D8" s="8" t="n">
        <v>3</v>
      </c>
      <c r="E8" s="9" t="n">
        <v>5000</v>
      </c>
      <c r="F8" s="10">
        <f>IF(OR(D8="",E8=""),"",D8*E8)</f>
        <v/>
      </c>
      <c r="G8" s="11" t="n">
        <v>15000</v>
      </c>
      <c r="H8" s="11" t="n">
        <v>600</v>
      </c>
      <c r="I8" s="12">
        <f>IF(OR(F8="",G8="",G8=0),"",F8/G8*1000)</f>
        <v/>
      </c>
      <c r="J8" s="7" t="inlineStr"/>
    </row>
    <row r="9">
      <c r="A9" s="7" t="inlineStr">
        <is>
          <t>(头部造势·待定)</t>
        </is>
      </c>
      <c r="B9" s="8" t="inlineStr">
        <is>
          <t>頭部</t>
        </is>
      </c>
      <c r="C9" s="8" t="inlineStr">
        <is>
          <t>動画(视频)</t>
        </is>
      </c>
      <c r="D9" s="8" t="n">
        <v>1</v>
      </c>
      <c r="E9" s="9" t="n">
        <v>200000</v>
      </c>
      <c r="F9" s="10">
        <f>IF(OR(D9="",E9=""),"",D9*E9)</f>
        <v/>
      </c>
      <c r="G9" s="11" t="n">
        <v>300000</v>
      </c>
      <c r="H9" s="11" t="n">
        <v>9000</v>
      </c>
      <c r="I9" s="12">
        <f>IF(OR(F9="",G9="",G9=0),"",F9/G9*1000)</f>
        <v/>
      </c>
      <c r="J9" s="7" t="inlineStr">
        <is>
          <t>10月双11前造势</t>
        </is>
      </c>
    </row>
    <row r="10">
      <c r="A10" s="7" t="inlineStr">
        <is>
          <t>KOC铺量·多人</t>
        </is>
      </c>
      <c r="B10" s="8" t="inlineStr">
        <is>
          <t>KOC</t>
        </is>
      </c>
      <c r="C10" s="8" t="inlineStr">
        <is>
          <t>画像(图文)</t>
        </is>
      </c>
      <c r="D10" s="8" t="n">
        <v>20</v>
      </c>
      <c r="E10" s="9" t="n">
        <v>5000</v>
      </c>
      <c r="F10" s="10">
        <f>IF(OR(D10="",E10=""),"",D10*E10)</f>
        <v/>
      </c>
      <c r="G10" s="11" t="n">
        <v>12000</v>
      </c>
      <c r="H10" s="11" t="n">
        <v>480</v>
      </c>
      <c r="I10" s="12">
        <f>IF(OR(F10="",G10="",G10=0),"",F10/G10*1000)</f>
        <v/>
      </c>
      <c r="J10" s="7" t="inlineStr">
        <is>
          <t>真实体验铺搜索</t>
        </is>
      </c>
    </row>
    <row r="11">
      <c r="A11" s="7" t="n"/>
      <c r="B11" s="8" t="n"/>
      <c r="C11" s="8" t="n"/>
      <c r="D11" s="8" t="n"/>
      <c r="E11" s="9" t="n"/>
      <c r="F11" s="10">
        <f>IF(OR(D11="",E11=""),"",D11*E11)</f>
        <v/>
      </c>
      <c r="G11" s="11" t="n"/>
      <c r="H11" s="11" t="n"/>
      <c r="I11" s="12">
        <f>IF(OR(F11="",G11="",G11=0),"",F11/G11*1000)</f>
        <v/>
      </c>
      <c r="J11" s="7" t="n"/>
    </row>
    <row r="12">
      <c r="A12" s="7" t="n"/>
      <c r="B12" s="8" t="n"/>
      <c r="C12" s="8" t="n"/>
      <c r="D12" s="8" t="n"/>
      <c r="E12" s="9" t="n"/>
      <c r="F12" s="10">
        <f>IF(OR(D12="",E12=""),"",D12*E12)</f>
        <v/>
      </c>
      <c r="G12" s="11" t="n"/>
      <c r="H12" s="11" t="n"/>
      <c r="I12" s="12">
        <f>IF(OR(F12="",G12="",G12=0),"",F12/G12*1000)</f>
        <v/>
      </c>
      <c r="J12" s="7" t="n"/>
    </row>
    <row r="13">
      <c r="A13" s="7" t="n"/>
      <c r="B13" s="8" t="n"/>
      <c r="C13" s="8" t="n"/>
      <c r="D13" s="8" t="n"/>
      <c r="E13" s="9" t="n"/>
      <c r="F13" s="10">
        <f>IF(OR(D13="",E13=""),"",D13*E13)</f>
        <v/>
      </c>
      <c r="G13" s="11" t="n"/>
      <c r="H13" s="11" t="n"/>
      <c r="I13" s="12">
        <f>IF(OR(F13="",G13="",G13=0),"",F13/G13*1000)</f>
        <v/>
      </c>
      <c r="J13" s="7" t="n"/>
    </row>
    <row r="14">
      <c r="A14" s="7" t="n"/>
      <c r="B14" s="8" t="n"/>
      <c r="C14" s="8" t="n"/>
      <c r="D14" s="8" t="n"/>
      <c r="E14" s="9" t="n"/>
      <c r="F14" s="10">
        <f>IF(OR(D14="",E14=""),"",D14*E14)</f>
        <v/>
      </c>
      <c r="G14" s="11" t="n"/>
      <c r="H14" s="11" t="n"/>
      <c r="I14" s="12">
        <f>IF(OR(F14="",G14="",G14=0),"",F14/G14*1000)</f>
        <v/>
      </c>
      <c r="J14" s="7" t="n"/>
    </row>
    <row r="15">
      <c r="A15" s="7" t="n"/>
      <c r="B15" s="8" t="n"/>
      <c r="C15" s="8" t="n"/>
      <c r="D15" s="8" t="n"/>
      <c r="E15" s="9" t="n"/>
      <c r="F15" s="10">
        <f>IF(OR(D15="",E15=""),"",D15*E15)</f>
        <v/>
      </c>
      <c r="G15" s="11" t="n"/>
      <c r="H15" s="11" t="n"/>
      <c r="I15" s="12">
        <f>IF(OR(F15="",G15="",G15=0),"",F15/G15*1000)</f>
        <v/>
      </c>
      <c r="J15" s="7" t="n"/>
    </row>
    <row r="16">
      <c r="A16" s="7" t="n"/>
      <c r="B16" s="8" t="n"/>
      <c r="C16" s="8" t="n"/>
      <c r="D16" s="8" t="n"/>
      <c r="E16" s="9" t="n"/>
      <c r="F16" s="10">
        <f>IF(OR(D16="",E16=""),"",D16*E16)</f>
        <v/>
      </c>
      <c r="G16" s="11" t="n"/>
      <c r="H16" s="11" t="n"/>
      <c r="I16" s="12">
        <f>IF(OR(F16="",G16="",G16=0),"",F16/G16*1000)</f>
        <v/>
      </c>
      <c r="J16" s="7" t="n"/>
    </row>
    <row r="17">
      <c r="A17" s="7" t="n"/>
      <c r="B17" s="8" t="n"/>
      <c r="C17" s="8" t="n"/>
      <c r="D17" s="8" t="n"/>
      <c r="E17" s="9" t="n"/>
      <c r="F17" s="10">
        <f>IF(OR(D17="",E17=""),"",D17*E17)</f>
        <v/>
      </c>
      <c r="G17" s="11" t="n"/>
      <c r="H17" s="11" t="n"/>
      <c r="I17" s="12">
        <f>IF(OR(F17="",G17="",G17=0),"",F17/G17*1000)</f>
        <v/>
      </c>
      <c r="J17" s="7" t="n"/>
    </row>
    <row r="18">
      <c r="A18" s="7" t="n"/>
      <c r="B18" s="8" t="n"/>
      <c r="C18" s="8" t="n"/>
      <c r="D18" s="8" t="n"/>
      <c r="E18" s="9" t="n"/>
      <c r="F18" s="10">
        <f>IF(OR(D18="",E18=""),"",D18*E18)</f>
        <v/>
      </c>
      <c r="G18" s="11" t="n"/>
      <c r="H18" s="11" t="n"/>
      <c r="I18" s="12">
        <f>IF(OR(F18="",G18="",G18=0),"",F18/G18*1000)</f>
        <v/>
      </c>
      <c r="J18" s="7" t="n"/>
    </row>
    <row r="19">
      <c r="A19" s="7" t="n"/>
      <c r="B19" s="8" t="n"/>
      <c r="C19" s="8" t="n"/>
      <c r="D19" s="8" t="n"/>
      <c r="E19" s="9" t="n"/>
      <c r="F19" s="10">
        <f>IF(OR(D19="",E19=""),"",D19*E19)</f>
        <v/>
      </c>
      <c r="G19" s="11" t="n"/>
      <c r="H19" s="11" t="n"/>
      <c r="I19" s="12">
        <f>IF(OR(F19="",G19="",G19=0),"",F19/G19*1000)</f>
        <v/>
      </c>
      <c r="J19" s="7" t="n"/>
    </row>
    <row r="20">
      <c r="A20" s="7" t="n"/>
      <c r="B20" s="8" t="n"/>
      <c r="C20" s="8" t="n"/>
      <c r="D20" s="8" t="n"/>
      <c r="E20" s="9" t="n"/>
      <c r="F20" s="10">
        <f>IF(OR(D20="",E20=""),"",D20*E20)</f>
        <v/>
      </c>
      <c r="G20" s="11" t="n"/>
      <c r="H20" s="11" t="n"/>
      <c r="I20" s="12">
        <f>IF(OR(F20="",G20="",G20=0),"",F20/G20*1000)</f>
        <v/>
      </c>
      <c r="J20" s="7" t="n"/>
    </row>
    <row r="21">
      <c r="A21" s="7" t="n"/>
      <c r="B21" s="8" t="n"/>
      <c r="C21" s="8" t="n"/>
      <c r="D21" s="8" t="n"/>
      <c r="E21" s="9" t="n"/>
      <c r="F21" s="10">
        <f>IF(OR(D21="",E21=""),"",D21*E21)</f>
        <v/>
      </c>
      <c r="G21" s="11" t="n"/>
      <c r="H21" s="11" t="n"/>
      <c r="I21" s="12">
        <f>IF(OR(F21="",G21="",G21=0),"",F21/G21*1000)</f>
        <v/>
      </c>
      <c r="J21" s="7" t="n"/>
    </row>
    <row r="22">
      <c r="A22" s="7" t="n"/>
      <c r="B22" s="8" t="n"/>
      <c r="C22" s="8" t="n"/>
      <c r="D22" s="8" t="n"/>
      <c r="E22" s="9" t="n"/>
      <c r="F22" s="10">
        <f>IF(OR(D22="",E22=""),"",D22*E22)</f>
        <v/>
      </c>
      <c r="G22" s="11" t="n"/>
      <c r="H22" s="11" t="n"/>
      <c r="I22" s="12">
        <f>IF(OR(F22="",G22="",G22=0),"",F22/G22*1000)</f>
        <v/>
      </c>
      <c r="J22" s="7" t="n"/>
    </row>
    <row r="23">
      <c r="A23" s="7" t="n"/>
      <c r="B23" s="8" t="n"/>
      <c r="C23" s="8" t="n"/>
      <c r="D23" s="8" t="n"/>
      <c r="E23" s="9" t="n"/>
      <c r="F23" s="10">
        <f>IF(OR(D23="",E23=""),"",D23*E23)</f>
        <v/>
      </c>
      <c r="G23" s="11" t="n"/>
      <c r="H23" s="11" t="n"/>
      <c r="I23" s="12">
        <f>IF(OR(F23="",G23="",G23=0),"",F23/G23*1000)</f>
        <v/>
      </c>
      <c r="J23" s="7" t="n"/>
    </row>
    <row r="24">
      <c r="A24" s="7" t="n"/>
      <c r="B24" s="8" t="n"/>
      <c r="C24" s="8" t="n"/>
      <c r="D24" s="8" t="n"/>
      <c r="E24" s="9" t="n"/>
      <c r="F24" s="10">
        <f>IF(OR(D24="",E24=""),"",D24*E24)</f>
        <v/>
      </c>
      <c r="G24" s="11" t="n"/>
      <c r="H24" s="11" t="n"/>
      <c r="I24" s="12">
        <f>IF(OR(F24="",G24="",G24=0),"",F24/G24*1000)</f>
        <v/>
      </c>
      <c r="J24" s="7" t="n"/>
    </row>
    <row r="25">
      <c r="A25" s="7" t="n"/>
      <c r="B25" s="8" t="n"/>
      <c r="C25" s="8" t="n"/>
      <c r="D25" s="8" t="n"/>
      <c r="E25" s="9" t="n"/>
      <c r="F25" s="10">
        <f>IF(OR(D25="",E25=""),"",D25*E25)</f>
        <v/>
      </c>
      <c r="G25" s="11" t="n"/>
      <c r="H25" s="11" t="n"/>
      <c r="I25" s="12">
        <f>IF(OR(F25="",G25="",G25=0),"",F25/G25*1000)</f>
        <v/>
      </c>
      <c r="J25" s="7" t="n"/>
    </row>
    <row r="26">
      <c r="A26" s="13" t="inlineStr">
        <is>
          <t>合計 ／ 合计</t>
        </is>
      </c>
      <c r="B26" s="14" t="n"/>
      <c r="C26" s="14" t="n"/>
      <c r="D26" s="14">
        <f>SUM(D6:D25)</f>
        <v/>
      </c>
      <c r="E26" s="14" t="n"/>
      <c r="F26" s="15">
        <f>SUM(F6:F25)</f>
        <v/>
      </c>
      <c r="G26" s="16">
        <f>SUM(G6:G25)</f>
        <v/>
      </c>
      <c r="H26" s="16">
        <f>SUM(H6:H25)</f>
        <v/>
      </c>
      <c r="I26" s="16">
        <f>IF(G26=0,"",F26/G26*1000)</f>
        <v/>
      </c>
      <c r="J26" s="14" t="n"/>
    </row>
    <row r="28">
      <c r="A28" s="17" t="inlineStr">
        <is>
          <t>填写说明 / 記入方法</t>
        </is>
      </c>
    </row>
    <row r="29">
      <c r="A29" s="18" t="inlineStr">
        <is>
          <t>· 黄色格=手填(账号/层级/形式/篇数/単価/预期曝光/预期互动)；灰色格=自动(小计/CPM)。</t>
        </is>
      </c>
    </row>
    <row r="30">
      <c r="A30" s="18" t="inlineStr">
        <is>
          <t>· 支払金額(小计)=単価×投稿数；CPM=支払金額÷曝光×1000(千次曝光成本，越低越划算)。</t>
        </is>
      </c>
    </row>
    <row r="31">
      <c r="A31" s="18" t="inlineStr">
        <is>
          <t>· 顶部四个大数(总预算/总篇数/预期总曝光/平均CPM)随下方明细自动更新。</t>
        </is>
      </c>
    </row>
    <row r="32">
      <c r="A32" s="18" t="inlineStr">
        <is>
          <t>· 想定インプレ/エンゲージ=预估曝光/互动，签约前按达人历史均值填；投后可回填实际值对比。</t>
        </is>
      </c>
    </row>
    <row r="33">
      <c r="A33" s="18" t="inlineStr">
        <is>
          <t>· 数字均为日元(¥)。示例行请替换为真实数据。</t>
        </is>
      </c>
    </row>
  </sheetData>
  <mergeCells count="9">
    <mergeCell ref="A1:J1"/>
    <mergeCell ref="A2:B2"/>
    <mergeCell ref="C2:D2"/>
    <mergeCell ref="G2:H2"/>
    <mergeCell ref="E2:F2"/>
    <mergeCell ref="C3:D3"/>
    <mergeCell ref="A3:B3"/>
    <mergeCell ref="G3:H3"/>
    <mergeCell ref="E3:F3"/>
  </mergeCells>
  <dataValidations count="2">
    <dataValidation sqref="B6:B25" showDropDown="0" showInputMessage="0" showErrorMessage="0" allowBlank="1" type="list">
      <formula1>"頭部,腰部,尾部,KOC"</formula1>
    </dataValidation>
    <dataValidation sqref="C6:C25" showDropDown="0" showInputMessage="0" showErrorMessage="0" allowBlank="1" type="list">
      <formula1>"画像(图文),動画(视频)"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2026-08-06T03:08:31Z</dcterms:created>
  <dcterms:modified xmlns:dcterms="http://purl.org/dc/terms/" xmlns:xsi="http://www.w3.org/2001/XMLSchema-instance" xsi:type="dcterms:W3CDTF">2026-08-06T03:08:31Z</dcterms:modified>
</cp:coreProperties>
</file>