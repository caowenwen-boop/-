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付款区分表(按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2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000000"/>
      <sz val="8"/>
    </font>
    <font>
      <name val="Microsoft YaHei"/>
      <color rgb="00000000"/>
      <sz val="9"/>
    </font>
    <font>
      <name val="Microsoft YaHei"/>
      <b val="1"/>
      <color rgb="00000000"/>
      <sz val="9.5"/>
    </font>
    <font>
      <name val="Microsoft YaHei"/>
      <b val="1"/>
      <color rgb="00000000"/>
      <sz val="10.5"/>
    </font>
    <font>
      <name val="Microsoft YaHei"/>
      <b val="1"/>
      <color rgb="00000000"/>
      <sz val="10"/>
    </font>
    <font>
      <name val="Microsoft YaHei"/>
      <color rgb="00000000"/>
      <sz val="10"/>
    </font>
    <font>
      <name val="Microsoft YaHei"/>
      <color rgb="00000000"/>
      <sz val="10.5"/>
    </font>
    <font>
      <name val="Microsoft YaHei"/>
      <color rgb="00000000"/>
      <sz val="9.5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5FA"/>
      </patternFill>
    </fill>
    <fill>
      <patternFill patternType="solid">
        <fgColor rgb="00FFFDE7"/>
      </patternFill>
    </fill>
    <fill>
      <patternFill patternType="solid">
        <fgColor rgb="00DCEAF7"/>
      </patternFill>
    </fill>
    <fill>
      <patternFill patternType="solid">
        <fgColor rgb="00FCE7D6"/>
      </patternFill>
    </fill>
    <fill>
      <patternFill patternType="solid">
        <fgColor rgb="00F5F6F8"/>
      </patternFill>
    </fill>
    <fill>
      <patternFill patternType="solid">
        <fgColor rgb="00FFF6E6"/>
      </patternFill>
    </fill>
    <fill>
      <patternFill patternType="solid">
        <fgColor rgb="00FFE9A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6" customWidth="1" min="4" max="4"/>
    <col width="13" customWidth="1" min="5" max="5"/>
    <col width="15" customWidth="1" min="6" max="6"/>
    <col width="34" customWidth="1" min="7" max="7"/>
  </cols>
  <sheetData>
    <row r="1" ht="26" customHeight="1">
      <c r="A1" s="1" t="inlineStr">
        <is>
          <t>8–10月 小红書ノート種草予算 · 付款方式区分表（按月 · 品牌方一次申请）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為替 1元＝</t>
        </is>
      </c>
      <c r="B2" s="4" t="n">
        <v>24</v>
      </c>
      <c r="C2" s="5" t="inlineStr">
        <is>
          <t>円（CNY按此自动换算，可改）</t>
        </is>
      </c>
      <c r="D2" s="6" t="n"/>
      <c r="E2" s="6" t="n"/>
      <c r="F2" s="6" t="n"/>
      <c r="G2" s="6" t="n"/>
    </row>
    <row r="3" ht="56" customHeight="1">
      <c r="A3" s="7" t="inlineStr">
        <is>
          <t>本次申请 8–10月。付款分两种方式：① 充值蒲公英/小红书后台（品牌方【线上充值】）；② 贵司垫付（品牌方【后补汇款】给贵司）。特殊：8月蒲公英账户【尚未充值】，8月的 KOC 报备费用 7.5万日元先由【贵司垫付】，品牌方后续凭【请求书】汇款给贵司；9月起蒲公英【已充值到位】，全部走平台充值，【不再需要垫付】。</t>
        </is>
      </c>
      <c r="B3" s="8" t="n"/>
      <c r="C3" s="8" t="n"/>
      <c r="D3" s="8" t="n"/>
      <c r="E3" s="8" t="n"/>
      <c r="F3" s="8" t="n"/>
      <c r="G3" s="8" t="n"/>
    </row>
    <row r="4" ht="6" customHeight="1"/>
    <row r="5" ht="34" customHeight="1">
      <c r="A5" s="9" t="inlineStr">
        <is>
          <t>月份</t>
        </is>
      </c>
      <c r="B5" s="10" t="inlineStr">
        <is>
          <t>① 充值蒲公英(JPY)
品牌方线上充值</t>
        </is>
      </c>
      <c r="C5" s="10" t="inlineStr">
        <is>
          <t>① CNY</t>
        </is>
      </c>
      <c r="D5" s="11" t="inlineStr">
        <is>
          <t>② 贵司垫付(JPY)
品牌方后补汇款</t>
        </is>
      </c>
      <c r="E5" s="11" t="inlineStr">
        <is>
          <t>② CNY</t>
        </is>
      </c>
      <c r="F5" s="9" t="inlineStr">
        <is>
          <t>当月合计(JPY)</t>
        </is>
      </c>
      <c r="G5" s="9" t="inlineStr">
        <is>
          <t>备注</t>
        </is>
      </c>
    </row>
    <row r="6" ht="30" customHeight="1">
      <c r="A6" s="12" t="inlineStr">
        <is>
          <t>8月</t>
        </is>
      </c>
      <c r="B6" s="13" t="n"/>
      <c r="C6" s="14">
        <f>IF(B6="","",B6/$B$2)</f>
        <v/>
      </c>
      <c r="D6" s="15" t="n">
        <v>75000</v>
      </c>
      <c r="E6" s="14">
        <f>IF(D6="","",D6/$B$2)</f>
        <v/>
      </c>
      <c r="F6" s="16">
        <f>IF(SUM(B6,D6)=0,"",SUM(B6,D6))</f>
        <v/>
      </c>
      <c r="G6" s="17" t="inlineStr">
        <is>
          <t>蒲公英未充值：8月 KOC 报备费 7.5万日元由贵司垫付</t>
        </is>
      </c>
    </row>
    <row r="7" ht="30" customHeight="1">
      <c r="A7" s="12" t="inlineStr">
        <is>
          <t>9月</t>
        </is>
      </c>
      <c r="B7" s="13" t="n"/>
      <c r="C7" s="14">
        <f>IF(B7="","",B7/$B$2)</f>
        <v/>
      </c>
      <c r="D7" s="18" t="n">
        <v>0</v>
      </c>
      <c r="E7" s="14">
        <f>IF(D7="","",D7/$B$2)</f>
        <v/>
      </c>
      <c r="F7" s="16">
        <f>IF(SUM(B7,D7)=0,"",SUM(B7,D7))</f>
        <v/>
      </c>
      <c r="G7" s="17" t="inlineStr">
        <is>
          <t>蒲公英已充值，全部走平台充值，无需垫付</t>
        </is>
      </c>
    </row>
    <row r="8" ht="30" customHeight="1">
      <c r="A8" s="12" t="inlineStr">
        <is>
          <t>10月</t>
        </is>
      </c>
      <c r="B8" s="13" t="n"/>
      <c r="C8" s="14">
        <f>IF(B8="","",B8/$B$2)</f>
        <v/>
      </c>
      <c r="D8" s="18" t="n">
        <v>0</v>
      </c>
      <c r="E8" s="14">
        <f>IF(D8="","",D8/$B$2)</f>
        <v/>
      </c>
      <c r="F8" s="16">
        <f>IF(SUM(B8,D8)=0,"",SUM(B8,D8))</f>
        <v/>
      </c>
      <c r="G8" s="17" t="inlineStr">
        <is>
          <t>同上，无需垫付</t>
        </is>
      </c>
    </row>
    <row r="9" ht="24" customHeight="1">
      <c r="A9" s="19" t="inlineStr">
        <is>
          <t>合計</t>
        </is>
      </c>
      <c r="B9" s="20">
        <f>IF(SUM(B6:B8)=0,"",SUM(B6:B8))</f>
        <v/>
      </c>
      <c r="C9" s="20">
        <f>IF(B9="","",B9/$B$2)</f>
        <v/>
      </c>
      <c r="D9" s="20">
        <f>IF(SUM(D6:D8)=0,"",SUM(D6:D8))</f>
        <v/>
      </c>
      <c r="E9" s="20">
        <f>IF(D9="","",D9/$B$2)</f>
        <v/>
      </c>
      <c r="F9" s="20">
        <f>IF(SUM(F6:F8)=0,"",SUM(F6:F8))</f>
        <v/>
      </c>
      <c r="G9" s="21" t="n"/>
    </row>
    <row r="10" ht="6" customHeight="1"/>
    <row r="11" ht="22" customHeight="1">
      <c r="A11" s="22" t="inlineStr">
        <is>
          <t>小结 · 品牌方本次怎么打款</t>
        </is>
      </c>
      <c r="B11" s="2" t="n"/>
      <c r="C11" s="2" t="n"/>
      <c r="D11" s="2" t="n"/>
      <c r="E11" s="2" t="n"/>
      <c r="F11" s="2" t="n"/>
      <c r="G11" s="2" t="n"/>
    </row>
    <row r="12" ht="24" customHeight="1">
      <c r="A12" s="23" t="inlineStr">
        <is>
          <t>① 充值蒲公英/小红书（线上充值）</t>
        </is>
      </c>
      <c r="B12" s="24">
        <f>IF(B9="","",B9)</f>
        <v/>
      </c>
      <c r="C12" s="8" t="n"/>
      <c r="D12" s="24">
        <f>IF(B9="","",B9/$B$2)</f>
        <v/>
      </c>
      <c r="E12" s="8" t="n"/>
      <c r="F12" s="7" t="inlineStr">
        <is>
          <t>品牌方在小红书后台在线充值（8/9/10月充值额合计）</t>
        </is>
      </c>
      <c r="G12" s="8" t="n"/>
    </row>
    <row r="13" ht="24" customHeight="1">
      <c r="A13" s="23" t="inlineStr">
        <is>
          <t>② 汇款给贵司（垫付补款·仅8月）</t>
        </is>
      </c>
      <c r="B13" s="24">
        <f>IF(D9="","",D9)</f>
        <v/>
      </c>
      <c r="C13" s="8" t="n"/>
      <c r="D13" s="24">
        <f>IF(D9="","",D9/$B$2)</f>
        <v/>
      </c>
      <c r="E13" s="8" t="n"/>
      <c r="F13" s="7" t="inlineStr">
        <is>
          <t>贵司8月已垫付7.5万日元，品牌方凭请求书汇款给贵司</t>
        </is>
      </c>
      <c r="G13" s="8" t="n"/>
    </row>
    <row r="14" ht="24" customHeight="1">
      <c r="A14" s="25" t="inlineStr">
        <is>
          <t>品牌方本次合计（①+②）</t>
        </is>
      </c>
      <c r="B14" s="26">
        <f>IF(F9="","",F9)</f>
        <v/>
      </c>
      <c r="C14" s="21" t="n"/>
      <c r="D14" s="26">
        <f>IF(F9="","",F9/$B$2)</f>
        <v/>
      </c>
      <c r="E14" s="21" t="n"/>
      <c r="F14" s="27" t="inlineStr">
        <is>
          <t>一次申请总额；分两笔到账：一笔充值、一笔汇贵司</t>
        </is>
      </c>
      <c r="G14" s="21" t="n"/>
    </row>
    <row r="15" ht="6" customHeight="1"/>
    <row r="16" ht="22" customHeight="1">
      <c r="A16" s="22" t="inlineStr">
        <is>
          <t>付款流程 / お支払いの流れ</t>
        </is>
      </c>
      <c r="B16" s="2" t="n"/>
      <c r="C16" s="2" t="n"/>
      <c r="D16" s="2" t="n"/>
      <c r="E16" s="2" t="n"/>
      <c r="F16" s="2" t="n"/>
      <c r="G16" s="2" t="n"/>
    </row>
    <row r="17" ht="22" customHeight="1">
      <c r="A17" s="28" t="inlineStr">
        <is>
          <t>① 充值：品牌方 → 小红书/蒲公英后台【在线充值】广告预算（对应上表①合计）。</t>
        </is>
      </c>
      <c r="B17" s="6" t="n"/>
      <c r="C17" s="6" t="n"/>
      <c r="D17" s="6" t="n"/>
      <c r="E17" s="6" t="n"/>
      <c r="F17" s="6" t="n"/>
      <c r="G17" s="6" t="n"/>
    </row>
    <row r="18" ht="22" customHeight="1">
      <c r="A18" s="28" t="inlineStr">
        <is>
          <t>② 垫付补款（仅8月）：贵司8月先垫付 KOC 报备费 7.5万日元 → 品牌方凭【请求书】【银行汇款】给贵司。</t>
        </is>
      </c>
      <c r="B18" s="6" t="n"/>
      <c r="C18" s="6" t="n"/>
      <c r="D18" s="6" t="n"/>
      <c r="E18" s="6" t="n"/>
      <c r="F18" s="6" t="n"/>
      <c r="G18" s="6" t="n"/>
    </row>
    <row r="19" ht="22" customHeight="1">
      <c r="A19" s="28" t="inlineStr">
        <is>
          <t>③ 9–10月：蒲公英已充值到位，KOC 费用直接走平台充值，不再需要贵司垫付。</t>
        </is>
      </c>
      <c r="B19" s="6" t="n"/>
      <c r="C19" s="6" t="n"/>
      <c r="D19" s="6" t="n"/>
      <c r="E19" s="6" t="n"/>
      <c r="F19" s="6" t="n"/>
      <c r="G19" s="6" t="n"/>
    </row>
  </sheetData>
  <mergeCells count="17">
    <mergeCell ref="B13:C13"/>
    <mergeCell ref="F12:G12"/>
    <mergeCell ref="A1:G1"/>
    <mergeCell ref="A17:G17"/>
    <mergeCell ref="A18:G18"/>
    <mergeCell ref="A3:G3"/>
    <mergeCell ref="C2:G2"/>
    <mergeCell ref="D13:E13"/>
    <mergeCell ref="D14:E14"/>
    <mergeCell ref="B14:C14"/>
    <mergeCell ref="A16:G16"/>
    <mergeCell ref="F14:G14"/>
    <mergeCell ref="F13:G13"/>
    <mergeCell ref="A19:G19"/>
    <mergeCell ref="A11:G11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2026-08-10T11:35:08Z</dcterms:created>
  <dcterms:modified xmlns:dcterms="http://purl.org/dc/terms/" xmlns:xsi="http://www.w3.org/2001/XMLSchema-instance" xsi:type="dcterms:W3CDTF">2026-08-10T11:35:08Z</dcterms:modified>
</cp:coreProperties>
</file>