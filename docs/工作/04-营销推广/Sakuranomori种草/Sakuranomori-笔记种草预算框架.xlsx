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种草预算框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%"/>
  </numFmts>
  <fonts count="13">
    <font>
      <name val="Calibri"/>
      <family val="2"/>
      <color theme="1"/>
      <sz val="11"/>
      <scheme val="minor"/>
    </font>
    <font>
      <name val="Microsoft YaHei"/>
      <b val="1"/>
      <color rgb="00375623"/>
      <sz val="14"/>
    </font>
    <font>
      <name val="Microsoft YaHei"/>
      <b val="1"/>
      <color rgb="00375623"/>
      <sz val="9"/>
    </font>
    <font>
      <name val="Microsoft YaHei"/>
      <b val="1"/>
      <color rgb="00000000"/>
      <sz val="11"/>
    </font>
    <font>
      <name val="Microsoft YaHei"/>
      <color rgb="00808080"/>
      <sz val="8"/>
    </font>
    <font>
      <name val="Microsoft YaHei"/>
      <b val="1"/>
      <color rgb="00375623"/>
      <sz val="12"/>
    </font>
    <font>
      <name val="Microsoft YaHei"/>
      <b val="1"/>
      <color rgb="00FFFFFF"/>
      <sz val="9.5"/>
    </font>
    <font>
      <name val="Microsoft YaHei"/>
      <b val="1"/>
      <color rgb="00000000"/>
      <sz val="10"/>
    </font>
    <font>
      <name val="Microsoft YaHei"/>
      <color rgb="00595959"/>
      <sz val="9"/>
    </font>
    <font>
      <name val="Microsoft YaHei"/>
      <b val="1"/>
      <color rgb="00375623"/>
      <sz val="11"/>
    </font>
    <font>
      <name val="Microsoft YaHei"/>
      <b val="1"/>
      <color rgb="00375623"/>
      <sz val="10.5"/>
    </font>
    <font>
      <name val="Microsoft YaHei"/>
      <b val="1"/>
      <color rgb="00000000"/>
      <sz val="10.5"/>
    </font>
    <font>
      <name val="Microsoft YaHei"/>
      <color rgb="00000000"/>
      <sz val="9.5"/>
    </font>
  </fonts>
  <fills count="8">
    <fill>
      <patternFill/>
    </fill>
    <fill>
      <patternFill patternType="gray125"/>
    </fill>
    <fill>
      <patternFill patternType="solid">
        <fgColor rgb="00FFFDE7"/>
      </patternFill>
    </fill>
    <fill>
      <patternFill patternType="solid">
        <fgColor rgb="00D6E4C4"/>
      </patternFill>
    </fill>
    <fill>
      <patternFill patternType="solid">
        <fgColor rgb="00A9C47F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7C9A8"/>
      </left>
      <right style="thin">
        <color rgb="00B7C9A8"/>
      </right>
      <top style="thin">
        <color rgb="00B7C9A8"/>
      </top>
      <bottom style="thin">
        <color rgb="00B7C9A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164" fontId="0" fillId="2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164" fontId="3" fillId="7" borderId="1" applyAlignment="1" pivotButton="0" quotePrefix="0" xfId="0">
      <alignment horizontal="center" vertical="center" wrapText="1"/>
    </xf>
    <xf numFmtId="165" fontId="3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0" fillId="7" borderId="1" applyAlignment="1" pivotButton="0" quotePrefix="0" xfId="0">
      <alignment horizontal="left" vertical="center" wrapText="1"/>
    </xf>
    <xf numFmtId="164" fontId="11" fillId="7" borderId="1" applyAlignment="1" pivotButton="0" quotePrefix="0" xfId="0">
      <alignment horizontal="center" vertical="center" wrapText="1"/>
    </xf>
    <xf numFmtId="3" fontId="0" fillId="2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3" fontId="11" fillId="7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3" fontId="12" fillId="2" borderId="1" applyAlignment="1" pivotButton="0" quotePrefix="0" xfId="0">
      <alignment horizontal="center" vertical="center" wrapText="1"/>
    </xf>
    <xf numFmtId="164" fontId="12" fillId="2" borderId="1" applyAlignment="1" pivotButton="0" quotePrefix="0" xfId="0">
      <alignment horizontal="center" vertical="center" wrapText="1"/>
    </xf>
    <xf numFmtId="164" fontId="12" fillId="6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1" customWidth="1" min="4" max="4"/>
    <col width="13" customWidth="1" min="5" max="5"/>
    <col width="13" customWidth="1" min="6" max="6"/>
    <col width="13" customWidth="1" min="7" max="7"/>
    <col width="12" customWidth="1" min="8" max="8"/>
    <col width="18" customWidth="1" min="9" max="9"/>
  </cols>
  <sheetData>
    <row r="1" ht="24" customHeight="1">
      <c r="A1" s="1" t="inlineStr">
        <is>
          <t>小紅書 ノート(種草)予算 ／ 小红书笔记种草预算框架 —— Sakuranomori</t>
        </is>
      </c>
      <c r="G1" s="2" t="inlineStr">
        <is>
          <t>為替 1元＝</t>
        </is>
      </c>
      <c r="H1" s="3" t="n">
        <v>24</v>
      </c>
      <c r="I1" s="4" t="inlineStr">
        <is>
          <t>円（可改·CNY按此自动换算）</t>
        </is>
      </c>
    </row>
    <row r="3" ht="22" customHeight="1">
      <c r="A3" s="5" t="inlineStr">
        <is>
          <t>① 用途别 予算総括 ／ 按「用途」拆分（品牌方最想看：钱分成哪几类）</t>
        </is>
      </c>
    </row>
    <row r="4" ht="26" customHeight="1">
      <c r="A4" s="6" t="inlineStr">
        <is>
          <t>用途 / 用途</t>
        </is>
      </c>
      <c r="B4" s="6" t="inlineStr">
        <is>
          <t>予算(JPY)</t>
        </is>
      </c>
      <c r="C4" s="6" t="inlineStr">
        <is>
          <t>予算(CNY)</t>
        </is>
      </c>
      <c r="D4" s="6" t="inlineStr">
        <is>
          <t>占比</t>
        </is>
      </c>
      <c r="E4" s="6" t="inlineStr">
        <is>
          <t>说明</t>
        </is>
      </c>
    </row>
    <row r="5">
      <c r="A5" s="7" t="inlineStr">
        <is>
          <t>記事単独（纯笔记稿费）</t>
        </is>
      </c>
      <c r="B5" s="8" t="n"/>
      <c r="C5" s="9">
        <f>IF(B5="","",B5/$H$1)</f>
        <v/>
      </c>
      <c r="D5" s="10">
        <f>IF(OR(B5="",$B$8=0),"",B5/$B$8)</f>
        <v/>
      </c>
      <c r="E5" s="11" t="inlineStr">
        <is>
          <t>独立种草笔记的达人稿费，不绑直播</t>
        </is>
      </c>
    </row>
    <row r="6">
      <c r="A6" s="7" t="inlineStr">
        <is>
          <t>ライブ抱き合わせ投稿（直播绑定笔记）</t>
        </is>
      </c>
      <c r="B6" s="8" t="n"/>
      <c r="C6" s="9">
        <f>IF(B6="","",B6/$H$1)</f>
        <v/>
      </c>
      <c r="D6" s="10">
        <f>IF(OR(B6="",$B$8=0),"",B6/$B$8)</f>
        <v/>
      </c>
      <c r="E6" s="11" t="inlineStr">
        <is>
          <t>配合直播档期的笔记稿费</t>
        </is>
      </c>
    </row>
    <row r="7">
      <c r="A7" s="7" t="inlineStr">
        <is>
          <t>その他（风险保证金・运费・拍单等）</t>
        </is>
      </c>
      <c r="B7" s="8" t="n"/>
      <c r="C7" s="9">
        <f>IF(B7="","",B7/$H$1)</f>
        <v/>
      </c>
      <c r="D7" s="10">
        <f>IF(OR(B7="",$B$8=0),"",B7/$B$8)</f>
        <v/>
      </c>
      <c r="E7" s="11" t="inlineStr">
        <is>
          <t>非稿费类杂费</t>
        </is>
      </c>
    </row>
    <row r="8">
      <c r="A8" s="12" t="inlineStr">
        <is>
          <t>合計 / 合计</t>
        </is>
      </c>
      <c r="B8" s="13">
        <f>SUM(B5:B7)</f>
        <v/>
      </c>
      <c r="C8" s="13">
        <f>IF(B8="","",B8/$H$1)</f>
        <v/>
      </c>
      <c r="D8" s="14">
        <f>IF(B8=0,"",1)</f>
        <v/>
      </c>
      <c r="E8" s="15" t="n"/>
    </row>
    <row r="10" ht="22" customHeight="1">
      <c r="A10" s="5" t="inlineStr">
        <is>
          <t>② 月 × 用途 明细 ／ 每月每类花多少（JPY，CNY自动）</t>
        </is>
      </c>
    </row>
    <row r="11" ht="26" customHeight="1">
      <c r="A11" s="6" t="inlineStr">
        <is>
          <t>用途 ＼ 月</t>
        </is>
      </c>
      <c r="B11" s="6" t="inlineStr">
        <is>
          <t>8月</t>
        </is>
      </c>
      <c r="C11" s="6" t="inlineStr">
        <is>
          <t>9月</t>
        </is>
      </c>
      <c r="D11" s="6" t="inlineStr">
        <is>
          <t>10月</t>
        </is>
      </c>
      <c r="E11" s="6" t="inlineStr">
        <is>
          <t>11月</t>
        </is>
      </c>
      <c r="F11" s="6" t="inlineStr">
        <is>
          <t>合計(JPY)</t>
        </is>
      </c>
      <c r="G11" s="6" t="inlineStr">
        <is>
          <t>合計(CNY)</t>
        </is>
      </c>
    </row>
    <row r="12">
      <c r="A12" s="7" t="inlineStr">
        <is>
          <t>記事単独</t>
        </is>
      </c>
      <c r="B12" s="8" t="n"/>
      <c r="C12" s="8" t="n"/>
      <c r="D12" s="8" t="n"/>
      <c r="E12" s="8" t="n"/>
      <c r="F12" s="9">
        <f>IF(SUM(B12:E12)=0,"",SUM(B12:E12))</f>
        <v/>
      </c>
      <c r="G12" s="9">
        <f>IF(F12="","",F12/$H$1)</f>
        <v/>
      </c>
    </row>
    <row r="13">
      <c r="A13" s="7" t="inlineStr">
        <is>
          <t>ライブ抱き合わせ</t>
        </is>
      </c>
      <c r="B13" s="8" t="n"/>
      <c r="C13" s="8" t="n"/>
      <c r="D13" s="8" t="n"/>
      <c r="E13" s="8" t="n"/>
      <c r="F13" s="9">
        <f>IF(SUM(B13:E13)=0,"",SUM(B13:E13))</f>
        <v/>
      </c>
      <c r="G13" s="9">
        <f>IF(F13="","",F13/$H$1)</f>
        <v/>
      </c>
    </row>
    <row r="14">
      <c r="A14" s="7" t="inlineStr">
        <is>
          <t>その他(杂费)</t>
        </is>
      </c>
      <c r="B14" s="8" t="n"/>
      <c r="C14" s="8" t="n"/>
      <c r="D14" s="8" t="n"/>
      <c r="E14" s="8" t="n"/>
      <c r="F14" s="9">
        <f>IF(SUM(B14:E14)=0,"",SUM(B14:E14))</f>
        <v/>
      </c>
      <c r="G14" s="9">
        <f>IF(F14="","",F14/$H$1)</f>
        <v/>
      </c>
    </row>
    <row r="15">
      <c r="A15" s="16" t="inlineStr">
        <is>
          <t>月合計 / 每月合计</t>
        </is>
      </c>
      <c r="B15" s="17">
        <f>SUM(B12:B14)</f>
        <v/>
      </c>
      <c r="C15" s="17">
        <f>SUM(C12:C14)</f>
        <v/>
      </c>
      <c r="D15" s="17">
        <f>SUM(D12:D14)</f>
        <v/>
      </c>
      <c r="E15" s="17">
        <f>SUM(E12:E14)</f>
        <v/>
      </c>
      <c r="F15" s="17">
        <f>SUM(F12:F14)</f>
        <v/>
      </c>
      <c r="G15" s="17">
        <f>SUM(G12:G14)</f>
        <v/>
      </c>
    </row>
    <row r="17" ht="22" customHeight="1">
      <c r="A17" s="5" t="inlineStr">
        <is>
          <t>③ 达人层级 × 月 · 投稿数 ／ 篇数怎么分（配合②看，钱花在哪个层级）</t>
        </is>
      </c>
    </row>
    <row r="18" ht="26" customHeight="1">
      <c r="A18" s="6" t="inlineStr">
        <is>
          <t>層級 ＼ 月</t>
        </is>
      </c>
      <c r="B18" s="6" t="inlineStr">
        <is>
          <t>8月</t>
        </is>
      </c>
      <c r="C18" s="6" t="inlineStr">
        <is>
          <t>9月</t>
        </is>
      </c>
      <c r="D18" s="6" t="inlineStr">
        <is>
          <t>10月</t>
        </is>
      </c>
      <c r="E18" s="6" t="inlineStr">
        <is>
          <t>11月</t>
        </is>
      </c>
      <c r="F18" s="6" t="inlineStr">
        <is>
          <t>篇数合計</t>
        </is>
      </c>
    </row>
    <row r="19">
      <c r="A19" s="7" t="inlineStr">
        <is>
          <t>KOC 图文</t>
        </is>
      </c>
      <c r="B19" s="18" t="n"/>
      <c r="C19" s="18" t="n"/>
      <c r="D19" s="18" t="n"/>
      <c r="E19" s="18" t="n"/>
      <c r="F19" s="19">
        <f>IF(SUM(B19:E19)=0,"",SUM(B19:E19))</f>
        <v/>
      </c>
    </row>
    <row r="20">
      <c r="A20" s="7" t="inlineStr">
        <is>
          <t>KOC 动画</t>
        </is>
      </c>
      <c r="B20" s="18" t="n"/>
      <c r="C20" s="18" t="n"/>
      <c r="D20" s="18" t="n"/>
      <c r="E20" s="18" t="n"/>
      <c r="F20" s="19">
        <f>IF(SUM(B20:E20)=0,"",SUM(B20:E20))</f>
        <v/>
      </c>
    </row>
    <row r="21">
      <c r="A21" s="7" t="inlineStr">
        <is>
          <t>KOL 动画</t>
        </is>
      </c>
      <c r="B21" s="18" t="n"/>
      <c r="C21" s="18" t="n"/>
      <c r="D21" s="18" t="n"/>
      <c r="E21" s="18" t="n"/>
      <c r="F21" s="19">
        <f>IF(SUM(B21:E21)=0,"",SUM(B21:E21))</f>
        <v/>
      </c>
    </row>
    <row r="22">
      <c r="A22" s="7" t="inlineStr">
        <is>
          <t>素人</t>
        </is>
      </c>
      <c r="B22" s="18" t="n"/>
      <c r="C22" s="18" t="n"/>
      <c r="D22" s="18" t="n"/>
      <c r="E22" s="18" t="n"/>
      <c r="F22" s="19">
        <f>IF(SUM(B22:E22)=0,"",SUM(B22:E22))</f>
        <v/>
      </c>
    </row>
    <row r="23">
      <c r="A23" s="16" t="inlineStr">
        <is>
          <t>篇数合計 / 合计</t>
        </is>
      </c>
      <c r="B23" s="20">
        <f>SUM(B19:B22)</f>
        <v/>
      </c>
      <c r="C23" s="20">
        <f>SUM(C19:C22)</f>
        <v/>
      </c>
      <c r="D23" s="20">
        <f>SUM(D19:D22)</f>
        <v/>
      </c>
      <c r="E23" s="20">
        <f>SUM(E19:E22)</f>
        <v/>
      </c>
      <c r="F23" s="20">
        <f>SUM(F19:F22)</f>
        <v/>
      </c>
    </row>
    <row r="25" ht="22" customHeight="1">
      <c r="A25" s="5" t="inlineStr">
        <is>
          <t>④ 月別明細 ／ 每笔具体花在哪（用「用途」列把稿费和杂费分开）</t>
        </is>
      </c>
    </row>
    <row r="26" ht="26" customHeight="1">
      <c r="A26" s="6" t="inlineStr">
        <is>
          <t>アカウント名/项目 账号</t>
        </is>
      </c>
      <c r="B26" s="6" t="inlineStr">
        <is>
          <t>層級</t>
        </is>
      </c>
      <c r="C26" s="6" t="inlineStr">
        <is>
          <t>投稿形式</t>
        </is>
      </c>
      <c r="D26" s="6" t="inlineStr">
        <is>
          <t>投稿数 篇数</t>
        </is>
      </c>
      <c r="E26" s="6" t="inlineStr">
        <is>
          <t>単価(JPY)</t>
        </is>
      </c>
      <c r="F26" s="6" t="inlineStr">
        <is>
          <t>小计(JPY)</t>
        </is>
      </c>
      <c r="G26" s="6" t="inlineStr">
        <is>
          <t>小计(CNY)</t>
        </is>
      </c>
      <c r="H26" s="6" t="inlineStr">
        <is>
          <t>用途</t>
        </is>
      </c>
      <c r="I26" s="6" t="inlineStr">
        <is>
          <t>備考 备注</t>
        </is>
      </c>
    </row>
    <row r="27">
      <c r="A27" s="21" t="inlineStr">
        <is>
          <t>如酱在东京</t>
        </is>
      </c>
      <c r="B27" s="22" t="inlineStr">
        <is>
          <t>腰部</t>
        </is>
      </c>
      <c r="C27" s="22" t="inlineStr">
        <is>
          <t>画像(图文)</t>
        </is>
      </c>
      <c r="D27" s="23" t="n">
        <v>1</v>
      </c>
      <c r="E27" s="24" t="n">
        <v>1133028</v>
      </c>
      <c r="F27" s="25">
        <f>IF(OR(D27="",E27=""),"",D27*E27)</f>
        <v/>
      </c>
      <c r="G27" s="25">
        <f>IF(F27="","",F27/$H$1)</f>
        <v/>
      </c>
      <c r="H27" s="22" t="inlineStr">
        <is>
          <t>稿费·記事単独</t>
        </is>
      </c>
      <c r="I27" s="21" t="inlineStr">
        <is>
          <t>真实体验铺搜索</t>
        </is>
      </c>
    </row>
    <row r="28">
      <c r="A28" s="21" t="inlineStr">
        <is>
          <t>风险保证金</t>
        </is>
      </c>
      <c r="B28" s="22" t="inlineStr">
        <is>
          <t>—</t>
        </is>
      </c>
      <c r="C28" s="22" t="inlineStr">
        <is>
          <t>—</t>
        </is>
      </c>
      <c r="D28" s="23" t="n">
        <v>1</v>
      </c>
      <c r="E28" s="24" t="n">
        <v>80000</v>
      </c>
      <c r="F28" s="25">
        <f>IF(OR(D28="",E28=""),"",D28*E28)</f>
        <v/>
      </c>
      <c r="G28" s="25">
        <f>IF(F28="","",F28/$H$1)</f>
        <v/>
      </c>
      <c r="H28" s="22" t="inlineStr">
        <is>
          <t>风险保证金</t>
        </is>
      </c>
      <c r="I28" s="21" t="inlineStr"/>
    </row>
    <row r="29">
      <c r="A29" s="21" t="inlineStr">
        <is>
          <t>运费+拍单</t>
        </is>
      </c>
      <c r="B29" s="22" t="inlineStr">
        <is>
          <t>—</t>
        </is>
      </c>
      <c r="C29" s="22" t="inlineStr">
        <is>
          <t>—</t>
        </is>
      </c>
      <c r="D29" s="23" t="n">
        <v>1</v>
      </c>
      <c r="E29" s="24" t="n">
        <v>559680</v>
      </c>
      <c r="F29" s="25">
        <f>IF(OR(D29="",E29=""),"",D29*E29)</f>
        <v/>
      </c>
      <c r="G29" s="25">
        <f>IF(F29="","",F29/$H$1)</f>
        <v/>
      </c>
      <c r="H29" s="22" t="inlineStr">
        <is>
          <t>运费</t>
        </is>
      </c>
      <c r="I29" s="21" t="inlineStr"/>
    </row>
    <row r="30">
      <c r="A30" s="21" t="n"/>
      <c r="B30" s="22" t="n"/>
      <c r="C30" s="22" t="n"/>
      <c r="D30" s="23" t="n"/>
      <c r="E30" s="24" t="n"/>
      <c r="F30" s="25">
        <f>IF(OR(D30="",E30=""),"",D30*E30)</f>
        <v/>
      </c>
      <c r="G30" s="25">
        <f>IF(F30="","",F30/$H$1)</f>
        <v/>
      </c>
      <c r="H30" s="22" t="n"/>
      <c r="I30" s="21" t="n"/>
    </row>
    <row r="31">
      <c r="A31" s="21" t="n"/>
      <c r="B31" s="22" t="n"/>
      <c r="C31" s="22" t="n"/>
      <c r="D31" s="23" t="n"/>
      <c r="E31" s="24" t="n"/>
      <c r="F31" s="25">
        <f>IF(OR(D31="",E31=""),"",D31*E31)</f>
        <v/>
      </c>
      <c r="G31" s="25">
        <f>IF(F31="","",F31/$H$1)</f>
        <v/>
      </c>
      <c r="H31" s="22" t="n"/>
      <c r="I31" s="21" t="n"/>
    </row>
    <row r="32">
      <c r="A32" s="21" t="n"/>
      <c r="B32" s="22" t="n"/>
      <c r="C32" s="22" t="n"/>
      <c r="D32" s="23" t="n"/>
      <c r="E32" s="24" t="n"/>
      <c r="F32" s="25">
        <f>IF(OR(D32="",E32=""),"",D32*E32)</f>
        <v/>
      </c>
      <c r="G32" s="25">
        <f>IF(F32="","",F32/$H$1)</f>
        <v/>
      </c>
      <c r="H32" s="22" t="n"/>
      <c r="I32" s="21" t="n"/>
    </row>
    <row r="33">
      <c r="A33" s="21" t="n"/>
      <c r="B33" s="22" t="n"/>
      <c r="C33" s="22" t="n"/>
      <c r="D33" s="23" t="n"/>
      <c r="E33" s="24" t="n"/>
      <c r="F33" s="25">
        <f>IF(OR(D33="",E33=""),"",D33*E33)</f>
        <v/>
      </c>
      <c r="G33" s="25">
        <f>IF(F33="","",F33/$H$1)</f>
        <v/>
      </c>
      <c r="H33" s="22" t="n"/>
      <c r="I33" s="21" t="n"/>
    </row>
    <row r="34">
      <c r="A34" s="21" t="n"/>
      <c r="B34" s="22" t="n"/>
      <c r="C34" s="22" t="n"/>
      <c r="D34" s="23" t="n"/>
      <c r="E34" s="24" t="n"/>
      <c r="F34" s="25">
        <f>IF(OR(D34="",E34=""),"",D34*E34)</f>
        <v/>
      </c>
      <c r="G34" s="25">
        <f>IF(F34="","",F34/$H$1)</f>
        <v/>
      </c>
      <c r="H34" s="22" t="n"/>
      <c r="I34" s="21" t="n"/>
    </row>
    <row r="35">
      <c r="A35" s="21" t="n"/>
      <c r="B35" s="22" t="n"/>
      <c r="C35" s="22" t="n"/>
      <c r="D35" s="23" t="n"/>
      <c r="E35" s="24" t="n"/>
      <c r="F35" s="25">
        <f>IF(OR(D35="",E35=""),"",D35*E35)</f>
        <v/>
      </c>
      <c r="G35" s="25">
        <f>IF(F35="","",F35/$H$1)</f>
        <v/>
      </c>
      <c r="H35" s="22" t="n"/>
      <c r="I35" s="21" t="n"/>
    </row>
    <row r="36">
      <c r="A36" s="21" t="n"/>
      <c r="B36" s="22" t="n"/>
      <c r="C36" s="22" t="n"/>
      <c r="D36" s="23" t="n"/>
      <c r="E36" s="24" t="n"/>
      <c r="F36" s="25">
        <f>IF(OR(D36="",E36=""),"",D36*E36)</f>
        <v/>
      </c>
      <c r="G36" s="25">
        <f>IF(F36="","",F36/$H$1)</f>
        <v/>
      </c>
      <c r="H36" s="22" t="n"/>
      <c r="I36" s="21" t="n"/>
    </row>
    <row r="37">
      <c r="A37" s="21" t="n"/>
      <c r="B37" s="22" t="n"/>
      <c r="C37" s="22" t="n"/>
      <c r="D37" s="23" t="n"/>
      <c r="E37" s="24" t="n"/>
      <c r="F37" s="25">
        <f>IF(OR(D37="",E37=""),"",D37*E37)</f>
        <v/>
      </c>
      <c r="G37" s="25">
        <f>IF(F37="","",F37/$H$1)</f>
        <v/>
      </c>
      <c r="H37" s="22" t="n"/>
      <c r="I37" s="21" t="n"/>
    </row>
    <row r="38">
      <c r="A38" s="21" t="n"/>
      <c r="B38" s="22" t="n"/>
      <c r="C38" s="22" t="n"/>
      <c r="D38" s="23" t="n"/>
      <c r="E38" s="24" t="n"/>
      <c r="F38" s="25">
        <f>IF(OR(D38="",E38=""),"",D38*E38)</f>
        <v/>
      </c>
      <c r="G38" s="25">
        <f>IF(F38="","",F38/$H$1)</f>
        <v/>
      </c>
      <c r="H38" s="22" t="n"/>
      <c r="I38" s="21" t="n"/>
    </row>
    <row r="39">
      <c r="A39" s="21" t="n"/>
      <c r="B39" s="22" t="n"/>
      <c r="C39" s="22" t="n"/>
      <c r="D39" s="23" t="n"/>
      <c r="E39" s="24" t="n"/>
      <c r="F39" s="25">
        <f>IF(OR(D39="",E39=""),"",D39*E39)</f>
        <v/>
      </c>
      <c r="G39" s="25">
        <f>IF(F39="","",F39/$H$1)</f>
        <v/>
      </c>
      <c r="H39" s="22" t="n"/>
      <c r="I39" s="21" t="n"/>
    </row>
    <row r="40">
      <c r="A40" s="21" t="n"/>
      <c r="B40" s="22" t="n"/>
      <c r="C40" s="22" t="n"/>
      <c r="D40" s="23" t="n"/>
      <c r="E40" s="24" t="n"/>
      <c r="F40" s="25">
        <f>IF(OR(D40="",E40=""),"",D40*E40)</f>
        <v/>
      </c>
      <c r="G40" s="25">
        <f>IF(F40="","",F40/$H$1)</f>
        <v/>
      </c>
      <c r="H40" s="22" t="n"/>
      <c r="I40" s="21" t="n"/>
    </row>
    <row r="41">
      <c r="A41" s="21" t="n"/>
      <c r="B41" s="22" t="n"/>
      <c r="C41" s="22" t="n"/>
      <c r="D41" s="23" t="n"/>
      <c r="E41" s="24" t="n"/>
      <c r="F41" s="25">
        <f>IF(OR(D41="",E41=""),"",D41*E41)</f>
        <v/>
      </c>
      <c r="G41" s="25">
        <f>IF(F41="","",F41/$H$1)</f>
        <v/>
      </c>
      <c r="H41" s="22" t="n"/>
      <c r="I41" s="21" t="n"/>
    </row>
    <row r="42">
      <c r="A42" s="21" t="n"/>
      <c r="B42" s="22" t="n"/>
      <c r="C42" s="22" t="n"/>
      <c r="D42" s="23" t="n"/>
      <c r="E42" s="24" t="n"/>
      <c r="F42" s="25">
        <f>IF(OR(D42="",E42=""),"",D42*E42)</f>
        <v/>
      </c>
      <c r="G42" s="25">
        <f>IF(F42="","",F42/$H$1)</f>
        <v/>
      </c>
      <c r="H42" s="22" t="n"/>
      <c r="I42" s="21" t="n"/>
    </row>
    <row r="43">
      <c r="A43" s="16" t="inlineStr">
        <is>
          <t>明細合計 / 明细合计</t>
        </is>
      </c>
      <c r="B43" s="15" t="n"/>
      <c r="C43" s="15" t="n"/>
      <c r="D43" s="20">
        <f>SUM(D27:D42)</f>
        <v/>
      </c>
      <c r="E43" s="15" t="n"/>
      <c r="F43" s="17">
        <f>SUM(F27:F42)</f>
        <v/>
      </c>
      <c r="G43" s="17">
        <f>IF(F43="","",F43/$H$1)</f>
        <v/>
      </c>
      <c r="H43" s="15" t="n"/>
      <c r="I43" s="15" t="n"/>
    </row>
    <row r="45" ht="40" customHeight="1">
      <c r="A45" s="26" t="inlineStr">
        <is>
          <t>填写说明：黄底=手填 · 灰底=自动。① 填三类用途的总额 → 自动出占比；② 填每月每类金额 → 自动合计；③ 填篇数；④ 每笔填账号/单价/篇数(小计·CNY自动)，「用途」列下拉选稿费/风险保证金/运费/拍单，杂费也能清楚归类。汇率改 H1 一格，全表CNY跟着变。</t>
        </is>
      </c>
    </row>
  </sheetData>
  <mergeCells count="10">
    <mergeCell ref="A25:I25"/>
    <mergeCell ref="E7:I7"/>
    <mergeCell ref="E6:I6"/>
    <mergeCell ref="A10:I10"/>
    <mergeCell ref="A1:F1"/>
    <mergeCell ref="A45:I45"/>
    <mergeCell ref="A17:I17"/>
    <mergeCell ref="E5:I5"/>
    <mergeCell ref="A3:I3"/>
    <mergeCell ref="E8:I8"/>
  </mergeCells>
  <dataValidations count="3">
    <dataValidation sqref="B27:B42" showDropDown="0" showInputMessage="0" showErrorMessage="0" allowBlank="1" type="list">
      <formula1>"腰部,KOL,KOC,素人,—"</formula1>
    </dataValidation>
    <dataValidation sqref="C27:C42" showDropDown="0" showInputMessage="0" showErrorMessage="0" allowBlank="1" type="list">
      <formula1>"画像(图文),動画(视频),—"</formula1>
    </dataValidation>
    <dataValidation sqref="H27:H42" showDropDown="0" showInputMessage="0" showErrorMessage="0" allowBlank="1" type="list">
      <formula1>"稿费·記事単独,稿费·ライブ抱合,风险保证金,运费,拍单,其他"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2026-08-10T09:41:57Z</dcterms:created>
  <dcterms:modified xmlns:dcterms="http://purl.org/dc/terms/" xmlns:xsi="http://www.w3.org/2001/XMLSchema-instance" xsi:type="dcterms:W3CDTF">2026-08-10T09:41:57Z</dcterms:modified>
</cp:coreProperties>
</file>