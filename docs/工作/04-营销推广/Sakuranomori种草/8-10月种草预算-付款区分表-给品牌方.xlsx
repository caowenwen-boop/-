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付款区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12">
    <font>
      <name val="Calibri"/>
      <family val="2"/>
      <color theme="1"/>
      <sz val="11"/>
      <scheme val="minor"/>
    </font>
    <font>
      <name val="Microsoft YaHei"/>
      <b val="1"/>
      <color rgb="00000000"/>
      <sz val="14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000000"/>
      <sz val="8"/>
    </font>
    <font>
      <name val="Microsoft YaHei"/>
      <color rgb="00000000"/>
      <sz val="9"/>
    </font>
    <font>
      <name val="Microsoft YaHei"/>
      <b val="1"/>
      <color rgb="00000000"/>
      <sz val="11.5"/>
    </font>
    <font>
      <name val="Microsoft YaHei"/>
      <b val="1"/>
      <color rgb="00000000"/>
      <sz val="9.5"/>
    </font>
    <font>
      <name val="Microsoft YaHei"/>
      <color rgb="00000000"/>
      <sz val="10"/>
    </font>
    <font>
      <name val="Microsoft YaHei"/>
      <b val="1"/>
      <color rgb="00000000"/>
      <sz val="10.5"/>
    </font>
    <font>
      <name val="Microsoft YaHei"/>
      <b val="1"/>
      <color rgb="00000000"/>
      <sz val="12"/>
    </font>
    <font>
      <name val="Microsoft YaHei"/>
      <color rgb="00000000"/>
      <sz val="9.5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5FA"/>
      </patternFill>
    </fill>
    <fill>
      <patternFill patternType="solid">
        <fgColor rgb="00FFFDE7"/>
      </patternFill>
    </fill>
    <fill>
      <patternFill patternType="solid">
        <fgColor rgb="00DCEAF7"/>
      </patternFill>
    </fill>
    <fill>
      <patternFill patternType="solid">
        <fgColor rgb="00F5F6F8"/>
      </patternFill>
    </fill>
    <fill>
      <patternFill patternType="solid">
        <fgColor rgb="00FCE7D6"/>
      </patternFill>
    </fill>
    <fill>
      <patternFill patternType="solid">
        <fgColor rgb="00FFE9A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64" fontId="9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164" fontId="9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164" fontId="10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  <col width="32" customWidth="1" min="7" max="7"/>
  </cols>
  <sheetData>
    <row r="1" ht="26" customHeight="1">
      <c r="A1" s="1" t="inlineStr">
        <is>
          <t>8–10月 小红書ノート種草予算 · 付款方式区分表（品牌方一次申请用）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為替 1元＝</t>
        </is>
      </c>
      <c r="B2" s="4" t="n">
        <v>24</v>
      </c>
      <c r="C2" s="5" t="inlineStr">
        <is>
          <t>円（CNY按此自动换算，可改）</t>
        </is>
      </c>
      <c r="D2" s="6" t="n"/>
      <c r="E2" s="6" t="n"/>
      <c r="F2" s="6" t="n"/>
      <c r="G2" s="6" t="n"/>
    </row>
    <row r="3" ht="56" customHeight="1">
      <c r="A3" s="7" t="inlineStr">
        <is>
          <t>结算方式（与品牌方沟通确认）：以 3 个月为一周期申请一次，本次为 8–10 月。品牌方一次申请、分两个流向打款——① 充值小红书后台（走平台报备的广告费，线上充值）；② 直接汇款给贵司（代运营垫付的 KOC 稿费与其他，银行汇款）。下表把两部分区分开，方便品牌方一次申请、并清楚『打多少进小红书 / 留多少付给贵司』。</t>
        </is>
      </c>
      <c r="B3" s="8" t="n"/>
      <c r="C3" s="8" t="n"/>
      <c r="D3" s="8" t="n"/>
      <c r="E3" s="8" t="n"/>
      <c r="F3" s="8" t="n"/>
      <c r="G3" s="8" t="n"/>
    </row>
    <row r="4" ht="6" customHeight="1"/>
    <row r="5" ht="24" customHeight="1">
      <c r="A5" s="9" t="inlineStr">
        <is>
          <t>①  充值小红书后台（平台报备 · 广告费）　——　品牌方【线上充值】到小红书后台</t>
        </is>
      </c>
      <c r="B5" s="10" t="n"/>
      <c r="C5" s="10" t="n"/>
      <c r="D5" s="10" t="n"/>
      <c r="E5" s="10" t="n"/>
      <c r="F5" s="10" t="n"/>
      <c r="G5" s="10" t="n"/>
    </row>
    <row r="6" ht="24" customHeight="1">
      <c r="A6" s="11" t="inlineStr">
        <is>
          <t>用途 / 项目</t>
        </is>
      </c>
      <c r="B6" s="11" t="inlineStr">
        <is>
          <t>8月</t>
        </is>
      </c>
      <c r="C6" s="11" t="inlineStr">
        <is>
          <t>9月</t>
        </is>
      </c>
      <c r="D6" s="11" t="inlineStr">
        <is>
          <t>10月</t>
        </is>
      </c>
      <c r="E6" s="11" t="inlineStr">
        <is>
          <t>小计(JPY)</t>
        </is>
      </c>
      <c r="F6" s="11" t="inlineStr">
        <is>
          <t>小计(CNY)</t>
        </is>
      </c>
      <c r="G6" s="11" t="inlineStr">
        <is>
          <t>备注</t>
        </is>
      </c>
    </row>
    <row r="7">
      <c r="A7" s="12" t="inlineStr">
        <is>
          <t>KOC 视频报备笔记（蒲公英/聚光报备）</t>
        </is>
      </c>
      <c r="B7" s="13" t="n"/>
      <c r="C7" s="13" t="n"/>
      <c r="D7" s="13" t="n"/>
      <c r="E7" s="14">
        <f>IF(SUM(B7:D7)=0,"",SUM(B7:D7))</f>
        <v/>
      </c>
      <c r="F7" s="14">
        <f>IF(E7="","",E7/$B$2)</f>
        <v/>
      </c>
      <c r="G7" s="15" t="inlineStr">
        <is>
          <t>走平台报备，需在小红书后台充值广告预算</t>
        </is>
      </c>
    </row>
    <row r="8">
      <c r="A8" s="12" t="inlineStr">
        <is>
          <t>（如有）信息流/搜索加热</t>
        </is>
      </c>
      <c r="B8" s="13" t="n"/>
      <c r="C8" s="13" t="n"/>
      <c r="D8" s="13" t="n"/>
      <c r="E8" s="14">
        <f>IF(SUM(B8:D8)=0,"",SUM(B8:D8))</f>
        <v/>
      </c>
      <c r="F8" s="14">
        <f>IF(E8="","",E8/$B$2)</f>
        <v/>
      </c>
      <c r="G8" s="15" t="inlineStr">
        <is>
          <t>可选：给报备笔记加热</t>
        </is>
      </c>
    </row>
    <row r="9">
      <c r="A9" s="16" t="inlineStr">
        <is>
          <t>A 小计 · 需充值到小红书</t>
        </is>
      </c>
      <c r="B9" s="17">
        <f>IF(SUM(B7:B8)=0,"",SUM(B7:B8))</f>
        <v/>
      </c>
      <c r="C9" s="17">
        <f>IF(SUM(C7:C8)=0,"",SUM(C7:C8))</f>
        <v/>
      </c>
      <c r="D9" s="17">
        <f>IF(SUM(D7:D8)=0,"",SUM(D7:D8))</f>
        <v/>
      </c>
      <c r="E9" s="17">
        <f>IF(SUM(E7:E8)=0,"",SUM(E7:E8))</f>
        <v/>
      </c>
      <c r="F9" s="17">
        <f>IF(E9="","",E9/$B$2)</f>
        <v/>
      </c>
      <c r="G9" s="10" t="n"/>
    </row>
    <row r="10" ht="34" customHeight="1">
      <c r="A10" s="18" t="inlineStr">
        <is>
          <t>说明：这部分走小红书官方平台报备，品牌方【在线充值】到小红书后台广告账户。据沟通 8–10月约 5 万人民币。</t>
        </is>
      </c>
      <c r="B10" s="10" t="n"/>
      <c r="C10" s="10" t="n"/>
      <c r="D10" s="10" t="n"/>
      <c r="E10" s="10" t="n"/>
      <c r="F10" s="10" t="n"/>
      <c r="G10" s="10" t="n"/>
    </row>
    <row r="11" ht="6" customHeight="1"/>
    <row r="12" ht="24" customHeight="1">
      <c r="A12" s="19" t="inlineStr">
        <is>
          <t>②  直接汇款给贵司（代运营垫付 / 稿费 / 杂费）　——　品牌方【银行汇款】给贵司</t>
        </is>
      </c>
      <c r="B12" s="20" t="n"/>
      <c r="C12" s="20" t="n"/>
      <c r="D12" s="20" t="n"/>
      <c r="E12" s="20" t="n"/>
      <c r="F12" s="20" t="n"/>
      <c r="G12" s="20" t="n"/>
    </row>
    <row r="13" ht="24" customHeight="1">
      <c r="A13" s="21" t="inlineStr">
        <is>
          <t>用途 / 项目</t>
        </is>
      </c>
      <c r="B13" s="21" t="inlineStr">
        <is>
          <t>8月</t>
        </is>
      </c>
      <c r="C13" s="21" t="inlineStr">
        <is>
          <t>9月</t>
        </is>
      </c>
      <c r="D13" s="21" t="inlineStr">
        <is>
          <t>10月</t>
        </is>
      </c>
      <c r="E13" s="21" t="inlineStr">
        <is>
          <t>小计(JPY)</t>
        </is>
      </c>
      <c r="F13" s="21" t="inlineStr">
        <is>
          <t>小计(CNY)</t>
        </is>
      </c>
      <c r="G13" s="21" t="inlineStr">
        <is>
          <t>备注</t>
        </is>
      </c>
    </row>
    <row r="14">
      <c r="A14" s="12" t="inlineStr">
        <is>
          <t>KOC 图文/视频稿费（不报备 · 贵司垫付）</t>
        </is>
      </c>
      <c r="B14" s="13" t="n"/>
      <c r="C14" s="13" t="n"/>
      <c r="D14" s="13" t="n"/>
      <c r="E14" s="14">
        <f>IF(SUM(B14:D14)=0,"",SUM(B14:D14))</f>
        <v/>
      </c>
      <c r="F14" s="14">
        <f>IF(E14="","",E14/$B$2)</f>
        <v/>
      </c>
      <c r="G14" s="15" t="inlineStr">
        <is>
          <t>贵司国内银行先垫付，凭请求书结算。含已接洽约4位KOC(约7.5万日元)</t>
        </is>
      </c>
    </row>
    <row r="15">
      <c r="A15" s="12" t="inlineStr">
        <is>
          <t>记事単独 / 素人笔记 稿费</t>
        </is>
      </c>
      <c r="B15" s="13" t="n"/>
      <c r="C15" s="13" t="n"/>
      <c r="D15" s="13" t="n"/>
      <c r="E15" s="14">
        <f>IF(SUM(B15:D15)=0,"",SUM(B15:D15))</f>
        <v/>
      </c>
      <c r="F15" s="14">
        <f>IF(E15="","",E15/$B$2)</f>
        <v/>
      </c>
      <c r="G15" s="15" t="inlineStr">
        <is>
          <t>独立种草笔记</t>
        </is>
      </c>
    </row>
    <row r="16">
      <c r="A16" s="12" t="inlineStr">
        <is>
          <t>ライブ抱き合わせ投稿（直播绑定笔记）</t>
        </is>
      </c>
      <c r="B16" s="13" t="n"/>
      <c r="C16" s="13" t="n"/>
      <c r="D16" s="13" t="n"/>
      <c r="E16" s="14">
        <f>IF(SUM(B16:D16)=0,"",SUM(B16:D16))</f>
        <v/>
      </c>
      <c r="F16" s="14">
        <f>IF(E16="","",E16/$B$2)</f>
        <v/>
      </c>
      <c r="G16" s="15" t="inlineStr">
        <is>
          <t>如按直播盘结算可不计此表，避免重复</t>
        </is>
      </c>
    </row>
    <row r="17">
      <c r="A17" s="12" t="inlineStr">
        <is>
          <t>服务费 / 其他杂费（风险保证金·运费·拍单）</t>
        </is>
      </c>
      <c r="B17" s="13" t="n"/>
      <c r="C17" s="13" t="n"/>
      <c r="D17" s="13" t="n"/>
      <c r="E17" s="14">
        <f>IF(SUM(B17:D17)=0,"",SUM(B17:D17))</f>
        <v/>
      </c>
      <c r="F17" s="14">
        <f>IF(E17="","",E17/$B$2)</f>
        <v/>
      </c>
      <c r="G17" s="15" t="inlineStr">
        <is>
          <t>非稿费类</t>
        </is>
      </c>
    </row>
    <row r="18">
      <c r="A18" s="22" t="inlineStr">
        <is>
          <t>B 小计 · 直接付给贵司</t>
        </is>
      </c>
      <c r="B18" s="23">
        <f>IF(SUM(B14:B17)=0,"",SUM(B14:B17))</f>
        <v/>
      </c>
      <c r="C18" s="23">
        <f>IF(SUM(C14:C17)=0,"",SUM(C14:C17))</f>
        <v/>
      </c>
      <c r="D18" s="23">
        <f>IF(SUM(D14:D17)=0,"",SUM(D14:D17))</f>
        <v/>
      </c>
      <c r="E18" s="23">
        <f>IF(SUM(E14:E17)=0,"",SUM(E14:E17))</f>
        <v/>
      </c>
      <c r="F18" s="23">
        <f>IF(E18="","",E18/$B$2)</f>
        <v/>
      </c>
      <c r="G18" s="20" t="n"/>
    </row>
    <row r="19" ht="34" customHeight="1">
      <c r="A19" s="24" t="inlineStr">
        <is>
          <t>说明：这部分贵司用国内银行【先垫付】KOC 稿费，后续凭【请求书】与品牌方结算；品牌方【银行汇款】到贵司账户。</t>
        </is>
      </c>
      <c r="B19" s="20" t="n"/>
      <c r="C19" s="20" t="n"/>
      <c r="D19" s="20" t="n"/>
      <c r="E19" s="20" t="n"/>
      <c r="F19" s="20" t="n"/>
      <c r="G19" s="20" t="n"/>
    </row>
    <row r="20" ht="6" customHeight="1"/>
    <row r="21" ht="26" customHeight="1">
      <c r="A21" s="25" t="inlineStr">
        <is>
          <t>本次申请总额（A + B）</t>
        </is>
      </c>
      <c r="B21" s="26">
        <f>IF(SUM(B9,B18)=0,"",SUM(B9,B18))</f>
        <v/>
      </c>
      <c r="C21" s="26">
        <f>IF(SUM(C9,C18)=0,"",SUM(C9,C18))</f>
        <v/>
      </c>
      <c r="D21" s="26">
        <f>IF(SUM(D9,D18)=0,"",SUM(D9,D18))</f>
        <v/>
      </c>
      <c r="E21" s="26">
        <f>IF(SUM(E9,E18)=0,"",SUM(E9,E18))</f>
        <v/>
      </c>
      <c r="F21" s="26">
        <f>IF(E21="","",E21/$B$2)</f>
        <v/>
      </c>
      <c r="G21" s="27">
        <f> 品牌方本次一次申请的总额</f>
        <v/>
      </c>
    </row>
    <row r="22" ht="6" customHeight="1"/>
    <row r="23" ht="22" customHeight="1">
      <c r="A23" s="28" t="inlineStr">
        <is>
          <t>付款流程 / お支払いの流れ</t>
        </is>
      </c>
      <c r="B23" s="2" t="n"/>
      <c r="C23" s="2" t="n"/>
      <c r="D23" s="2" t="n"/>
      <c r="E23" s="2" t="n"/>
      <c r="F23" s="2" t="n"/>
      <c r="G23" s="2" t="n"/>
    </row>
    <row r="24" ht="22" customHeight="1">
      <c r="A24" s="29" t="inlineStr">
        <is>
          <t>① 充值小红书：品牌方 → 小红书后台【在线充值】广告/报备预算（对应 A 小计）。</t>
        </is>
      </c>
      <c r="B24" s="6" t="n"/>
      <c r="C24" s="6" t="n"/>
      <c r="D24" s="6" t="n"/>
      <c r="E24" s="6" t="n"/>
      <c r="F24" s="6" t="n"/>
      <c r="G24" s="6" t="n"/>
    </row>
    <row r="25" ht="22" customHeight="1">
      <c r="A25" s="29" t="inlineStr">
        <is>
          <t>② 直付贵司：品牌方 → 【银行汇款】至贵司账户（对应 B 小计）；贵司已垫付的 KOC 稿费，后续凭【请求书】结算。</t>
        </is>
      </c>
      <c r="B25" s="6" t="n"/>
      <c r="C25" s="6" t="n"/>
      <c r="D25" s="6" t="n"/>
      <c r="E25" s="6" t="n"/>
      <c r="F25" s="6" t="n"/>
      <c r="G25" s="6" t="n"/>
    </row>
    <row r="26" ht="22" customHeight="1">
      <c r="A26" s="29" t="inlineStr">
        <is>
          <t>申请节奏：每 3 个月申请一次（本次 8–10 月）；品牌方按『本次申请总额 = A + B』一次申请、分两笔到账。</t>
        </is>
      </c>
      <c r="B26" s="6" t="n"/>
      <c r="C26" s="6" t="n"/>
      <c r="D26" s="6" t="n"/>
      <c r="E26" s="6" t="n"/>
      <c r="F26" s="6" t="n"/>
      <c r="G26" s="6" t="n"/>
    </row>
  </sheetData>
  <mergeCells count="11">
    <mergeCell ref="A1:G1"/>
    <mergeCell ref="A3:G3"/>
    <mergeCell ref="C2:G2"/>
    <mergeCell ref="A12:G12"/>
    <mergeCell ref="A26:G26"/>
    <mergeCell ref="A24:G24"/>
    <mergeCell ref="A25:G25"/>
    <mergeCell ref="A19:G19"/>
    <mergeCell ref="A10:G10"/>
    <mergeCell ref="A5:G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2026-08-10T11:25:00Z</dcterms:created>
  <dcterms:modified xmlns:dcterms="http://purl.org/dc/terms/" xmlns:xsi="http://www.w3.org/2001/XMLSchema-instance" xsi:type="dcterms:W3CDTF">2026-08-10T11:25:00Z</dcterms:modified>
</cp:coreProperties>
</file>