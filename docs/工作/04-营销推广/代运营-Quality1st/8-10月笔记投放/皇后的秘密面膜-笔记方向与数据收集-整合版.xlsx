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① 分布总览" sheetId="1" state="visible" r:id="rId1"/>
    <sheet xmlns:r="http://schemas.openxmlformats.org/officeDocument/2006/relationships" name="计划② 选题库" sheetId="2" state="visible" r:id="rId2"/>
    <sheet xmlns:r="http://schemas.openxmlformats.org/officeDocument/2006/relationships" name="计划③ 写法与合规" sheetId="3" state="visible" r:id="rId3"/>
    <sheet xmlns:r="http://schemas.openxmlformats.org/officeDocument/2006/relationships" name="① 图文KOC投放笔记" sheetId="4" state="visible" r:id="rId4"/>
    <sheet xmlns:r="http://schemas.openxmlformats.org/officeDocument/2006/relationships" name="② 视频KOC投放笔记" sheetId="5" state="visible" r:id="rId5"/>
    <sheet xmlns:r="http://schemas.openxmlformats.org/officeDocument/2006/relationships" name="③ 店铺自发笔记" sheetId="6" state="visible" r:id="rId6"/>
    <sheet xmlns:r="http://schemas.openxmlformats.org/officeDocument/2006/relationships" name="④ 素人笔记·留存追踪" sheetId="7" state="visible" r:id="rId7"/>
    <sheet xmlns:r="http://schemas.openxmlformats.org/officeDocument/2006/relationships" name="⑤ 总览Dashboard" sheetId="8" state="visible" r:id="rId8"/>
    <sheet xmlns:r="http://schemas.openxmlformats.org/officeDocument/2006/relationships" name="⑥ 填写说明" sheetId="9" state="visible" r:id="rId9"/>
    <sheet xmlns:r="http://schemas.openxmlformats.org/officeDocument/2006/relationships" name="选项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0">
    <font>
      <name val="Calibri"/>
      <family val="2"/>
      <color theme="1"/>
      <sz val="11"/>
      <scheme val="minor"/>
    </font>
    <font>
      <name val="Microsoft YaHei"/>
      <charset val="134"/>
      <b val="1"/>
      <color rgb="FF1B2A4A"/>
      <sz val="14"/>
    </font>
    <font>
      <name val="Microsoft YaHei"/>
      <charset val="134"/>
      <b val="1"/>
      <color rgb="FF1B2A4A"/>
      <sz val="9"/>
    </font>
    <font>
      <name val="宋体"/>
      <charset val="134"/>
      <color theme="1"/>
      <sz val="11"/>
      <scheme val="minor"/>
    </font>
    <font>
      <name val="Microsoft YaHei"/>
      <charset val="134"/>
      <b val="1"/>
      <color rgb="FF3C6FF0"/>
      <sz val="13"/>
    </font>
    <font>
      <name val="Microsoft YaHei"/>
      <charset val="134"/>
      <b val="1"/>
      <color rgb="FF1B2A4A"/>
      <sz val="11"/>
    </font>
    <font>
      <name val="Microsoft YaHei"/>
      <charset val="134"/>
      <b val="1"/>
      <color rgb="FFFFFFFF"/>
      <sz val="10"/>
    </font>
    <font>
      <name val="Microsoft YaHei"/>
      <charset val="134"/>
      <b val="1"/>
      <color rgb="FFFFFFFF"/>
      <sz val="9.5"/>
    </font>
    <font>
      <name val="Microsoft YaHei"/>
      <charset val="134"/>
      <color rgb="FF000000"/>
      <sz val="9.5"/>
    </font>
    <font>
      <name val="Microsoft YaHei"/>
      <charset val="134"/>
      <color rgb="FF9AA0AD"/>
      <sz val="9.5"/>
    </font>
    <font>
      <name val="Microsoft YaHei"/>
      <charset val="134"/>
      <b val="1"/>
      <color rgb="FF000000"/>
      <sz val="10"/>
    </font>
    <font>
      <name val="Microsoft YaHei"/>
      <charset val="134"/>
      <b val="1"/>
      <color rgb="FF1B2A4A"/>
      <sz val="9.300000000000001"/>
    </font>
    <font>
      <name val="Microsoft YaHei"/>
      <charset val="134"/>
      <color rgb="FF000000"/>
      <sz val="9.300000000000001"/>
    </font>
    <font>
      <name val="Microsoft YaHei"/>
      <charset val="134"/>
      <color rgb="FF000000"/>
      <sz val="9"/>
    </font>
    <font>
      <name val="Microsoft YaHei"/>
      <charset val="134"/>
      <b val="1"/>
      <color rgb="FF000000"/>
      <sz val="9.300000000000001"/>
    </font>
    <font>
      <name val="Microsoft YaHei"/>
      <charset val="134"/>
      <color rgb="FF5B6472"/>
      <sz val="9.5"/>
    </font>
    <font>
      <name val="Microsoft YaHei"/>
      <charset val="134"/>
      <b val="1"/>
      <color rgb="FF1B2A4A"/>
      <sz val="13"/>
    </font>
    <font>
      <name val="Microsoft YaHei"/>
      <charset val="134"/>
      <b val="1"/>
      <color rgb="FFFFFFFF"/>
      <sz val="9"/>
    </font>
    <font>
      <name val="Microsoft YaHei"/>
      <charset val="134"/>
      <color rgb="FF000000"/>
      <sz val="9.199999999999999"/>
    </font>
    <font>
      <name val="Microsoft YaHei"/>
      <charset val="134"/>
      <color rgb="FF5B6472"/>
      <sz val="9"/>
    </font>
    <font>
      <name val="Microsoft YaHei"/>
      <charset val="134"/>
      <color rgb="FF000000"/>
      <sz val="6"/>
    </font>
    <font>
      <name val="Microsoft YaHei"/>
      <charset val="134"/>
      <b val="1"/>
      <color rgb="FF3C6FF0"/>
      <sz val="12"/>
    </font>
    <font>
      <name val="Microsoft YaHei"/>
      <charset val="134"/>
      <color rgb="FF000000"/>
      <sz val="9.6"/>
    </font>
    <font>
      <name val="Microsoft YaHei"/>
      <charset val="134"/>
      <b val="1"/>
      <color rgb="FFD2544F"/>
      <sz val="12"/>
    </font>
    <font>
      <name val="Microsoft YaHei"/>
      <charset val="134"/>
      <b val="1"/>
      <color rgb="FF000000"/>
      <sz val="9"/>
    </font>
    <font>
      <name val="Microsoft YaHei"/>
      <charset val="134"/>
      <b val="1"/>
      <color rgb="FF1F3864"/>
      <sz val="13"/>
    </font>
    <font>
      <name val="Microsoft YaHei"/>
      <charset val="134"/>
      <color rgb="FF808080"/>
      <sz val="9"/>
    </font>
    <font>
      <name val="Microsoft YaHei"/>
      <charset val="134"/>
      <b val="1"/>
      <color rgb="FF375623"/>
      <sz val="11"/>
    </font>
    <font>
      <name val="Microsoft YaHei"/>
      <charset val="134"/>
      <b val="1"/>
      <color rgb="FF1F3864"/>
      <sz val="12"/>
    </font>
    <font>
      <name val="Microsoft YaHei"/>
      <charset val="134"/>
      <color rgb="FF000000"/>
      <sz val="10"/>
    </font>
  </fonts>
  <fills count="26">
    <fill>
      <patternFill/>
    </fill>
    <fill>
      <patternFill patternType="gray125"/>
    </fill>
    <fill>
      <patternFill patternType="solid">
        <fgColor rgb="FFEAF1FF"/>
        <bgColor indexed="64"/>
      </patternFill>
    </fill>
    <fill>
      <patternFill patternType="solid">
        <fgColor rgb="FFF5F8FF"/>
        <bgColor indexed="64"/>
      </patternFill>
    </fill>
    <fill>
      <patternFill patternType="solid">
        <fgColor rgb="FF3C6FF0"/>
        <bgColor indexed="64"/>
      </patternFill>
    </fill>
    <fill>
      <patternFill patternType="solid">
        <fgColor rgb="FF2E9E6B"/>
        <bgColor indexed="64"/>
      </patternFill>
    </fill>
    <fill>
      <patternFill patternType="solid">
        <fgColor rgb="FF8E5AD6"/>
        <bgColor indexed="64"/>
      </patternFill>
    </fill>
    <fill>
      <patternFill patternType="solid">
        <fgColor rgb="FFD2544F"/>
        <bgColor indexed="64"/>
      </patternFill>
    </fill>
    <fill>
      <patternFill patternType="solid">
        <fgColor rgb="FFD6E4FF"/>
        <bgColor indexed="64"/>
      </patternFill>
    </fill>
    <fill>
      <patternFill patternType="solid">
        <fgColor rgb="FFD69300"/>
        <bgColor indexed="64"/>
      </patternFill>
    </fill>
    <fill>
      <patternFill patternType="solid">
        <fgColor rgb="FFFBEDE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833C00"/>
        <bgColor indexed="64"/>
      </patternFill>
    </fill>
    <fill>
      <patternFill patternType="solid">
        <fgColor rgb="FFBF6000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6DC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6D9F2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thin">
        <color rgb="FFC9D6EF"/>
      </left>
      <right style="thin">
        <color rgb="FFC9D6EF"/>
      </right>
      <top style="thin">
        <color rgb="FFC9D6EF"/>
      </top>
      <bottom style="thin">
        <color rgb="FFC9D6EF"/>
      </bottom>
      <diagonal/>
    </border>
    <border>
      <left/>
      <right style="thin">
        <color rgb="FFC9D6EF"/>
      </right>
      <top style="thin">
        <color rgb="FFC9D6EF"/>
      </top>
      <bottom style="thin">
        <color rgb="FFC9D6EF"/>
      </bottom>
      <diagonal/>
    </border>
    <border>
      <left/>
      <right/>
      <top style="thin">
        <color rgb="FFC9D6EF"/>
      </top>
      <bottom/>
      <diagonal/>
    </border>
    <border>
      <left/>
      <right style="thin">
        <color rgb="FFC9D6EF"/>
      </right>
      <top style="thin">
        <color rgb="FFC9D6EF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9" fontId="14" fillId="8" borderId="1" applyAlignment="1" pivotButton="0" quotePrefix="0" xfId="0">
      <alignment horizontal="center" vertical="center" wrapText="1"/>
    </xf>
    <xf numFmtId="0" fontId="3" fillId="8" borderId="1" pivotButton="0" quotePrefix="0" xfId="0"/>
    <xf numFmtId="0" fontId="15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left" vertical="top" wrapText="1"/>
    </xf>
    <xf numFmtId="0" fontId="21" fillId="2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3" fillId="10" borderId="0" applyAlignment="1" pivotButton="0" quotePrefix="0" xfId="0">
      <alignment horizontal="left" vertical="top" wrapText="1"/>
    </xf>
    <xf numFmtId="0" fontId="6" fillId="11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6" fillId="12" borderId="5" applyAlignment="1" pivotButton="0" quotePrefix="0" xfId="0">
      <alignment horizontal="center" vertical="center" wrapText="1"/>
    </xf>
    <xf numFmtId="0" fontId="6" fillId="13" borderId="5" applyAlignment="1" pivotButton="0" quotePrefix="0" xfId="0">
      <alignment horizontal="center" vertical="center" wrapText="1"/>
    </xf>
    <xf numFmtId="0" fontId="6" fillId="14" borderId="5" applyAlignment="1" pivotButton="0" quotePrefix="0" xfId="0">
      <alignment horizontal="center" vertical="center" wrapText="1"/>
    </xf>
    <xf numFmtId="0" fontId="6" fillId="15" borderId="5" applyAlignment="1" pivotButton="0" quotePrefix="0" xfId="0">
      <alignment horizontal="center" vertical="center" wrapText="1"/>
    </xf>
    <xf numFmtId="0" fontId="6" fillId="16" borderId="5" applyAlignment="1" pivotButton="0" quotePrefix="0" xfId="0">
      <alignment horizontal="center" vertical="center" wrapText="1"/>
    </xf>
    <xf numFmtId="0" fontId="6" fillId="17" borderId="5" applyAlignment="1" pivotButton="0" quotePrefix="0" xfId="0">
      <alignment horizontal="center" vertical="center" wrapText="1"/>
    </xf>
    <xf numFmtId="0" fontId="24" fillId="18" borderId="5" applyAlignment="1" pivotButton="0" quotePrefix="0" xfId="0">
      <alignment horizontal="center" vertical="center" wrapText="1"/>
    </xf>
    <xf numFmtId="0" fontId="24" fillId="19" borderId="5" applyAlignment="1" pivotButton="0" quotePrefix="0" xfId="0">
      <alignment horizontal="center" vertical="center" wrapText="1"/>
    </xf>
    <xf numFmtId="0" fontId="24" fillId="20" borderId="5" applyAlignment="1" pivotButton="0" quotePrefix="0" xfId="0">
      <alignment horizontal="center" vertical="center" wrapText="1"/>
    </xf>
    <xf numFmtId="0" fontId="24" fillId="21" borderId="5" applyAlignment="1" pivotButton="0" quotePrefix="0" xfId="0">
      <alignment horizontal="center" vertical="center" wrapText="1"/>
    </xf>
    <xf numFmtId="0" fontId="24" fillId="22" borderId="5" applyAlignment="1" pivotButton="0" quotePrefix="0" xfId="0">
      <alignment horizontal="center" vertical="center" wrapText="1"/>
    </xf>
    <xf numFmtId="0" fontId="24" fillId="23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3" fillId="24" borderId="5" applyAlignment="1" pivotButton="0" quotePrefix="0" xfId="0">
      <alignment horizontal="center" vertical="center" wrapText="1"/>
    </xf>
    <xf numFmtId="0" fontId="13" fillId="24" borderId="5" applyAlignment="1" pivotButton="0" quotePrefix="0" xfId="0">
      <alignment horizontal="left" vertical="center" wrapText="1"/>
    </xf>
    <xf numFmtId="0" fontId="13" fillId="25" borderId="5" applyAlignment="1" pivotButton="0" quotePrefix="0" xfId="0">
      <alignment horizontal="center" vertical="center" wrapText="1"/>
    </xf>
    <xf numFmtId="164" fontId="13" fillId="25" borderId="5" applyAlignment="1" pivotButton="0" quotePrefix="0" xfId="0">
      <alignment horizontal="center" vertical="center" wrapText="1"/>
    </xf>
    <xf numFmtId="165" fontId="13" fillId="25" borderId="5" applyAlignment="1" pivotButton="0" quotePrefix="0" xfId="0">
      <alignment horizontal="center" vertical="center" wrapText="1"/>
    </xf>
    <xf numFmtId="3" fontId="13" fillId="24" borderId="5" applyAlignment="1" pivotButton="0" quotePrefix="0" xfId="0">
      <alignment horizontal="center" vertical="center" wrapText="1"/>
    </xf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17" fillId="12" borderId="5" applyAlignment="1" pivotButton="0" quotePrefix="0" xfId="0">
      <alignment horizontal="center" vertical="center" wrapText="1"/>
    </xf>
    <xf numFmtId="0" fontId="13" fillId="0" borderId="5" pivotButton="0" quotePrefix="0" xfId="0"/>
    <xf numFmtId="0" fontId="3" fillId="0" borderId="5" pivotButton="0" quotePrefix="0" xfId="0"/>
    <xf numFmtId="3" fontId="3" fillId="0" borderId="5" pivotButton="0" quotePrefix="0" xfId="0"/>
    <xf numFmtId="164" fontId="3" fillId="0" borderId="5" pivotButton="0" quotePrefix="0" xfId="0"/>
    <xf numFmtId="165" fontId="3" fillId="0" borderId="5" pivotButton="0" quotePrefix="0" xfId="0"/>
    <xf numFmtId="0" fontId="28" fillId="0" borderId="0" pivotButton="0" quotePrefix="0" xfId="0"/>
    <xf numFmtId="0" fontId="29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2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C6FF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5"/>
    <col width="29.9711538461538" customWidth="1" min="6" max="6"/>
    <col width="9" customWidth="1" min="7" max="7"/>
    <col width="38.4615384615385" customWidth="1" min="8" max="8"/>
  </cols>
  <sheetData>
    <row r="1" ht="26" customHeight="1">
      <c r="A1" s="1" t="inlineStr">
        <is>
          <t>皇后的秘密面膜（Quality1st）· 小红书笔记方向与分布计划（8–11月 / 约122篇 / 双11前 · 不含预算）</t>
        </is>
      </c>
    </row>
    <row r="2" ht="20" customHeight="1">
      <c r="A2" s="2" t="inlineStr">
        <is>
          <t>总篇数</t>
        </is>
      </c>
      <c r="B2" s="3" t="n"/>
      <c r="C2" s="2" t="inlineStr">
        <is>
          <t>主力起点(痛点+品类)</t>
        </is>
      </c>
      <c r="D2" s="3" t="n"/>
      <c r="E2" s="2" t="inlineStr">
        <is>
          <t>视频占比</t>
        </is>
      </c>
      <c r="F2" s="3" t="n"/>
      <c r="G2" s="2" t="inlineStr">
        <is>
          <t>投放期</t>
        </is>
      </c>
      <c r="H2" s="3" t="n"/>
    </row>
    <row r="3" ht="24" customHeight="1">
      <c r="A3" s="4" t="inlineStr">
        <is>
          <t>约122篇</t>
        </is>
      </c>
      <c r="B3" s="3" t="n"/>
      <c r="C3" s="4" t="inlineStr">
        <is>
          <t>75%</t>
        </is>
      </c>
      <c r="D3" s="3" t="n"/>
      <c r="E3" s="4" t="inlineStr">
        <is>
          <t>约35%</t>
        </is>
      </c>
      <c r="F3" s="3" t="n"/>
      <c r="G3" s="4" t="inlineStr">
        <is>
          <t>8–11月·双11前</t>
        </is>
      </c>
      <c r="H3" s="3" t="n"/>
    </row>
    <row r="4"/>
    <row r="5">
      <c r="A5" s="5" t="inlineStr">
        <is>
          <t>表A ｜ 按「起点」× 月份 分布（起点＝这篇要接住正在找什么的人）</t>
        </is>
      </c>
    </row>
    <row r="6">
      <c r="A6" s="6" t="inlineStr">
        <is>
          <t>起点</t>
        </is>
      </c>
      <c r="B6" s="6" t="inlineStr">
        <is>
          <t>8月</t>
        </is>
      </c>
      <c r="C6" s="6" t="inlineStr">
        <is>
          <t>9月</t>
        </is>
      </c>
      <c r="D6" s="6" t="inlineStr">
        <is>
          <t>10月</t>
        </is>
      </c>
      <c r="E6" s="6" t="inlineStr">
        <is>
          <t>11月</t>
        </is>
      </c>
      <c r="F6" s="6" t="inlineStr">
        <is>
          <t>合计</t>
        </is>
      </c>
      <c r="G6" s="6" t="inlineStr">
        <is>
          <t>占比</t>
        </is>
      </c>
      <c r="H6" s="6" t="inlineStr">
        <is>
          <t>主形式</t>
        </is>
      </c>
    </row>
    <row r="7" ht="22" customHeight="1">
      <c r="A7" s="7" t="inlineStr">
        <is>
          <t>痛点起点</t>
        </is>
      </c>
      <c r="B7" s="8" t="n">
        <v>22</v>
      </c>
      <c r="C7" s="8" t="n">
        <v>18</v>
      </c>
      <c r="D7" s="8" t="n">
        <v>8</v>
      </c>
      <c r="E7" s="8" t="n">
        <v>2</v>
      </c>
      <c r="F7" s="8" t="n">
        <v>50</v>
      </c>
      <c r="G7" s="8" t="inlineStr">
        <is>
          <t>41%</t>
        </is>
      </c>
      <c r="H7" s="9" t="inlineStr">
        <is>
          <t>场景视频＋3分钟前后对比</t>
        </is>
      </c>
    </row>
    <row r="8" ht="22" customHeight="1">
      <c r="A8" s="10" t="inlineStr">
        <is>
          <t>品类起点</t>
        </is>
      </c>
      <c r="B8" s="8" t="n">
        <v>16</v>
      </c>
      <c r="C8" s="8" t="n">
        <v>16</v>
      </c>
      <c r="D8" s="8" t="n">
        <v>8</v>
      </c>
      <c r="E8" s="8" t="n">
        <v>2</v>
      </c>
      <c r="F8" s="8" t="n">
        <v>42</v>
      </c>
      <c r="G8" s="8" t="inlineStr">
        <is>
          <t>34%</t>
        </is>
      </c>
      <c r="H8" s="9" t="inlineStr">
        <is>
          <t>选购攻略／合集（7图＋）</t>
        </is>
      </c>
    </row>
    <row r="9" ht="22" customHeight="1">
      <c r="A9" s="11" t="inlineStr">
        <is>
          <t>品牌起点</t>
        </is>
      </c>
      <c r="B9" s="8" t="n">
        <v>4</v>
      </c>
      <c r="C9" s="8" t="n">
        <v>4</v>
      </c>
      <c r="D9" s="8" t="n">
        <v>3</v>
      </c>
      <c r="E9" s="8" t="n">
        <v>2</v>
      </c>
      <c r="F9" s="8" t="n">
        <v>13</v>
      </c>
      <c r="G9" s="8" t="inlineStr">
        <is>
          <t>11%</t>
        </is>
      </c>
      <c r="H9" s="9" t="inlineStr">
        <is>
          <t>分款答疑·黑钻VC100用法</t>
        </is>
      </c>
    </row>
    <row r="10" ht="22" customHeight="1">
      <c r="A10" s="12" t="inlineStr">
        <is>
          <t>旅行/代购起点</t>
        </is>
      </c>
      <c r="B10" s="13" t="n">
        <v>0</v>
      </c>
      <c r="C10" s="13" t="n">
        <v>0</v>
      </c>
      <c r="D10" s="13" t="n">
        <v>0</v>
      </c>
      <c r="E10" s="13" t="n">
        <v>0</v>
      </c>
      <c r="F10" s="13" t="n">
        <v>0</v>
      </c>
      <c r="G10" s="13" t="inlineStr">
        <is>
          <t>0%</t>
        </is>
      </c>
      <c r="H10" s="14" t="inlineStr">
        <is>
          <t>本期不做（会推回日本旅行标签）</t>
        </is>
      </c>
    </row>
    <row r="11" ht="31" customHeight="1">
      <c r="A11" s="15" t="inlineStr">
        <is>
          <t>合计</t>
        </is>
      </c>
      <c r="B11" s="16" t="n">
        <v>46</v>
      </c>
      <c r="C11" s="16" t="n">
        <v>45</v>
      </c>
      <c r="D11" s="16" t="n">
        <v>25</v>
      </c>
      <c r="E11" s="16" t="n">
        <v>6</v>
      </c>
      <c r="F11" s="16" t="n">
        <v>122</v>
      </c>
      <c r="G11" s="16" t="inlineStr">
        <is>
          <t>100%</t>
        </is>
      </c>
      <c r="H11" s="15" t="inlineStr">
        <is>
          <t>痛点+品类=91篇(75%)为重心，也是最缺的内容</t>
        </is>
      </c>
    </row>
    <row r="12"/>
    <row r="13">
      <c r="A13" s="5" t="inlineStr">
        <is>
          <t>表B ｜ 按「笔记类型 / 形式」分布（团队照此配置内容·不含预算）</t>
        </is>
      </c>
    </row>
    <row r="14" ht="31" customHeight="1">
      <c r="A14" s="6" t="inlineStr">
        <is>
          <t>笔记类型</t>
        </is>
      </c>
      <c r="B14" s="6" t="inlineStr">
        <is>
          <t>形式</t>
        </is>
      </c>
      <c r="C14" s="6" t="inlineStr">
        <is>
          <t>篇数</t>
        </is>
      </c>
      <c r="D14" s="6" t="inlineStr">
        <is>
          <t>占比</t>
        </is>
      </c>
      <c r="E14" s="6" t="inlineStr">
        <is>
          <t>对应起点</t>
        </is>
      </c>
      <c r="F14" s="6" t="inlineStr">
        <is>
          <t>作用</t>
        </is>
      </c>
      <c r="G14" s="6" t="inlineStr">
        <is>
          <t>写法要点</t>
        </is>
      </c>
      <c r="H14" s="3" t="n"/>
    </row>
    <row r="15" ht="28" customHeight="1">
      <c r="A15" s="17" t="inlineStr">
        <is>
          <t>场景种草视频</t>
        </is>
      </c>
      <c r="B15" s="18" t="inlineStr">
        <is>
          <t>视频</t>
        </is>
      </c>
      <c r="C15" s="19" t="n">
        <v>43</v>
      </c>
      <c r="D15" s="19" t="inlineStr">
        <is>
          <t>35%</t>
        </is>
      </c>
      <c r="E15" s="18" t="inlineStr">
        <is>
          <t>痛点/品牌用法</t>
        </is>
      </c>
      <c r="F15" s="18" t="inlineStr">
        <is>
          <t>母婴级信任·爆文引擎</t>
        </is>
      </c>
      <c r="G15" s="20" t="inlineStr">
        <is>
          <t>真人素颜·3分钟前后同角度对比·先写状态不写品牌</t>
        </is>
      </c>
      <c r="H15" s="3" t="n"/>
    </row>
    <row r="16" ht="28" customHeight="1">
      <c r="A16" s="17" t="inlineStr">
        <is>
          <t>痛点体验图文</t>
        </is>
      </c>
      <c r="B16" s="18" t="inlineStr">
        <is>
          <t>图文</t>
        </is>
      </c>
      <c r="C16" s="19" t="n">
        <v>15</v>
      </c>
      <c r="D16" s="19" t="inlineStr">
        <is>
          <t>12%</t>
        </is>
      </c>
      <c r="E16" s="18" t="inlineStr">
        <is>
          <t>痛点</t>
        </is>
      </c>
      <c r="F16" s="18" t="inlineStr">
        <is>
          <t>铺量·占搜索长尾</t>
        </is>
      </c>
      <c r="G16" s="20" t="inlineStr">
        <is>
          <t>状态+真实体感·多图·答案式开头埋长尾词</t>
        </is>
      </c>
      <c r="H16" s="3" t="n"/>
    </row>
    <row r="17" ht="28" customHeight="1">
      <c r="A17" s="17" t="inlineStr">
        <is>
          <t>选购攻略·合集</t>
        </is>
      </c>
      <c r="B17" s="18" t="inlineStr">
        <is>
          <t>图文/KOL</t>
        </is>
      </c>
      <c r="C17" s="19" t="n">
        <v>30</v>
      </c>
      <c r="D17" s="19" t="inlineStr">
        <is>
          <t>25%</t>
        </is>
      </c>
      <c r="E17" s="18" t="inlineStr">
        <is>
          <t>品类</t>
        </is>
      </c>
      <c r="F17" s="18" t="inlineStr">
        <is>
          <t>搜索金矿·高收藏</t>
        </is>
      </c>
      <c r="G17" s="20" t="inlineStr">
        <is>
          <t>7图以上·按肤质分类表·品牌只作其中一个选项</t>
        </is>
      </c>
      <c r="H17" s="3" t="n"/>
    </row>
    <row r="18" ht="28" customHeight="1">
      <c r="A18" s="17" t="inlineStr">
        <is>
          <t>品牌答疑·用法</t>
        </is>
      </c>
      <c r="B18" s="18" t="inlineStr">
        <is>
          <t>图文/视频</t>
        </is>
      </c>
      <c r="C18" s="19" t="n">
        <v>17</v>
      </c>
      <c r="D18" s="19" t="inlineStr">
        <is>
          <t>14%</t>
        </is>
      </c>
      <c r="E18" s="18" t="inlineStr">
        <is>
          <t>品牌</t>
        </is>
      </c>
      <c r="F18" s="18" t="inlineStr">
        <is>
          <t>立主角·统一心智</t>
        </is>
      </c>
      <c r="G18" s="20" t="inlineStr">
        <is>
          <t>分款功效对比表·敷3分钟正确步骤·黑钻VC100主角</t>
        </is>
      </c>
      <c r="H18" s="3" t="n"/>
    </row>
    <row r="19" ht="26" customHeight="1">
      <c r="A19" s="21" t="inlineStr">
        <is>
          <t>合计</t>
        </is>
      </c>
      <c r="B19" s="21" t="inlineStr"/>
      <c r="C19" s="22" t="n">
        <v>122</v>
      </c>
      <c r="D19" s="23" t="n">
        <v>1</v>
      </c>
      <c r="E19" s="21" t="inlineStr"/>
      <c r="F19" s="21" t="inlineStr">
        <is>
          <t>形式配比：视频约43 · 图文约58 · 攻略合集约30(含腰部KOL约21)</t>
        </is>
      </c>
      <c r="G19" s="24" t="n"/>
      <c r="H19" s="24" t="n"/>
    </row>
    <row r="20"/>
    <row r="21" ht="44" customHeight="1">
      <c r="A21" s="25" t="inlineStr">
        <is>
          <t>核心思路（来自你的100篇复盘）：① 视频从10%提到约35%（视频均互动857 vs 图文150）；② 立「黑钻VC100」为主角+统一品牌词（原9款无主角、仅51%提及）；③ 补攻略引擎（原A攻略仅8篇）；④ 淘汰日本杂货代购号，换赛道到毛孔/面膜。详见「③ 写法逻辑与合规」。</t>
        </is>
      </c>
    </row>
  </sheetData>
  <mergeCells count="17">
    <mergeCell ref="A2:B2"/>
    <mergeCell ref="A21:H21"/>
    <mergeCell ref="A5:H5"/>
    <mergeCell ref="C2:D2"/>
    <mergeCell ref="G2:H2"/>
    <mergeCell ref="E2:F2"/>
    <mergeCell ref="G15:H15"/>
    <mergeCell ref="G16:H16"/>
    <mergeCell ref="G17:H17"/>
    <mergeCell ref="A13:H13"/>
    <mergeCell ref="G14:H14"/>
    <mergeCell ref="A1:H1"/>
    <mergeCell ref="G18:H18"/>
    <mergeCell ref="C3:D3"/>
    <mergeCell ref="A3:B3"/>
    <mergeCell ref="G3:H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C6FF0"/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3" customWidth="1" min="3" max="3"/>
    <col width="51.4423076923077" customWidth="1" min="4" max="4"/>
    <col width="20" customWidth="1" min="5" max="5"/>
    <col width="10" customWidth="1" min="6" max="6"/>
    <col width="7" customWidth="1" min="7" max="7"/>
    <col width="8" customWidth="1" min="8" max="8"/>
    <col width="30" customWidth="1" min="9" max="9"/>
  </cols>
  <sheetData>
    <row r="1" ht="24" customHeight="1">
      <c r="A1" s="26" t="inlineStr">
        <is>
          <t>皇后的秘密面膜 笔记选题库（方向模板·可复制放大）—— 标题为示例方向，团队据此扩写；每个方向可由不同达人各写数篇</t>
        </is>
      </c>
    </row>
    <row r="2" ht="22" customHeight="1">
      <c r="A2" s="6" t="inlineStr">
        <is>
          <t>#</t>
        </is>
      </c>
      <c r="B2" s="6" t="inlineStr">
        <is>
          <t>起点</t>
        </is>
      </c>
      <c r="C2" s="6" t="inlineStr">
        <is>
          <t>笔记类型</t>
        </is>
      </c>
      <c r="D2" s="6" t="inlineStr">
        <is>
          <t>选题方向（标题示例）</t>
        </is>
      </c>
      <c r="E2" s="6" t="inlineStr">
        <is>
          <t>核心搜索/关键词</t>
        </is>
      </c>
      <c r="F2" s="6" t="inlineStr">
        <is>
          <t>形式</t>
        </is>
      </c>
      <c r="G2" s="6" t="inlineStr">
        <is>
          <t>建议月</t>
        </is>
      </c>
      <c r="H2" s="6" t="inlineStr">
        <is>
          <t>合规</t>
        </is>
      </c>
      <c r="I2" s="6" t="inlineStr">
        <is>
          <t>写法要点</t>
        </is>
      </c>
    </row>
    <row r="3" ht="26" customHeight="1">
      <c r="A3" s="27" t="n">
        <v>1</v>
      </c>
      <c r="B3" s="28" t="inlineStr">
        <is>
          <t>痛点</t>
        </is>
      </c>
      <c r="C3" s="29" t="inlineStr">
        <is>
          <t>场景视频</t>
        </is>
      </c>
      <c r="D3" s="30" t="inlineStr">
        <is>
          <t>熬夜第二天脸垮了，通勤前3分钟救回来的一步</t>
        </is>
      </c>
      <c r="E3" s="29" t="inlineStr">
        <is>
          <t>熬夜脸用什么面膜</t>
        </is>
      </c>
      <c r="F3" s="29" t="inlineStr">
        <is>
          <t>视频</t>
        </is>
      </c>
      <c r="G3" s="29" t="inlineStr">
        <is>
          <t>8</t>
        </is>
      </c>
      <c r="H3" s="28" t="inlineStr">
        <is>
          <t>可用</t>
        </is>
      </c>
      <c r="I3" s="20" t="inlineStr">
        <is>
          <t>真人素颜·3分钟前后同角度对比·金色款·先写状态不写品牌</t>
        </is>
      </c>
    </row>
    <row r="4" ht="26" customHeight="1">
      <c r="A4" s="27" t="n">
        <v>2</v>
      </c>
      <c r="B4" s="28" t="inlineStr">
        <is>
          <t>痛点</t>
        </is>
      </c>
      <c r="C4" s="29" t="inlineStr">
        <is>
          <t>场景视频</t>
        </is>
      </c>
      <c r="D4" s="30" t="inlineStr">
        <is>
          <t>油皮大毛孔，换季我这样敷更服帖</t>
        </is>
      </c>
      <c r="E4" s="29" t="inlineStr">
        <is>
          <t>油皮面膜推荐</t>
        </is>
      </c>
      <c r="F4" s="29" t="inlineStr">
        <is>
          <t>视频</t>
        </is>
      </c>
      <c r="G4" s="29" t="inlineStr">
        <is>
          <t>8</t>
        </is>
      </c>
      <c r="H4" s="31" t="inlineStr">
        <is>
          <t>软化</t>
        </is>
      </c>
      <c r="I4" s="20" t="inlineStr">
        <is>
          <t>细致毛孔/控油=软化·禁「收缩毛孔」·黑色款/黑钻VC100</t>
        </is>
      </c>
    </row>
    <row r="5" ht="26" customHeight="1">
      <c r="A5" s="27" t="n">
        <v>3</v>
      </c>
      <c r="B5" s="28" t="inlineStr">
        <is>
          <t>痛点</t>
        </is>
      </c>
      <c r="C5" s="29" t="inlineStr">
        <is>
          <t>场景视频</t>
        </is>
      </c>
      <c r="D5" s="30" t="inlineStr">
        <is>
          <t>暗沉没气色，敷完妆前很服帖</t>
        </is>
      </c>
      <c r="E5" s="29" t="inlineStr">
        <is>
          <t>面膜 妆前 服帖</t>
        </is>
      </c>
      <c r="F5" s="29" t="inlineStr">
        <is>
          <t>视频</t>
        </is>
      </c>
      <c r="G5" s="29" t="inlineStr">
        <is>
          <t>9</t>
        </is>
      </c>
      <c r="H5" s="28" t="inlineStr">
        <is>
          <t>可用</t>
        </is>
      </c>
      <c r="I5" s="20" t="inlineStr">
        <is>
          <t>妆前场景·服帖/透亮=可用·真人上妆·银色/金色款</t>
        </is>
      </c>
    </row>
    <row r="6" ht="26" customHeight="1">
      <c r="A6" s="27" t="n">
        <v>4</v>
      </c>
      <c r="B6" s="28" t="inlineStr">
        <is>
          <t>痛点</t>
        </is>
      </c>
      <c r="C6" s="29" t="inlineStr">
        <is>
          <t>痛点图文</t>
        </is>
      </c>
      <c r="D6" s="30" t="inlineStr">
        <is>
          <t>熬夜党的急救面膜，3分钟=1支精华</t>
        </is>
      </c>
      <c r="E6" s="29" t="inlineStr">
        <is>
          <t>熬夜急救 面膜</t>
        </is>
      </c>
      <c r="F6" s="29" t="inlineStr">
        <is>
          <t>图文</t>
        </is>
      </c>
      <c r="G6" s="29" t="inlineStr">
        <is>
          <t>8</t>
        </is>
      </c>
      <c r="H6" s="28" t="inlineStr">
        <is>
          <t>可用</t>
        </is>
      </c>
      <c r="I6" s="20" t="inlineStr">
        <is>
          <t>3分钟=1支精华（事实陈述）·真实体验·多图</t>
        </is>
      </c>
    </row>
    <row r="7" ht="26" customHeight="1">
      <c r="A7" s="27" t="n">
        <v>5</v>
      </c>
      <c r="B7" s="28" t="inlineStr">
        <is>
          <t>痛点</t>
        </is>
      </c>
      <c r="C7" s="29" t="inlineStr">
        <is>
          <t>场景视频</t>
        </is>
      </c>
      <c r="D7" s="30" t="inlineStr">
        <is>
          <t>换季干燥卡粉，妆前敷这片补水</t>
        </is>
      </c>
      <c r="E7" s="29" t="inlineStr">
        <is>
          <t>换季维稳 面膜</t>
        </is>
      </c>
      <c r="F7" s="29" t="inlineStr">
        <is>
          <t>视频</t>
        </is>
      </c>
      <c r="G7" s="29" t="inlineStr">
        <is>
          <t>9</t>
        </is>
      </c>
      <c r="H7" s="28" t="inlineStr">
        <is>
          <t>可用</t>
        </is>
      </c>
      <c r="I7" s="20" t="inlineStr">
        <is>
          <t>补水保湿=可用·浅蓝神经酰胺款·妆前对比</t>
        </is>
      </c>
    </row>
    <row r="8" ht="26" customHeight="1">
      <c r="A8" s="27" t="n">
        <v>6</v>
      </c>
      <c r="B8" s="28" t="inlineStr">
        <is>
          <t>痛点</t>
        </is>
      </c>
      <c r="C8" s="29" t="inlineStr">
        <is>
          <t>痛点图文</t>
        </is>
      </c>
      <c r="D8" s="30" t="inlineStr">
        <is>
          <t>油痘肌闷痘期，我的温和补水护理</t>
        </is>
      </c>
      <c r="E8" s="29" t="inlineStr">
        <is>
          <t>干敏肌 面膜</t>
        </is>
      </c>
      <c r="F8" s="29" t="inlineStr">
        <is>
          <t>图文</t>
        </is>
      </c>
      <c r="G8" s="29" t="inlineStr">
        <is>
          <t>10</t>
        </is>
      </c>
      <c r="H8" s="28" t="inlineStr">
        <is>
          <t>可用</t>
        </is>
      </c>
      <c r="I8" s="20" t="inlineStr">
        <is>
          <t>补水/温和=可用·禁「祛痘/修复」·浅蓝款</t>
        </is>
      </c>
    </row>
    <row r="9" ht="26" customHeight="1">
      <c r="A9" s="27" t="n">
        <v>7</v>
      </c>
      <c r="B9" s="28" t="inlineStr">
        <is>
          <t>痛点</t>
        </is>
      </c>
      <c r="C9" s="29" t="inlineStr">
        <is>
          <t>场景视频</t>
        </is>
      </c>
      <c r="D9" s="30" t="inlineStr">
        <is>
          <t>加班脸色差，早八3分钟贴一片</t>
        </is>
      </c>
      <c r="E9" s="29" t="inlineStr">
        <is>
          <t>气色差 面膜</t>
        </is>
      </c>
      <c r="F9" s="29" t="inlineStr">
        <is>
          <t>视频</t>
        </is>
      </c>
      <c r="G9" s="29" t="inlineStr">
        <is>
          <t>10</t>
        </is>
      </c>
      <c r="H9" s="28" t="inlineStr">
        <is>
          <t>可用</t>
        </is>
      </c>
      <c r="I9" s="20" t="inlineStr">
        <is>
          <t>细腻/清爽=可用·场景真实·金色款</t>
        </is>
      </c>
    </row>
    <row r="10" ht="26" customHeight="1">
      <c r="A10" s="27" t="n">
        <v>8</v>
      </c>
      <c r="B10" s="28" t="inlineStr">
        <is>
          <t>痛点</t>
        </is>
      </c>
      <c r="C10" s="29" t="inlineStr">
        <is>
          <t>痛点图文</t>
        </is>
      </c>
      <c r="D10" s="30" t="inlineStr">
        <is>
          <t>秋冬脸干紧绷，换季补水急救</t>
        </is>
      </c>
      <c r="E10" s="29" t="inlineStr">
        <is>
          <t>换季 补水 面膜</t>
        </is>
      </c>
      <c r="F10" s="29" t="inlineStr">
        <is>
          <t>图文</t>
        </is>
      </c>
      <c r="G10" s="29" t="inlineStr">
        <is>
          <t>10</t>
        </is>
      </c>
      <c r="H10" s="28" t="inlineStr">
        <is>
          <t>可用</t>
        </is>
      </c>
      <c r="I10" s="20" t="inlineStr">
        <is>
          <t>补水保湿=可用·真实体感·浅蓝款</t>
        </is>
      </c>
    </row>
    <row r="11" ht="26" customHeight="1">
      <c r="A11" s="27" t="n">
        <v>9</v>
      </c>
      <c r="B11" s="32" t="inlineStr">
        <is>
          <t>品类</t>
        </is>
      </c>
      <c r="C11" s="29" t="inlineStr">
        <is>
          <t>选购攻略</t>
        </is>
      </c>
      <c r="D11" s="30" t="inlineStr">
        <is>
          <t>日本面膜怎么选不踩雷｜按肤质分</t>
        </is>
      </c>
      <c r="E11" s="29" t="inlineStr">
        <is>
          <t>日本面膜怎么选</t>
        </is>
      </c>
      <c r="F11" s="29" t="inlineStr">
        <is>
          <t>合集</t>
        </is>
      </c>
      <c r="G11" s="29" t="inlineStr">
        <is>
          <t>8</t>
        </is>
      </c>
      <c r="H11" s="28" t="inlineStr">
        <is>
          <t>可用</t>
        </is>
      </c>
      <c r="I11" s="20" t="inlineStr">
        <is>
          <t>7图以上·按肤质分类表·皇后只作其中一个选项</t>
        </is>
      </c>
    </row>
    <row r="12" ht="26" customHeight="1">
      <c r="A12" s="27" t="n">
        <v>10</v>
      </c>
      <c r="B12" s="32" t="inlineStr">
        <is>
          <t>品类</t>
        </is>
      </c>
      <c r="C12" s="29" t="inlineStr">
        <is>
          <t>选购攻略</t>
        </is>
      </c>
      <c r="D12" s="30" t="inlineStr">
        <is>
          <t>VC面膜怎么挑，浓度看哪里</t>
        </is>
      </c>
      <c r="E12" s="29" t="inlineStr">
        <is>
          <t>VC面膜怎么选</t>
        </is>
      </c>
      <c r="F12" s="29" t="inlineStr">
        <is>
          <t>攻略</t>
        </is>
      </c>
      <c r="G12" s="29" t="inlineStr">
        <is>
          <t>8</t>
        </is>
      </c>
      <c r="H12" s="28" t="inlineStr">
        <is>
          <t>可用</t>
        </is>
      </c>
      <c r="I12" s="20" t="inlineStr">
        <is>
          <t>成分科普·VC/烟酰胺客观陈述·黑钻VC100列入</t>
        </is>
      </c>
    </row>
    <row r="13" ht="26" customHeight="1">
      <c r="A13" s="27" t="n">
        <v>11</v>
      </c>
      <c r="B13" s="32" t="inlineStr">
        <is>
          <t>品类</t>
        </is>
      </c>
      <c r="C13" s="29" t="inlineStr">
        <is>
          <t>选购合集</t>
        </is>
      </c>
      <c r="D13" s="30" t="inlineStr">
        <is>
          <t>敏感肌面膜推荐，避开这几类</t>
        </is>
      </c>
      <c r="E13" s="29" t="inlineStr">
        <is>
          <t>敏感肌面膜推荐</t>
        </is>
      </c>
      <c r="F13" s="29" t="inlineStr">
        <is>
          <t>合集</t>
        </is>
      </c>
      <c r="G13" s="29" t="inlineStr">
        <is>
          <t>9</t>
        </is>
      </c>
      <c r="H13" s="31" t="inlineStr">
        <is>
          <t>软化</t>
        </is>
      </c>
      <c r="I13" s="20" t="inlineStr">
        <is>
          <t>『敏感肌也在用』优于『适合敏感肌』·神经酰胺款</t>
        </is>
      </c>
    </row>
    <row r="14" ht="26" customHeight="1">
      <c r="A14" s="27" t="n">
        <v>12</v>
      </c>
      <c r="B14" s="32" t="inlineStr">
        <is>
          <t>品类</t>
        </is>
      </c>
      <c r="C14" s="29" t="inlineStr">
        <is>
          <t>选购合集</t>
        </is>
      </c>
      <c r="D14" s="30" t="inlineStr">
        <is>
          <t>打工人平价面膜合集，学生党收藏</t>
        </is>
      </c>
      <c r="E14" s="29" t="inlineStr">
        <is>
          <t>平价面膜</t>
        </is>
      </c>
      <c r="F14" s="29" t="inlineStr">
        <is>
          <t>合集</t>
        </is>
      </c>
      <c r="G14" s="29" t="inlineStr">
        <is>
          <t>9</t>
        </is>
      </c>
      <c r="H14" s="28" t="inlineStr">
        <is>
          <t>可用</t>
        </is>
      </c>
      <c r="I14" s="20" t="inlineStr">
        <is>
          <t>平价作合集角度·个体不打『超便宜』·清单型</t>
        </is>
      </c>
    </row>
    <row r="15" ht="26" customHeight="1">
      <c r="A15" s="27" t="n">
        <v>13</v>
      </c>
      <c r="B15" s="32" t="inlineStr">
        <is>
          <t>品类</t>
        </is>
      </c>
      <c r="C15" s="29" t="inlineStr">
        <is>
          <t>选购合集</t>
        </is>
      </c>
      <c r="D15" s="30" t="inlineStr">
        <is>
          <t>熬夜急救面膜清单，加班党必囤</t>
        </is>
      </c>
      <c r="E15" s="29" t="inlineStr">
        <is>
          <t>熬夜脸用什么面膜</t>
        </is>
      </c>
      <c r="F15" s="29" t="inlineStr">
        <is>
          <t>合集</t>
        </is>
      </c>
      <c r="G15" s="29" t="inlineStr">
        <is>
          <t>8</t>
        </is>
      </c>
      <c r="H15" s="28" t="inlineStr">
        <is>
          <t>可用</t>
        </is>
      </c>
      <c r="I15" s="20" t="inlineStr">
        <is>
          <t>清单型·高收藏·搜索承接·金色款</t>
        </is>
      </c>
    </row>
    <row r="16" ht="26" customHeight="1">
      <c r="A16" s="27" t="n">
        <v>14</v>
      </c>
      <c r="B16" s="32" t="inlineStr">
        <is>
          <t>品类</t>
        </is>
      </c>
      <c r="C16" s="29" t="inlineStr">
        <is>
          <t>选购攻略</t>
        </is>
      </c>
      <c r="D16" s="30" t="inlineStr">
        <is>
          <t>妆前面膜怎么选，上妆更服帖</t>
        </is>
      </c>
      <c r="E16" s="29" t="inlineStr">
        <is>
          <t>妆前面膜</t>
        </is>
      </c>
      <c r="F16" s="29" t="inlineStr">
        <is>
          <t>攻略</t>
        </is>
      </c>
      <c r="G16" s="29" t="inlineStr">
        <is>
          <t>9</t>
        </is>
      </c>
      <c r="H16" s="28" t="inlineStr">
        <is>
          <t>可用</t>
        </is>
      </c>
      <c r="I16" s="20" t="inlineStr">
        <is>
          <t>妆前场景·服帖/细腻=可用</t>
        </is>
      </c>
    </row>
    <row r="17" ht="26" customHeight="1">
      <c r="A17" s="27" t="n">
        <v>15</v>
      </c>
      <c r="B17" s="32" t="inlineStr">
        <is>
          <t>品类</t>
        </is>
      </c>
      <c r="C17" s="29" t="inlineStr">
        <is>
          <t>选购合集</t>
        </is>
      </c>
      <c r="D17" s="30" t="inlineStr">
        <is>
          <t>毛孔面膜推荐，油皮细致毛孔怎么选</t>
        </is>
      </c>
      <c r="E17" s="29" t="inlineStr">
        <is>
          <t>毛孔面膜推荐</t>
        </is>
      </c>
      <c r="F17" s="29" t="inlineStr">
        <is>
          <t>合集</t>
        </is>
      </c>
      <c r="G17" s="29" t="inlineStr">
        <is>
          <t>10</t>
        </is>
      </c>
      <c r="H17" s="31" t="inlineStr">
        <is>
          <t>软化</t>
        </is>
      </c>
      <c r="I17" s="20" t="inlineStr">
        <is>
          <t>细致毛孔=软化·禁「收缩毛孔」·黑钻VC100/黑色款</t>
        </is>
      </c>
    </row>
    <row r="18" ht="26" customHeight="1">
      <c r="A18" s="27" t="n">
        <v>16</v>
      </c>
      <c r="B18" s="32" t="inlineStr">
        <is>
          <t>品类</t>
        </is>
      </c>
      <c r="C18" s="29" t="inlineStr">
        <is>
          <t>选购攻略</t>
        </is>
      </c>
      <c r="D18" s="30" t="inlineStr">
        <is>
          <t>神经酰胺面膜怎么选，换季维稳看这几点</t>
        </is>
      </c>
      <c r="E18" s="29" t="inlineStr">
        <is>
          <t>神经酰胺面膜</t>
        </is>
      </c>
      <c r="F18" s="29" t="inlineStr">
        <is>
          <t>攻略</t>
        </is>
      </c>
      <c r="G18" s="29" t="inlineStr">
        <is>
          <t>10</t>
        </is>
      </c>
      <c r="H18" s="28" t="inlineStr">
        <is>
          <t>可用</t>
        </is>
      </c>
      <c r="I18" s="20" t="inlineStr">
        <is>
          <t>成分逻辑·补水温和=可用·浅蓝款</t>
        </is>
      </c>
    </row>
    <row r="19" ht="26" customHeight="1">
      <c r="A19" s="27" t="n">
        <v>22</v>
      </c>
      <c r="B19" s="33" t="inlineStr">
        <is>
          <t>品牌</t>
        </is>
      </c>
      <c r="C19" s="29" t="inlineStr">
        <is>
          <t>答疑指南</t>
        </is>
      </c>
      <c r="D19" s="30" t="inlineStr">
        <is>
          <t>金/黑/浅蓝/银 4款面膜怎么选？一篇看懂区别+适配肤质</t>
        </is>
      </c>
      <c r="E19" s="29" t="inlineStr">
        <is>
          <t>皇后的秘密 款式区别</t>
        </is>
      </c>
      <c r="F19" s="29" t="inlineStr">
        <is>
          <t>图文</t>
        </is>
      </c>
      <c r="G19" s="29" t="inlineStr">
        <is>
          <t>8</t>
        </is>
      </c>
      <c r="H19" s="28" t="inlineStr">
        <is>
          <t>可用</t>
        </is>
      </c>
      <c r="I19" s="20" t="inlineStr">
        <is>
          <t>分款功效对比表·统一品牌词·各款天猫链接</t>
        </is>
      </c>
    </row>
    <row r="20" ht="26" customHeight="1">
      <c r="A20" s="27" t="n">
        <v>23</v>
      </c>
      <c r="B20" s="33" t="inlineStr">
        <is>
          <t>品牌</t>
        </is>
      </c>
      <c r="C20" s="29" t="inlineStr">
        <is>
          <t>用法视频</t>
        </is>
      </c>
      <c r="D20" s="30" t="inlineStr">
        <is>
          <t>黑钻VC100面膜怎么用，敷几分钟最好</t>
        </is>
      </c>
      <c r="E20" s="29" t="inlineStr">
        <is>
          <t>黑钻VC100 怎么用</t>
        </is>
      </c>
      <c r="F20" s="29" t="inlineStr">
        <is>
          <t>视频</t>
        </is>
      </c>
      <c r="G20" s="29" t="inlineStr">
        <is>
          <t>9</t>
        </is>
      </c>
      <c r="H20" s="28" t="inlineStr">
        <is>
          <t>可用</t>
        </is>
      </c>
      <c r="I20" s="20" t="inlineStr">
        <is>
          <t>敷3分钟正确步骤·黑钻VC100主角·真人演示</t>
        </is>
      </c>
    </row>
    <row r="21" ht="26" customHeight="1">
      <c r="A21" s="27" t="n">
        <v>24</v>
      </c>
      <c r="B21" s="33" t="inlineStr">
        <is>
          <t>品牌</t>
        </is>
      </c>
      <c r="C21" s="29" t="inlineStr">
        <is>
          <t>答疑</t>
        </is>
      </c>
      <c r="D21" s="30" t="inlineStr">
        <is>
          <t>皇后的秘密面膜正确敷法，别再敷太久</t>
        </is>
      </c>
      <c r="E21" s="29" t="inlineStr">
        <is>
          <t>皇后的秘密 敷几分钟</t>
        </is>
      </c>
      <c r="F21" s="29" t="inlineStr">
        <is>
          <t>图文</t>
        </is>
      </c>
      <c r="G21" s="29" t="inlineStr">
        <is>
          <t>9</t>
        </is>
      </c>
      <c r="H21" s="28" t="inlineStr">
        <is>
          <t>可用</t>
        </is>
      </c>
      <c r="I21" s="20" t="inlineStr">
        <is>
          <t>用法答疑·纠错向·3分钟=可用</t>
        </is>
      </c>
    </row>
    <row r="22" ht="26" customHeight="1">
      <c r="A22" s="27" t="n">
        <v>25</v>
      </c>
      <c r="B22" s="33" t="inlineStr">
        <is>
          <t>品牌</t>
        </is>
      </c>
      <c r="C22" s="29" t="inlineStr">
        <is>
          <t>正品科普</t>
        </is>
      </c>
      <c r="D22" s="30" t="inlineStr">
        <is>
          <t>皇后的秘密哪买正品？天猫国际旗舰店认准这些</t>
        </is>
      </c>
      <c r="E22" s="29" t="inlineStr">
        <is>
          <t>皇后的秘密 正品</t>
        </is>
      </c>
      <c r="F22" s="29" t="inlineStr">
        <is>
          <t>图文</t>
        </is>
      </c>
      <c r="G22" s="29" t="inlineStr">
        <is>
          <t>10</t>
        </is>
      </c>
      <c r="H22" s="28" t="inlineStr">
        <is>
          <t>可用</t>
        </is>
      </c>
      <c r="I22" s="20" t="inlineStr">
        <is>
          <t>讲哪买正品·不放站外链接·埋专属码</t>
        </is>
      </c>
    </row>
    <row r="23" ht="26" customHeight="1">
      <c r="A23" s="27" t="n">
        <v>26</v>
      </c>
      <c r="B23" s="33" t="inlineStr">
        <is>
          <t>品牌</t>
        </is>
      </c>
      <c r="C23" s="29" t="inlineStr">
        <is>
          <t>用法视频</t>
        </is>
      </c>
      <c r="D23" s="30" t="inlineStr">
        <is>
          <t>黑钻VC100早八急救用法，通勤党收藏</t>
        </is>
      </c>
      <c r="E23" s="29" t="inlineStr">
        <is>
          <t>黑钻VC100 用法</t>
        </is>
      </c>
      <c r="F23" s="29" t="inlineStr">
        <is>
          <t>视频</t>
        </is>
      </c>
      <c r="G23" s="29" t="inlineStr">
        <is>
          <t>11</t>
        </is>
      </c>
      <c r="H23" s="28" t="inlineStr">
        <is>
          <t>可用</t>
        </is>
      </c>
      <c r="I23" s="20" t="inlineStr">
        <is>
          <t>主角SKU·场景用法·CTA+话题#皇后的秘密面膜</t>
        </is>
      </c>
    </row>
    <row r="24"/>
    <row r="25" ht="30" customHeight="1">
      <c r="A25" s="34" t="inlineStr">
        <is>
          <t>说明：以上26个方向是「模板起点」，每个方向可由不同达人换角度/肤质/场景各写数篇，扩到约122篇。合规「软化」= 需按第③页规则改措辞后再用；「禁用」词绝不进标题/正文/话题。</t>
        </is>
      </c>
    </row>
  </sheetData>
  <mergeCells count="2">
    <mergeCell ref="A1:I1"/>
    <mergeCell ref="A25:I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C6FF0"/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 ht="26" customHeight="1">
      <c r="A1" s="35" t="inlineStr">
        <is>
          <t>皇后的秘密面膜 · 每种笔记怎么写 + 写法逻辑 + 合规</t>
        </is>
      </c>
    </row>
    <row r="2">
      <c r="A2" s="36" t="inlineStr"/>
    </row>
    <row r="3" ht="22" customHeight="1">
      <c r="A3" s="37" t="inlineStr">
        <is>
          <t>一、五种笔记怎么写（团队照此配置内容）</t>
        </is>
      </c>
    </row>
    <row r="4" ht="52" customHeight="1">
      <c r="A4" s="38" t="inlineStr">
        <is>
          <t>1) 场景种草视频（视频·主力43篇）：真人素颜出镜，先讲「我脸现在什么状态」（熬夜脸/大毛孔/暗沉/换季干），敷3分钟做「前后同角度对比」。首图=前后对比或素颜特写。别一上来报品牌。用金色款(妆前提亮)/黑钻VC100(油皮毛孔)/浅蓝款(换季补水)分场景。</t>
        </is>
      </c>
    </row>
    <row r="5" ht="52" customHeight="1">
      <c r="A5" s="38" t="inlineStr">
        <is>
          <t>2) 痛点体验图文（图文·15篇）：素人真实口吻「宝宝状态→我怎么敷→真实感受」，多图。正文前3行用答案式开头埋1–2个长尾词（如「熬夜脸用什么面膜」）。讲体感（服帖/清爽/不闷肤），不讲功效承诺。</t>
        </is>
      </c>
    </row>
    <row r="6" ht="52" customHeight="1">
      <c r="A6" s="38" t="inlineStr">
        <is>
          <t>3) 选购攻略·合集（图文·30篇·爆文引擎）：7张以上，做「按肤质分类表」，皇后的秘密只作为其中一个选项出现（更可信）。标题=品类长尾词（面膜怎么选/VC面膜怎么选/敏感肌面膜推荐）。这类是搜索金矿+高收藏，参考lululun：选购攻略型均互动1520，是场景种草型的39倍。</t>
        </is>
      </c>
    </row>
    <row r="7" ht="52" customHeight="1">
      <c r="A7" s="38" t="inlineStr">
        <is>
          <t>4) 竞品对比测评（图文·17篇）：做「成分·价格对比表」，真实双敷，客观。不贬低竞品、不打「平价/超便宜」。每篇把黑钻VC100立成主角。抢蒂佳婷/3号面膜/爱和纯的比较流量。</t>
        </is>
      </c>
    </row>
    <row r="8" ht="52" customHeight="1">
      <c r="A8" s="38" t="inlineStr">
        <is>
          <t>5) 品牌答疑·用法（图文/视频·17篇）：分款功效对比表（金=妆前提亮/黑=控油细致毛孔/浅蓝=神经酰胺换季维稳/银=提亮透亮/黑钻VC100=成分党净透），敷3分钟正确步骤，正品渠道科普（讲哪买正品、不放站外链接）。统一品牌词，立主角SKU。</t>
        </is>
      </c>
    </row>
    <row r="9">
      <c r="A9" s="36" t="inlineStr"/>
    </row>
    <row r="10" ht="22" customHeight="1">
      <c r="A10" s="37" t="inlineStr">
        <is>
          <t>二、来自你100篇复盘的6条纠偏（这版必须做到）</t>
        </is>
      </c>
    </row>
    <row r="11" ht="44" customHeight="1">
      <c r="A11" s="38" t="inlineStr">
        <is>
          <t>① 提视频比例：视频均互动857 vs 图文150（5.7倍），但原来视频只占10% → 这版提到约35%，痛点场景+3分钟前后对比全部走视频。</t>
        </is>
      </c>
    </row>
    <row r="12" ht="44" customHeight="1">
      <c r="A12" s="38" t="inlineStr">
        <is>
          <t>② 立「黑钻VC100」为主角+统一品牌词：原来9款SKU全铺、无主角、仅51%笔记提及品牌、写法有3种 → 所有笔记统一品牌词，黑钻VC100当差异化主角贯穿竞品/品牌起点。</t>
        </is>
      </c>
    </row>
    <row r="13" ht="44" customHeight="1">
      <c r="A13" s="38" t="inlineStr">
        <is>
          <t>③ 补「攻略引擎」：原来A攻略只有8篇、「怎么选」进标题仅2次 → 品类攻略/合集提到30篇（参考lululun：7图以上均互动895，是1张图的41倍）。</t>
        </is>
      </c>
    </row>
    <row r="14" ht="44" customHeight="1">
      <c r="A14" s="38" t="inlineStr">
        <is>
          <t>④ 淘汰日本杂货代购号、换赛道：原来爆文多是代购号带流量、日本/购物类话题157次≫功效类51次 → 起点换到毛孔/面膜/熬夜，旅行·免税·代购语境本期不做（会把品牌推回「日本旅行」兴趣标签）。</t>
        </is>
      </c>
    </row>
    <row r="15" ht="44" customHeight="1">
      <c r="A15" s="38" t="inlineStr">
        <is>
          <t>⑤ 起点重心=痛点+品类（75%）：接住「我脸上有问题」和「我要买面膜」两种正在找的人，这是天猫搜索承接的关键，也是目前最缺的内容。</t>
        </is>
      </c>
    </row>
    <row r="16" ht="44" customHeight="1">
      <c r="A16" s="38" t="inlineStr">
        <is>
          <t>⑥ 形式规律（lululun 87篇）：选购攻略型均互动1520（场景种草39×）· 7张以上895（1张41×）· 视频824 vs 图文241 → 攻略7图+、视频优先。战场换成毛孔/面膜，形式规律可借鉴。</t>
        </is>
      </c>
    </row>
    <row r="17">
      <c r="A17" s="36" t="inlineStr"/>
    </row>
    <row r="18" ht="22" customHeight="1">
      <c r="A18" s="39" t="inlineStr">
        <is>
          <t>三、全篇通用 + 化妆品合规三档（每篇必守）</t>
        </is>
      </c>
    </row>
    <row r="19" ht="46" customHeight="1">
      <c r="A19" s="38" t="inlineStr">
        <is>
          <t>全篇通用：① 天猫国际旗舰店 CTA + 专属码；② 话题 = 品牌词1（#皇后的秘密面膜/#黑钻VC100）+ 品类词1–2 + 功效词(✅)1 + 场景/人群词1；③ 记忆点「3分钟 · VC精华 · 日本进口」。「在东京药妆店/免税店买的」这类表述一律不写——它是把人群推回日本旅行标签的开关。</t>
        </is>
      </c>
    </row>
    <row r="20" ht="46" customHeight="1">
      <c r="A20" s="38" t="inlineStr">
        <is>
          <t>✅ 可用：补水/保湿/水润/服帖/清爽/不闷肤/细腻/哑光/温和、成分名（VC/烟酰胺/神经酰胺客观陈述）、3分钟/妆前、3分钟=1支精华（事实陈述）、日本进口。</t>
        </is>
      </c>
    </row>
    <row r="21" ht="46" customHeight="1">
      <c r="A21" s="38" t="inlineStr">
        <is>
          <t>⚠ 软化后可用：提亮（别「即刻/永久」）、改善暗沉感、细致毛孔（替代「收缩毛孔」）、控油、透亮、匀净肤色感（体感表达，不作功效断定）。</t>
        </is>
      </c>
    </row>
    <row r="22" ht="46" customHeight="1">
      <c r="A22" s="38" t="inlineStr">
        <is>
          <t>❌ 禁用：美白/焕白/去黄/亮白/淡斑/淡痘印、抑黑/阻断黑色素/祛痘、修复受损/修护屏障/促胶原/抗老、褪红、院线级/断货王/销量NO.1/3亿枚。绝不进标题/正文/话题。</t>
        </is>
      </c>
    </row>
    <row r="23" ht="46" customHeight="1">
      <c r="A23" s="38" t="inlineStr">
        <is>
          <t>分界线：写「我现在是什么状态」可以，写「用了会变成什么」不行。痛点起点全部落在前者，所以能大量铺而不踩线。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9E6B"/>
    <outlinePr summaryBelow="1" summaryRight="1"/>
    <pageSetUpPr/>
  </sheetPr>
  <dimension ref="A1:AO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3" customWidth="1" min="4" max="4"/>
    <col width="16" customWidth="1" min="5" max="5"/>
    <col width="12" customWidth="1" min="6" max="6"/>
    <col width="14" customWidth="1" min="7" max="7"/>
    <col width="11" customWidth="1" min="8" max="8"/>
    <col width="22" customWidth="1" min="9" max="9"/>
    <col width="16" customWidth="1" min="10" max="10"/>
    <col width="9" customWidth="1" min="11" max="11"/>
    <col width="8" customWidth="1" min="12" max="13"/>
    <col width="14" customWidth="1" min="14" max="14"/>
    <col width="10" customWidth="1" min="15" max="15"/>
    <col width="8" customWidth="1" min="16" max="16"/>
    <col width="7" customWidth="1" min="17" max="20"/>
    <col width="10" customWidth="1" min="21" max="22"/>
    <col width="8" customWidth="1" min="23" max="23"/>
    <col width="7" customWidth="1" min="24" max="27"/>
    <col width="10" customWidth="1" min="28" max="29"/>
    <col width="8" customWidth="1" min="30" max="30"/>
    <col width="7" customWidth="1" min="31" max="34"/>
    <col width="10" customWidth="1" min="35" max="35"/>
    <col width="8" customWidth="1" min="36" max="38"/>
    <col width="9" customWidth="1" min="39" max="39"/>
    <col width="10" customWidth="1" min="40" max="40"/>
    <col width="14.5769230769231" customWidth="1" min="41" max="41"/>
  </cols>
  <sheetData>
    <row r="1" ht="20" customHeight="1">
      <c r="A1" s="40" t="inlineStr">
        <is>
          <t>排期 · 投前确认</t>
        </is>
      </c>
      <c r="B1" s="41" t="n"/>
      <c r="C1" s="41" t="n"/>
      <c r="D1" s="41" t="n"/>
      <c r="E1" s="41" t="n"/>
      <c r="F1" s="41" t="n"/>
      <c r="G1" s="42" t="n"/>
      <c r="H1" s="43" t="inlineStr">
        <is>
          <t>投后 · 基础</t>
        </is>
      </c>
      <c r="I1" s="41" t="n"/>
      <c r="J1" s="41" t="n"/>
      <c r="K1" s="41" t="n"/>
      <c r="L1" s="41" t="n"/>
      <c r="M1" s="41" t="n"/>
      <c r="N1" s="42" t="n"/>
      <c r="O1" s="44" t="inlineStr">
        <is>
          <t>数据追踪 T+3</t>
        </is>
      </c>
      <c r="P1" s="41" t="n"/>
      <c r="Q1" s="41" t="n"/>
      <c r="R1" s="41" t="n"/>
      <c r="S1" s="41" t="n"/>
      <c r="T1" s="41" t="n"/>
      <c r="U1" s="42" t="n"/>
      <c r="V1" s="45" t="inlineStr">
        <is>
          <t>数据追踪 T+7</t>
        </is>
      </c>
      <c r="W1" s="41" t="n"/>
      <c r="X1" s="41" t="n"/>
      <c r="Y1" s="41" t="n"/>
      <c r="Z1" s="41" t="n"/>
      <c r="AA1" s="41" t="n"/>
      <c r="AB1" s="42" t="n"/>
      <c r="AC1" s="46" t="inlineStr">
        <is>
          <t>数据追踪 T+15</t>
        </is>
      </c>
      <c r="AD1" s="41" t="n"/>
      <c r="AE1" s="41" t="n"/>
      <c r="AF1" s="41" t="n"/>
      <c r="AG1" s="41" t="n"/>
      <c r="AH1" s="41" t="n"/>
      <c r="AI1" s="42" t="n"/>
      <c r="AJ1" s="47" t="inlineStr">
        <is>
          <t>效率指标（自动）</t>
        </is>
      </c>
      <c r="AK1" s="41" t="n"/>
      <c r="AL1" s="41" t="n"/>
      <c r="AM1" s="41" t="n"/>
      <c r="AN1" s="42" t="n"/>
      <c r="AO1" s="48" t="inlineStr">
        <is>
          <t>结算 · 转化</t>
        </is>
      </c>
    </row>
    <row r="2" ht="30" customHeight="1">
      <c r="A2" s="49" t="inlineStr">
        <is>
          <t>序号</t>
        </is>
      </c>
      <c r="B2" s="49" t="inlineStr">
        <is>
          <t>状态</t>
        </is>
      </c>
      <c r="C2" s="49" t="inlineStr">
        <is>
          <t>计划发布日</t>
        </is>
      </c>
      <c r="D2" s="49" t="inlineStr">
        <is>
          <t>达人名称</t>
        </is>
      </c>
      <c r="E2" s="49" t="inlineStr">
        <is>
          <t>达人主页链接</t>
        </is>
      </c>
      <c r="F2" s="49" t="inlineStr">
        <is>
          <t>合作社/MCN</t>
        </is>
      </c>
      <c r="G2" s="49" t="inlineStr">
        <is>
          <t>投放产品</t>
        </is>
      </c>
      <c r="H2" s="50" t="inlineStr">
        <is>
          <t>实际发布日</t>
        </is>
      </c>
      <c r="I2" s="50" t="inlineStr">
        <is>
          <t>笔记标题</t>
        </is>
      </c>
      <c r="J2" s="50" t="inlineStr">
        <is>
          <t>笔记链接</t>
        </is>
      </c>
      <c r="K2" s="50" t="inlineStr">
        <is>
          <t>图片数</t>
        </is>
      </c>
      <c r="L2" s="50" t="inlineStr">
        <is>
          <t>品牌词植入</t>
        </is>
      </c>
      <c r="M2" s="50" t="inlineStr">
        <is>
          <t>话题维护</t>
        </is>
      </c>
      <c r="N2" s="50" t="inlineStr">
        <is>
          <t>主话题词</t>
        </is>
      </c>
      <c r="O2" s="51" t="inlineStr">
        <is>
          <t>T+3采集日</t>
        </is>
      </c>
      <c r="P2" s="51" t="inlineStr">
        <is>
          <t>曝光</t>
        </is>
      </c>
      <c r="Q2" s="51" t="inlineStr">
        <is>
          <t>点赞</t>
        </is>
      </c>
      <c r="R2" s="51" t="inlineStr">
        <is>
          <t>收藏</t>
        </is>
      </c>
      <c r="S2" s="51" t="inlineStr">
        <is>
          <t>评论</t>
        </is>
      </c>
      <c r="T2" s="51" t="inlineStr">
        <is>
          <t>分享</t>
        </is>
      </c>
      <c r="U2" s="51" t="inlineStr">
        <is>
          <t>证据截图</t>
        </is>
      </c>
      <c r="V2" s="51" t="inlineStr">
        <is>
          <t>T+7采集日</t>
        </is>
      </c>
      <c r="W2" s="51" t="inlineStr">
        <is>
          <t>曝光</t>
        </is>
      </c>
      <c r="X2" s="51" t="inlineStr">
        <is>
          <t>点赞</t>
        </is>
      </c>
      <c r="Y2" s="51" t="inlineStr">
        <is>
          <t>收藏</t>
        </is>
      </c>
      <c r="Z2" s="51" t="inlineStr">
        <is>
          <t>评论</t>
        </is>
      </c>
      <c r="AA2" s="51" t="inlineStr">
        <is>
          <t>分享</t>
        </is>
      </c>
      <c r="AB2" s="51" t="inlineStr">
        <is>
          <t>证据截图</t>
        </is>
      </c>
      <c r="AC2" s="52" t="inlineStr">
        <is>
          <t>T+15采集日</t>
        </is>
      </c>
      <c r="AD2" s="52" t="inlineStr">
        <is>
          <t>曝光</t>
        </is>
      </c>
      <c r="AE2" s="52" t="inlineStr">
        <is>
          <t>点赞</t>
        </is>
      </c>
      <c r="AF2" s="52" t="inlineStr">
        <is>
          <t>收藏</t>
        </is>
      </c>
      <c r="AG2" s="52" t="inlineStr">
        <is>
          <t>评论</t>
        </is>
      </c>
      <c r="AH2" s="52" t="inlineStr">
        <is>
          <t>分享</t>
        </is>
      </c>
      <c r="AI2" s="52" t="inlineStr">
        <is>
          <t>证据截图</t>
        </is>
      </c>
      <c r="AJ2" s="53" t="inlineStr">
        <is>
          <t>最终互动量</t>
        </is>
      </c>
      <c r="AK2" s="53" t="inlineStr">
        <is>
          <t>互动率</t>
        </is>
      </c>
      <c r="AL2" s="53" t="inlineStr">
        <is>
          <t>收藏率</t>
        </is>
      </c>
      <c r="AM2" s="53" t="inlineStr">
        <is>
          <t>CPE互动成本</t>
        </is>
      </c>
      <c r="AN2" s="53" t="inlineStr">
        <is>
          <t>CPM千次曝光</t>
        </is>
      </c>
      <c r="AO2" s="54" t="inlineStr">
        <is>
          <t>笔记费用(元)</t>
        </is>
      </c>
    </row>
    <row r="3">
      <c r="A3" s="55" t="n">
        <v>1</v>
      </c>
      <c r="B3" s="56" t="n"/>
      <c r="C3" s="56" t="n"/>
      <c r="D3" s="57" t="n"/>
      <c r="E3" s="57" t="n"/>
      <c r="F3" s="57" t="n"/>
      <c r="G3" s="57" t="n"/>
      <c r="H3" s="56" t="n"/>
      <c r="I3" s="57" t="n"/>
      <c r="J3" s="57" t="n"/>
      <c r="K3" s="56" t="n"/>
      <c r="L3" s="56" t="n"/>
      <c r="M3" s="56" t="n"/>
      <c r="N3" s="57" t="n"/>
      <c r="O3" s="56" t="n"/>
      <c r="P3" s="56" t="n"/>
      <c r="Q3" s="56" t="n"/>
      <c r="R3" s="56" t="n"/>
      <c r="S3" s="56" t="n"/>
      <c r="T3" s="56" t="n"/>
      <c r="U3" s="56" t="n"/>
      <c r="V3" s="56" t="n"/>
      <c r="W3" s="56" t="n"/>
      <c r="X3" s="56" t="n"/>
      <c r="Y3" s="56" t="n"/>
      <c r="Z3" s="56" t="n"/>
      <c r="AA3" s="56" t="n"/>
      <c r="AB3" s="56" t="n"/>
      <c r="AC3" s="56" t="n"/>
      <c r="AD3" s="56" t="n"/>
      <c r="AE3" s="56" t="n"/>
      <c r="AF3" s="56" t="n"/>
      <c r="AG3" s="56" t="n"/>
      <c r="AH3" s="56" t="n"/>
      <c r="AI3" s="56" t="n"/>
      <c r="AJ3" s="58">
        <f>IF(AD3="","",AE3+AF3+AG3+AH3)</f>
        <v/>
      </c>
      <c r="AK3" s="59">
        <f>IF(OR(AD3="",AD3=0),"",AJ3/AD3)</f>
        <v/>
      </c>
      <c r="AL3" s="59">
        <f>IF(OR(AD3="",AD3=0),"",AF3/AD3)</f>
        <v/>
      </c>
      <c r="AM3" s="60">
        <f>IF(OR(AO3="",AJ3="",AJ3=0),"",AO3/AJ3)</f>
        <v/>
      </c>
      <c r="AN3" s="60">
        <f>IF(OR(AO3="",AD3="",AD3=0),"",AO3/AD3*1000)</f>
        <v/>
      </c>
      <c r="AO3" s="61" t="n"/>
    </row>
    <row r="4">
      <c r="A4" s="55" t="n">
        <v>2</v>
      </c>
      <c r="B4" s="56" t="n"/>
      <c r="C4" s="56" t="n"/>
      <c r="D4" s="57" t="n"/>
      <c r="E4" s="57" t="n"/>
      <c r="F4" s="57" t="n"/>
      <c r="G4" s="57" t="n"/>
      <c r="H4" s="56" t="n"/>
      <c r="I4" s="57" t="n"/>
      <c r="J4" s="57" t="n"/>
      <c r="K4" s="56" t="n"/>
      <c r="L4" s="56" t="n"/>
      <c r="M4" s="56" t="n"/>
      <c r="N4" s="57" t="n"/>
      <c r="O4" s="56" t="n"/>
      <c r="P4" s="56" t="n"/>
      <c r="Q4" s="56" t="n"/>
      <c r="R4" s="56" t="n"/>
      <c r="S4" s="56" t="n"/>
      <c r="T4" s="56" t="n"/>
      <c r="U4" s="56" t="n"/>
      <c r="V4" s="56" t="n"/>
      <c r="W4" s="56" t="n"/>
      <c r="X4" s="56" t="n"/>
      <c r="Y4" s="56" t="n"/>
      <c r="Z4" s="56" t="n"/>
      <c r="AA4" s="56" t="n"/>
      <c r="AB4" s="56" t="n"/>
      <c r="AC4" s="56" t="n"/>
      <c r="AD4" s="56" t="n"/>
      <c r="AE4" s="56" t="n"/>
      <c r="AF4" s="56" t="n"/>
      <c r="AG4" s="56" t="n"/>
      <c r="AH4" s="56" t="n"/>
      <c r="AI4" s="56" t="n"/>
      <c r="AJ4" s="58">
        <f>IF(AD4="","",AE4+AF4+AG4+AH4)</f>
        <v/>
      </c>
      <c r="AK4" s="59">
        <f>IF(OR(AD4="",AD4=0),"",AJ4/AD4)</f>
        <v/>
      </c>
      <c r="AL4" s="59">
        <f>IF(OR(AD4="",AD4=0),"",AF4/AD4)</f>
        <v/>
      </c>
      <c r="AM4" s="60">
        <f>IF(OR(AO4="",AJ4="",AJ4=0),"",AO4/AJ4)</f>
        <v/>
      </c>
      <c r="AN4" s="60">
        <f>IF(OR(AO4="",AD4="",AD4=0),"",AO4/AD4*1000)</f>
        <v/>
      </c>
      <c r="AO4" s="61" t="n"/>
    </row>
    <row r="5">
      <c r="A5" s="55" t="n">
        <v>3</v>
      </c>
      <c r="B5" s="56" t="n"/>
      <c r="C5" s="56" t="n"/>
      <c r="D5" s="57" t="n"/>
      <c r="E5" s="57" t="n"/>
      <c r="F5" s="57" t="n"/>
      <c r="G5" s="57" t="n"/>
      <c r="H5" s="56" t="n"/>
      <c r="I5" s="57" t="n"/>
      <c r="J5" s="57" t="n"/>
      <c r="K5" s="56" t="n"/>
      <c r="L5" s="56" t="n"/>
      <c r="M5" s="56" t="n"/>
      <c r="N5" s="57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  <c r="Z5" s="56" t="n"/>
      <c r="AA5" s="56" t="n"/>
      <c r="AB5" s="56" t="n"/>
      <c r="AC5" s="56" t="n"/>
      <c r="AD5" s="56" t="n"/>
      <c r="AE5" s="56" t="n"/>
      <c r="AF5" s="56" t="n"/>
      <c r="AG5" s="56" t="n"/>
      <c r="AH5" s="56" t="n"/>
      <c r="AI5" s="56" t="n"/>
      <c r="AJ5" s="58">
        <f>IF(AD5="","",AE5+AF5+AG5+AH5)</f>
        <v/>
      </c>
      <c r="AK5" s="59">
        <f>IF(OR(AD5="",AD5=0),"",AJ5/AD5)</f>
        <v/>
      </c>
      <c r="AL5" s="59">
        <f>IF(OR(AD5="",AD5=0),"",AF5/AD5)</f>
        <v/>
      </c>
      <c r="AM5" s="60">
        <f>IF(OR(AO5="",AJ5="",AJ5=0),"",AO5/AJ5)</f>
        <v/>
      </c>
      <c r="AN5" s="60">
        <f>IF(OR(AO5="",AD5="",AD5=0),"",AO5/AD5*1000)</f>
        <v/>
      </c>
      <c r="AO5" s="61" t="n"/>
    </row>
    <row r="6">
      <c r="A6" s="55" t="n">
        <v>4</v>
      </c>
      <c r="B6" s="56" t="n"/>
      <c r="C6" s="56" t="n"/>
      <c r="D6" s="57" t="n"/>
      <c r="E6" s="57" t="n"/>
      <c r="F6" s="57" t="n"/>
      <c r="G6" s="57" t="n"/>
      <c r="H6" s="56" t="n"/>
      <c r="I6" s="57" t="n"/>
      <c r="J6" s="57" t="n"/>
      <c r="K6" s="56" t="n"/>
      <c r="L6" s="56" t="n"/>
      <c r="M6" s="56" t="n"/>
      <c r="N6" s="57" t="n"/>
      <c r="O6" s="56" t="n"/>
      <c r="P6" s="56" t="n"/>
      <c r="Q6" s="56" t="n"/>
      <c r="R6" s="56" t="n"/>
      <c r="S6" s="56" t="n"/>
      <c r="T6" s="56" t="n"/>
      <c r="U6" s="56" t="n"/>
      <c r="V6" s="56" t="n"/>
      <c r="W6" s="56" t="n"/>
      <c r="X6" s="56" t="n"/>
      <c r="Y6" s="56" t="n"/>
      <c r="Z6" s="56" t="n"/>
      <c r="AA6" s="56" t="n"/>
      <c r="AB6" s="56" t="n"/>
      <c r="AC6" s="56" t="n"/>
      <c r="AD6" s="56" t="n"/>
      <c r="AE6" s="56" t="n"/>
      <c r="AF6" s="56" t="n"/>
      <c r="AG6" s="56" t="n"/>
      <c r="AH6" s="56" t="n"/>
      <c r="AI6" s="56" t="n"/>
      <c r="AJ6" s="58">
        <f>IF(AD6="","",AE6+AF6+AG6+AH6)</f>
        <v/>
      </c>
      <c r="AK6" s="59">
        <f>IF(OR(AD6="",AD6=0),"",AJ6/AD6)</f>
        <v/>
      </c>
      <c r="AL6" s="59">
        <f>IF(OR(AD6="",AD6=0),"",AF6/AD6)</f>
        <v/>
      </c>
      <c r="AM6" s="60">
        <f>IF(OR(AO6="",AJ6="",AJ6=0),"",AO6/AJ6)</f>
        <v/>
      </c>
      <c r="AN6" s="60">
        <f>IF(OR(AO6="",AD6="",AD6=0),"",AO6/AD6*1000)</f>
        <v/>
      </c>
      <c r="AO6" s="61" t="n"/>
    </row>
    <row r="7">
      <c r="A7" s="55" t="n">
        <v>5</v>
      </c>
      <c r="B7" s="56" t="n"/>
      <c r="C7" s="56" t="n"/>
      <c r="D7" s="57" t="n"/>
      <c r="E7" s="57" t="n"/>
      <c r="F7" s="57" t="n"/>
      <c r="G7" s="57" t="n"/>
      <c r="H7" s="56" t="n"/>
      <c r="I7" s="57" t="n"/>
      <c r="J7" s="57" t="n"/>
      <c r="K7" s="56" t="n"/>
      <c r="L7" s="56" t="n"/>
      <c r="M7" s="56" t="n"/>
      <c r="N7" s="57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6" t="n"/>
      <c r="AG7" s="56" t="n"/>
      <c r="AH7" s="56" t="n"/>
      <c r="AI7" s="56" t="n"/>
      <c r="AJ7" s="58">
        <f>IF(AD7="","",AE7+AF7+AG7+AH7)</f>
        <v/>
      </c>
      <c r="AK7" s="59">
        <f>IF(OR(AD7="",AD7=0),"",AJ7/AD7)</f>
        <v/>
      </c>
      <c r="AL7" s="59">
        <f>IF(OR(AD7="",AD7=0),"",AF7/AD7)</f>
        <v/>
      </c>
      <c r="AM7" s="60">
        <f>IF(OR(AO7="",AJ7="",AJ7=0),"",AO7/AJ7)</f>
        <v/>
      </c>
      <c r="AN7" s="60">
        <f>IF(OR(AO7="",AD7="",AD7=0),"",AO7/AD7*1000)</f>
        <v/>
      </c>
      <c r="AO7" s="61" t="n"/>
    </row>
    <row r="8">
      <c r="A8" s="55" t="n">
        <v>6</v>
      </c>
      <c r="B8" s="56" t="n"/>
      <c r="C8" s="56" t="n"/>
      <c r="D8" s="57" t="n"/>
      <c r="E8" s="57" t="n"/>
      <c r="F8" s="57" t="n"/>
      <c r="G8" s="57" t="n"/>
      <c r="H8" s="56" t="n"/>
      <c r="I8" s="57" t="n"/>
      <c r="J8" s="57" t="n"/>
      <c r="K8" s="56" t="n"/>
      <c r="L8" s="56" t="n"/>
      <c r="M8" s="56" t="n"/>
      <c r="N8" s="57" t="n"/>
      <c r="O8" s="56" t="n"/>
      <c r="P8" s="56" t="n"/>
      <c r="Q8" s="56" t="n"/>
      <c r="R8" s="56" t="n"/>
      <c r="S8" s="56" t="n"/>
      <c r="T8" s="56" t="n"/>
      <c r="U8" s="56" t="n"/>
      <c r="V8" s="56" t="n"/>
      <c r="W8" s="56" t="n"/>
      <c r="X8" s="56" t="n"/>
      <c r="Y8" s="56" t="n"/>
      <c r="Z8" s="56" t="n"/>
      <c r="AA8" s="56" t="n"/>
      <c r="AB8" s="56" t="n"/>
      <c r="AC8" s="56" t="n"/>
      <c r="AD8" s="56" t="n"/>
      <c r="AE8" s="56" t="n"/>
      <c r="AF8" s="56" t="n"/>
      <c r="AG8" s="56" t="n"/>
      <c r="AH8" s="56" t="n"/>
      <c r="AI8" s="56" t="n"/>
      <c r="AJ8" s="58">
        <f>IF(AD8="","",AE8+AF8+AG8+AH8)</f>
        <v/>
      </c>
      <c r="AK8" s="59">
        <f>IF(OR(AD8="",AD8=0),"",AJ8/AD8)</f>
        <v/>
      </c>
      <c r="AL8" s="59">
        <f>IF(OR(AD8="",AD8=0),"",AF8/AD8)</f>
        <v/>
      </c>
      <c r="AM8" s="60">
        <f>IF(OR(AO8="",AJ8="",AJ8=0),"",AO8/AJ8)</f>
        <v/>
      </c>
      <c r="AN8" s="60">
        <f>IF(OR(AO8="",AD8="",AD8=0),"",AO8/AD8*1000)</f>
        <v/>
      </c>
      <c r="AO8" s="61" t="n"/>
    </row>
    <row r="9">
      <c r="A9" s="55" t="n">
        <v>7</v>
      </c>
      <c r="B9" s="56" t="n"/>
      <c r="C9" s="56" t="n"/>
      <c r="D9" s="57" t="n"/>
      <c r="E9" s="57" t="n"/>
      <c r="F9" s="57" t="n"/>
      <c r="G9" s="57" t="n"/>
      <c r="H9" s="56" t="n"/>
      <c r="I9" s="57" t="n"/>
      <c r="J9" s="57" t="n"/>
      <c r="K9" s="56" t="n"/>
      <c r="L9" s="56" t="n"/>
      <c r="M9" s="56" t="n"/>
      <c r="N9" s="57" t="n"/>
      <c r="O9" s="56" t="n"/>
      <c r="P9" s="56" t="n"/>
      <c r="Q9" s="56" t="n"/>
      <c r="R9" s="56" t="n"/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  <c r="AC9" s="56" t="n"/>
      <c r="AD9" s="56" t="n"/>
      <c r="AE9" s="56" t="n"/>
      <c r="AF9" s="56" t="n"/>
      <c r="AG9" s="56" t="n"/>
      <c r="AH9" s="56" t="n"/>
      <c r="AI9" s="56" t="n"/>
      <c r="AJ9" s="58">
        <f>IF(AD9="","",AE9+AF9+AG9+AH9)</f>
        <v/>
      </c>
      <c r="AK9" s="59">
        <f>IF(OR(AD9="",AD9=0),"",AJ9/AD9)</f>
        <v/>
      </c>
      <c r="AL9" s="59">
        <f>IF(OR(AD9="",AD9=0),"",AF9/AD9)</f>
        <v/>
      </c>
      <c r="AM9" s="60">
        <f>IF(OR(AO9="",AJ9="",AJ9=0),"",AO9/AJ9)</f>
        <v/>
      </c>
      <c r="AN9" s="60">
        <f>IF(OR(AO9="",AD9="",AD9=0),"",AO9/AD9*1000)</f>
        <v/>
      </c>
      <c r="AO9" s="61" t="n"/>
    </row>
    <row r="10">
      <c r="A10" s="55" t="n">
        <v>8</v>
      </c>
      <c r="B10" s="56" t="n"/>
      <c r="C10" s="56" t="n"/>
      <c r="D10" s="57" t="n"/>
      <c r="E10" s="57" t="n"/>
      <c r="F10" s="57" t="n"/>
      <c r="G10" s="57" t="n"/>
      <c r="H10" s="56" t="n"/>
      <c r="I10" s="57" t="n"/>
      <c r="J10" s="57" t="n"/>
      <c r="K10" s="56" t="n"/>
      <c r="L10" s="56" t="n"/>
      <c r="M10" s="56" t="n"/>
      <c r="N10" s="57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  <c r="Z10" s="56" t="n"/>
      <c r="AA10" s="56" t="n"/>
      <c r="AB10" s="56" t="n"/>
      <c r="AC10" s="56" t="n"/>
      <c r="AD10" s="56" t="n"/>
      <c r="AE10" s="56" t="n"/>
      <c r="AF10" s="56" t="n"/>
      <c r="AG10" s="56" t="n"/>
      <c r="AH10" s="56" t="n"/>
      <c r="AI10" s="56" t="n"/>
      <c r="AJ10" s="58">
        <f>IF(AD10="","",AE10+AF10+AG10+AH10)</f>
        <v/>
      </c>
      <c r="AK10" s="59">
        <f>IF(OR(AD10="",AD10=0),"",AJ10/AD10)</f>
        <v/>
      </c>
      <c r="AL10" s="59">
        <f>IF(OR(AD10="",AD10=0),"",AF10/AD10)</f>
        <v/>
      </c>
      <c r="AM10" s="60">
        <f>IF(OR(AO10="",AJ10="",AJ10=0),"",AO10/AJ10)</f>
        <v/>
      </c>
      <c r="AN10" s="60">
        <f>IF(OR(AO10="",AD10="",AD10=0),"",AO10/AD10*1000)</f>
        <v/>
      </c>
      <c r="AO10" s="61" t="n"/>
    </row>
    <row r="11">
      <c r="A11" s="55" t="n">
        <v>9</v>
      </c>
      <c r="B11" s="56" t="n"/>
      <c r="C11" s="56" t="n"/>
      <c r="D11" s="57" t="n"/>
      <c r="E11" s="57" t="n"/>
      <c r="F11" s="57" t="n"/>
      <c r="G11" s="57" t="n"/>
      <c r="H11" s="56" t="n"/>
      <c r="I11" s="57" t="n"/>
      <c r="J11" s="57" t="n"/>
      <c r="K11" s="56" t="n"/>
      <c r="L11" s="56" t="n"/>
      <c r="M11" s="56" t="n"/>
      <c r="N11" s="57" t="n"/>
      <c r="O11" s="56" t="n"/>
      <c r="P11" s="56" t="n"/>
      <c r="Q11" s="56" t="n"/>
      <c r="R11" s="56" t="n"/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  <c r="AC11" s="56" t="n"/>
      <c r="AD11" s="56" t="n"/>
      <c r="AE11" s="56" t="n"/>
      <c r="AF11" s="56" t="n"/>
      <c r="AG11" s="56" t="n"/>
      <c r="AH11" s="56" t="n"/>
      <c r="AI11" s="56" t="n"/>
      <c r="AJ11" s="58">
        <f>IF(AD11="","",AE11+AF11+AG11+AH11)</f>
        <v/>
      </c>
      <c r="AK11" s="59">
        <f>IF(OR(AD11="",AD11=0),"",AJ11/AD11)</f>
        <v/>
      </c>
      <c r="AL11" s="59">
        <f>IF(OR(AD11="",AD11=0),"",AF11/AD11)</f>
        <v/>
      </c>
      <c r="AM11" s="60">
        <f>IF(OR(AO11="",AJ11="",AJ11=0),"",AO11/AJ11)</f>
        <v/>
      </c>
      <c r="AN11" s="60">
        <f>IF(OR(AO11="",AD11="",AD11=0),"",AO11/AD11*1000)</f>
        <v/>
      </c>
      <c r="AO11" s="61" t="n"/>
    </row>
    <row r="12">
      <c r="A12" s="55" t="n">
        <v>10</v>
      </c>
      <c r="B12" s="56" t="n"/>
      <c r="C12" s="56" t="n"/>
      <c r="D12" s="57" t="n"/>
      <c r="E12" s="57" t="n"/>
      <c r="F12" s="57" t="n"/>
      <c r="G12" s="57" t="n"/>
      <c r="H12" s="56" t="n"/>
      <c r="I12" s="57" t="n"/>
      <c r="J12" s="57" t="n"/>
      <c r="K12" s="56" t="n"/>
      <c r="L12" s="56" t="n"/>
      <c r="M12" s="56" t="n"/>
      <c r="N12" s="57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  <c r="Z12" s="56" t="n"/>
      <c r="AA12" s="56" t="n"/>
      <c r="AB12" s="56" t="n"/>
      <c r="AC12" s="56" t="n"/>
      <c r="AD12" s="56" t="n"/>
      <c r="AE12" s="56" t="n"/>
      <c r="AF12" s="56" t="n"/>
      <c r="AG12" s="56" t="n"/>
      <c r="AH12" s="56" t="n"/>
      <c r="AI12" s="56" t="n"/>
      <c r="AJ12" s="58">
        <f>IF(AD12="","",AE12+AF12+AG12+AH12)</f>
        <v/>
      </c>
      <c r="AK12" s="59">
        <f>IF(OR(AD12="",AD12=0),"",AJ12/AD12)</f>
        <v/>
      </c>
      <c r="AL12" s="59">
        <f>IF(OR(AD12="",AD12=0),"",AF12/AD12)</f>
        <v/>
      </c>
      <c r="AM12" s="60">
        <f>IF(OR(AO12="",AJ12="",AJ12=0),"",AO12/AJ12)</f>
        <v/>
      </c>
      <c r="AN12" s="60">
        <f>IF(OR(AO12="",AD12="",AD12=0),"",AO12/AD12*1000)</f>
        <v/>
      </c>
      <c r="AO12" s="61" t="n"/>
    </row>
    <row r="13">
      <c r="A13" s="55" t="n">
        <v>11</v>
      </c>
      <c r="B13" s="56" t="n"/>
      <c r="C13" s="56" t="n"/>
      <c r="D13" s="57" t="n"/>
      <c r="E13" s="57" t="n"/>
      <c r="F13" s="57" t="n"/>
      <c r="G13" s="57" t="n"/>
      <c r="H13" s="56" t="n"/>
      <c r="I13" s="57" t="n"/>
      <c r="J13" s="57" t="n"/>
      <c r="K13" s="56" t="n"/>
      <c r="L13" s="56" t="n"/>
      <c r="M13" s="56" t="n"/>
      <c r="N13" s="57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  <c r="AC13" s="56" t="n"/>
      <c r="AD13" s="56" t="n"/>
      <c r="AE13" s="56" t="n"/>
      <c r="AF13" s="56" t="n"/>
      <c r="AG13" s="56" t="n"/>
      <c r="AH13" s="56" t="n"/>
      <c r="AI13" s="56" t="n"/>
      <c r="AJ13" s="58">
        <f>IF(AD13="","",AE13+AF13+AG13+AH13)</f>
        <v/>
      </c>
      <c r="AK13" s="59">
        <f>IF(OR(AD13="",AD13=0),"",AJ13/AD13)</f>
        <v/>
      </c>
      <c r="AL13" s="59">
        <f>IF(OR(AD13="",AD13=0),"",AF13/AD13)</f>
        <v/>
      </c>
      <c r="AM13" s="60">
        <f>IF(OR(AO13="",AJ13="",AJ13=0),"",AO13/AJ13)</f>
        <v/>
      </c>
      <c r="AN13" s="60">
        <f>IF(OR(AO13="",AD13="",AD13=0),"",AO13/AD13*1000)</f>
        <v/>
      </c>
      <c r="AO13" s="61" t="n"/>
    </row>
    <row r="14">
      <c r="A14" s="55" t="n">
        <v>12</v>
      </c>
      <c r="B14" s="56" t="n"/>
      <c r="C14" s="56" t="n"/>
      <c r="D14" s="57" t="n"/>
      <c r="E14" s="57" t="n"/>
      <c r="F14" s="57" t="n"/>
      <c r="G14" s="57" t="n"/>
      <c r="H14" s="56" t="n"/>
      <c r="I14" s="57" t="n"/>
      <c r="J14" s="57" t="n"/>
      <c r="K14" s="56" t="n"/>
      <c r="L14" s="56" t="n"/>
      <c r="M14" s="56" t="n"/>
      <c r="N14" s="57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  <c r="Z14" s="56" t="n"/>
      <c r="AA14" s="56" t="n"/>
      <c r="AB14" s="56" t="n"/>
      <c r="AC14" s="56" t="n"/>
      <c r="AD14" s="56" t="n"/>
      <c r="AE14" s="56" t="n"/>
      <c r="AF14" s="56" t="n"/>
      <c r="AG14" s="56" t="n"/>
      <c r="AH14" s="56" t="n"/>
      <c r="AI14" s="56" t="n"/>
      <c r="AJ14" s="58">
        <f>IF(AD14="","",AE14+AF14+AG14+AH14)</f>
        <v/>
      </c>
      <c r="AK14" s="59">
        <f>IF(OR(AD14="",AD14=0),"",AJ14/AD14)</f>
        <v/>
      </c>
      <c r="AL14" s="59">
        <f>IF(OR(AD14="",AD14=0),"",AF14/AD14)</f>
        <v/>
      </c>
      <c r="AM14" s="60">
        <f>IF(OR(AO14="",AJ14="",AJ14=0),"",AO14/AJ14)</f>
        <v/>
      </c>
      <c r="AN14" s="60">
        <f>IF(OR(AO14="",AD14="",AD14=0),"",AO14/AD14*1000)</f>
        <v/>
      </c>
      <c r="AO14" s="61" t="n"/>
    </row>
    <row r="15">
      <c r="A15" s="55" t="n">
        <v>13</v>
      </c>
      <c r="B15" s="56" t="n"/>
      <c r="C15" s="56" t="n"/>
      <c r="D15" s="57" t="n"/>
      <c r="E15" s="57" t="n"/>
      <c r="F15" s="57" t="n"/>
      <c r="G15" s="57" t="n"/>
      <c r="H15" s="56" t="n"/>
      <c r="I15" s="57" t="n"/>
      <c r="J15" s="57" t="n"/>
      <c r="K15" s="56" t="n"/>
      <c r="L15" s="56" t="n"/>
      <c r="M15" s="56" t="n"/>
      <c r="N15" s="57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  <c r="AC15" s="56" t="n"/>
      <c r="AD15" s="56" t="n"/>
      <c r="AE15" s="56" t="n"/>
      <c r="AF15" s="56" t="n"/>
      <c r="AG15" s="56" t="n"/>
      <c r="AH15" s="56" t="n"/>
      <c r="AI15" s="56" t="n"/>
      <c r="AJ15" s="58">
        <f>IF(AD15="","",AE15+AF15+AG15+AH15)</f>
        <v/>
      </c>
      <c r="AK15" s="59">
        <f>IF(OR(AD15="",AD15=0),"",AJ15/AD15)</f>
        <v/>
      </c>
      <c r="AL15" s="59">
        <f>IF(OR(AD15="",AD15=0),"",AF15/AD15)</f>
        <v/>
      </c>
      <c r="AM15" s="60">
        <f>IF(OR(AO15="",AJ15="",AJ15=0),"",AO15/AJ15)</f>
        <v/>
      </c>
      <c r="AN15" s="60">
        <f>IF(OR(AO15="",AD15="",AD15=0),"",AO15/AD15*1000)</f>
        <v/>
      </c>
      <c r="AO15" s="61" t="n"/>
    </row>
    <row r="16">
      <c r="A16" s="55" t="n">
        <v>14</v>
      </c>
      <c r="B16" s="56" t="n"/>
      <c r="C16" s="56" t="n"/>
      <c r="D16" s="57" t="n"/>
      <c r="E16" s="57" t="n"/>
      <c r="F16" s="57" t="n"/>
      <c r="G16" s="57" t="n"/>
      <c r="H16" s="56" t="n"/>
      <c r="I16" s="57" t="n"/>
      <c r="J16" s="57" t="n"/>
      <c r="K16" s="56" t="n"/>
      <c r="L16" s="56" t="n"/>
      <c r="M16" s="56" t="n"/>
      <c r="N16" s="57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6" t="n"/>
      <c r="X16" s="56" t="n"/>
      <c r="Y16" s="56" t="n"/>
      <c r="Z16" s="56" t="n"/>
      <c r="AA16" s="56" t="n"/>
      <c r="AB16" s="56" t="n"/>
      <c r="AC16" s="56" t="n"/>
      <c r="AD16" s="56" t="n"/>
      <c r="AE16" s="56" t="n"/>
      <c r="AF16" s="56" t="n"/>
      <c r="AG16" s="56" t="n"/>
      <c r="AH16" s="56" t="n"/>
      <c r="AI16" s="56" t="n"/>
      <c r="AJ16" s="58">
        <f>IF(AD16="","",AE16+AF16+AG16+AH16)</f>
        <v/>
      </c>
      <c r="AK16" s="59">
        <f>IF(OR(AD16="",AD16=0),"",AJ16/AD16)</f>
        <v/>
      </c>
      <c r="AL16" s="59">
        <f>IF(OR(AD16="",AD16=0),"",AF16/AD16)</f>
        <v/>
      </c>
      <c r="AM16" s="60">
        <f>IF(OR(AO16="",AJ16="",AJ16=0),"",AO16/AJ16)</f>
        <v/>
      </c>
      <c r="AN16" s="60">
        <f>IF(OR(AO16="",AD16="",AD16=0),"",AO16/AD16*1000)</f>
        <v/>
      </c>
      <c r="AO16" s="61" t="n"/>
    </row>
    <row r="17">
      <c r="A17" s="55" t="n">
        <v>15</v>
      </c>
      <c r="B17" s="56" t="n"/>
      <c r="C17" s="56" t="n"/>
      <c r="D17" s="57" t="n"/>
      <c r="E17" s="57" t="n"/>
      <c r="F17" s="57" t="n"/>
      <c r="G17" s="57" t="n"/>
      <c r="H17" s="56" t="n"/>
      <c r="I17" s="57" t="n"/>
      <c r="J17" s="57" t="n"/>
      <c r="K17" s="56" t="n"/>
      <c r="L17" s="56" t="n"/>
      <c r="M17" s="56" t="n"/>
      <c r="N17" s="57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  <c r="AC17" s="56" t="n"/>
      <c r="AD17" s="56" t="n"/>
      <c r="AE17" s="56" t="n"/>
      <c r="AF17" s="56" t="n"/>
      <c r="AG17" s="56" t="n"/>
      <c r="AH17" s="56" t="n"/>
      <c r="AI17" s="56" t="n"/>
      <c r="AJ17" s="58">
        <f>IF(AD17="","",AE17+AF17+AG17+AH17)</f>
        <v/>
      </c>
      <c r="AK17" s="59">
        <f>IF(OR(AD17="",AD17=0),"",AJ17/AD17)</f>
        <v/>
      </c>
      <c r="AL17" s="59">
        <f>IF(OR(AD17="",AD17=0),"",AF17/AD17)</f>
        <v/>
      </c>
      <c r="AM17" s="60">
        <f>IF(OR(AO17="",AJ17="",AJ17=0),"",AO17/AJ17)</f>
        <v/>
      </c>
      <c r="AN17" s="60">
        <f>IF(OR(AO17="",AD17="",AD17=0),"",AO17/AD17*1000)</f>
        <v/>
      </c>
      <c r="AO17" s="61" t="n"/>
    </row>
    <row r="18">
      <c r="A18" s="55" t="n">
        <v>16</v>
      </c>
      <c r="B18" s="56" t="n"/>
      <c r="C18" s="56" t="n"/>
      <c r="D18" s="57" t="n"/>
      <c r="E18" s="57" t="n"/>
      <c r="F18" s="57" t="n"/>
      <c r="G18" s="57" t="n"/>
      <c r="H18" s="56" t="n"/>
      <c r="I18" s="57" t="n"/>
      <c r="J18" s="57" t="n"/>
      <c r="K18" s="56" t="n"/>
      <c r="L18" s="56" t="n"/>
      <c r="M18" s="56" t="n"/>
      <c r="N18" s="57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6" t="n"/>
      <c r="X18" s="56" t="n"/>
      <c r="Y18" s="56" t="n"/>
      <c r="Z18" s="56" t="n"/>
      <c r="AA18" s="56" t="n"/>
      <c r="AB18" s="56" t="n"/>
      <c r="AC18" s="56" t="n"/>
      <c r="AD18" s="56" t="n"/>
      <c r="AE18" s="56" t="n"/>
      <c r="AF18" s="56" t="n"/>
      <c r="AG18" s="56" t="n"/>
      <c r="AH18" s="56" t="n"/>
      <c r="AI18" s="56" t="n"/>
      <c r="AJ18" s="58">
        <f>IF(AD18="","",AE18+AF18+AG18+AH18)</f>
        <v/>
      </c>
      <c r="AK18" s="59">
        <f>IF(OR(AD18="",AD18=0),"",AJ18/AD18)</f>
        <v/>
      </c>
      <c r="AL18" s="59">
        <f>IF(OR(AD18="",AD18=0),"",AF18/AD18)</f>
        <v/>
      </c>
      <c r="AM18" s="60">
        <f>IF(OR(AO18="",AJ18="",AJ18=0),"",AO18/AJ18)</f>
        <v/>
      </c>
      <c r="AN18" s="60">
        <f>IF(OR(AO18="",AD18="",AD18=0),"",AO18/AD18*1000)</f>
        <v/>
      </c>
      <c r="AO18" s="61" t="n"/>
    </row>
    <row r="19">
      <c r="A19" s="55" t="n">
        <v>17</v>
      </c>
      <c r="B19" s="56" t="n"/>
      <c r="C19" s="56" t="n"/>
      <c r="D19" s="57" t="n"/>
      <c r="E19" s="57" t="n"/>
      <c r="F19" s="57" t="n"/>
      <c r="G19" s="57" t="n"/>
      <c r="H19" s="56" t="n"/>
      <c r="I19" s="57" t="n"/>
      <c r="J19" s="57" t="n"/>
      <c r="K19" s="56" t="n"/>
      <c r="L19" s="56" t="n"/>
      <c r="M19" s="56" t="n"/>
      <c r="N19" s="57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  <c r="AC19" s="56" t="n"/>
      <c r="AD19" s="56" t="n"/>
      <c r="AE19" s="56" t="n"/>
      <c r="AF19" s="56" t="n"/>
      <c r="AG19" s="56" t="n"/>
      <c r="AH19" s="56" t="n"/>
      <c r="AI19" s="56" t="n"/>
      <c r="AJ19" s="58">
        <f>IF(AD19="","",AE19+AF19+AG19+AH19)</f>
        <v/>
      </c>
      <c r="AK19" s="59">
        <f>IF(OR(AD19="",AD19=0),"",AJ19/AD19)</f>
        <v/>
      </c>
      <c r="AL19" s="59">
        <f>IF(OR(AD19="",AD19=0),"",AF19/AD19)</f>
        <v/>
      </c>
      <c r="AM19" s="60">
        <f>IF(OR(AO19="",AJ19="",AJ19=0),"",AO19/AJ19)</f>
        <v/>
      </c>
      <c r="AN19" s="60">
        <f>IF(OR(AO19="",AD19="",AD19=0),"",AO19/AD19*1000)</f>
        <v/>
      </c>
      <c r="AO19" s="61" t="n"/>
    </row>
    <row r="20">
      <c r="A20" s="55" t="n">
        <v>18</v>
      </c>
      <c r="B20" s="56" t="n"/>
      <c r="C20" s="56" t="n"/>
      <c r="D20" s="57" t="n"/>
      <c r="E20" s="57" t="n"/>
      <c r="F20" s="57" t="n"/>
      <c r="G20" s="57" t="n"/>
      <c r="H20" s="56" t="n"/>
      <c r="I20" s="57" t="n"/>
      <c r="J20" s="57" t="n"/>
      <c r="K20" s="56" t="n"/>
      <c r="L20" s="56" t="n"/>
      <c r="M20" s="56" t="n"/>
      <c r="N20" s="57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8">
        <f>IF(AD20="","",AE20+AF20+AG20+AH20)</f>
        <v/>
      </c>
      <c r="AK20" s="59">
        <f>IF(OR(AD20="",AD20=0),"",AJ20/AD20)</f>
        <v/>
      </c>
      <c r="AL20" s="59">
        <f>IF(OR(AD20="",AD20=0),"",AF20/AD20)</f>
        <v/>
      </c>
      <c r="AM20" s="60">
        <f>IF(OR(AO20="",AJ20="",AJ20=0),"",AO20/AJ20)</f>
        <v/>
      </c>
      <c r="AN20" s="60">
        <f>IF(OR(AO20="",AD20="",AD20=0),"",AO20/AD20*1000)</f>
        <v/>
      </c>
      <c r="AO20" s="61" t="n"/>
    </row>
    <row r="21">
      <c r="A21" s="55" t="n">
        <v>19</v>
      </c>
      <c r="B21" s="56" t="n"/>
      <c r="C21" s="56" t="n"/>
      <c r="D21" s="57" t="n"/>
      <c r="E21" s="57" t="n"/>
      <c r="F21" s="57" t="n"/>
      <c r="G21" s="57" t="n"/>
      <c r="H21" s="56" t="n"/>
      <c r="I21" s="57" t="n"/>
      <c r="J21" s="57" t="n"/>
      <c r="K21" s="56" t="n"/>
      <c r="L21" s="56" t="n"/>
      <c r="M21" s="56" t="n"/>
      <c r="N21" s="57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  <c r="AC21" s="56" t="n"/>
      <c r="AD21" s="56" t="n"/>
      <c r="AE21" s="56" t="n"/>
      <c r="AF21" s="56" t="n"/>
      <c r="AG21" s="56" t="n"/>
      <c r="AH21" s="56" t="n"/>
      <c r="AI21" s="56" t="n"/>
      <c r="AJ21" s="58">
        <f>IF(AD21="","",AE21+AF21+AG21+AH21)</f>
        <v/>
      </c>
      <c r="AK21" s="59">
        <f>IF(OR(AD21="",AD21=0),"",AJ21/AD21)</f>
        <v/>
      </c>
      <c r="AL21" s="59">
        <f>IF(OR(AD21="",AD21=0),"",AF21/AD21)</f>
        <v/>
      </c>
      <c r="AM21" s="60">
        <f>IF(OR(AO21="",AJ21="",AJ21=0),"",AO21/AJ21)</f>
        <v/>
      </c>
      <c r="AN21" s="60">
        <f>IF(OR(AO21="",AD21="",AD21=0),"",AO21/AD21*1000)</f>
        <v/>
      </c>
      <c r="AO21" s="61" t="n"/>
    </row>
    <row r="22">
      <c r="A22" s="55" t="n">
        <v>20</v>
      </c>
      <c r="B22" s="56" t="n"/>
      <c r="C22" s="56" t="n"/>
      <c r="D22" s="57" t="n"/>
      <c r="E22" s="57" t="n"/>
      <c r="F22" s="57" t="n"/>
      <c r="G22" s="57" t="n"/>
      <c r="H22" s="56" t="n"/>
      <c r="I22" s="57" t="n"/>
      <c r="J22" s="57" t="n"/>
      <c r="K22" s="56" t="n"/>
      <c r="L22" s="56" t="n"/>
      <c r="M22" s="56" t="n"/>
      <c r="N22" s="57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>
        <f>IF(AD22="","",AE22+AF22+AG22+AH22)</f>
        <v/>
      </c>
      <c r="AK22" s="59">
        <f>IF(OR(AD22="",AD22=0),"",AJ22/AD22)</f>
        <v/>
      </c>
      <c r="AL22" s="59">
        <f>IF(OR(AD22="",AD22=0),"",AF22/AD22)</f>
        <v/>
      </c>
      <c r="AM22" s="60">
        <f>IF(OR(AO22="",AJ22="",AJ22=0),"",AO22/AJ22)</f>
        <v/>
      </c>
      <c r="AN22" s="60">
        <f>IF(OR(AO22="",AD22="",AD22=0),"",AO22/AD22*1000)</f>
        <v/>
      </c>
      <c r="AO22" s="61" t="n"/>
    </row>
    <row r="23">
      <c r="A23" s="55" t="n">
        <v>21</v>
      </c>
      <c r="B23" s="56" t="n"/>
      <c r="C23" s="56" t="n"/>
      <c r="D23" s="57" t="n"/>
      <c r="E23" s="57" t="n"/>
      <c r="F23" s="57" t="n"/>
      <c r="G23" s="57" t="n"/>
      <c r="H23" s="56" t="n"/>
      <c r="I23" s="57" t="n"/>
      <c r="J23" s="57" t="n"/>
      <c r="K23" s="56" t="n"/>
      <c r="L23" s="56" t="n"/>
      <c r="M23" s="56" t="n"/>
      <c r="N23" s="57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  <c r="AC23" s="56" t="n"/>
      <c r="AD23" s="56" t="n"/>
      <c r="AE23" s="56" t="n"/>
      <c r="AF23" s="56" t="n"/>
      <c r="AG23" s="56" t="n"/>
      <c r="AH23" s="56" t="n"/>
      <c r="AI23" s="56" t="n"/>
      <c r="AJ23" s="58">
        <f>IF(AD23="","",AE23+AF23+AG23+AH23)</f>
        <v/>
      </c>
      <c r="AK23" s="59">
        <f>IF(OR(AD23="",AD23=0),"",AJ23/AD23)</f>
        <v/>
      </c>
      <c r="AL23" s="59">
        <f>IF(OR(AD23="",AD23=0),"",AF23/AD23)</f>
        <v/>
      </c>
      <c r="AM23" s="60">
        <f>IF(OR(AO23="",AJ23="",AJ23=0),"",AO23/AJ23)</f>
        <v/>
      </c>
      <c r="AN23" s="60">
        <f>IF(OR(AO23="",AD23="",AD23=0),"",AO23/AD23*1000)</f>
        <v/>
      </c>
      <c r="AO23" s="61" t="n"/>
    </row>
    <row r="24">
      <c r="A24" s="55" t="n">
        <v>22</v>
      </c>
      <c r="B24" s="56" t="n"/>
      <c r="C24" s="56" t="n"/>
      <c r="D24" s="57" t="n"/>
      <c r="E24" s="57" t="n"/>
      <c r="F24" s="57" t="n"/>
      <c r="G24" s="57" t="n"/>
      <c r="H24" s="56" t="n"/>
      <c r="I24" s="57" t="n"/>
      <c r="J24" s="57" t="n"/>
      <c r="K24" s="56" t="n"/>
      <c r="L24" s="56" t="n"/>
      <c r="M24" s="56" t="n"/>
      <c r="N24" s="57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  <c r="Z24" s="56" t="n"/>
      <c r="AA24" s="56" t="n"/>
      <c r="AB24" s="56" t="n"/>
      <c r="AC24" s="56" t="n"/>
      <c r="AD24" s="56" t="n"/>
      <c r="AE24" s="56" t="n"/>
      <c r="AF24" s="56" t="n"/>
      <c r="AG24" s="56" t="n"/>
      <c r="AH24" s="56" t="n"/>
      <c r="AI24" s="56" t="n"/>
      <c r="AJ24" s="58">
        <f>IF(AD24="","",AE24+AF24+AG24+AH24)</f>
        <v/>
      </c>
      <c r="AK24" s="59">
        <f>IF(OR(AD24="",AD24=0),"",AJ24/AD24)</f>
        <v/>
      </c>
      <c r="AL24" s="59">
        <f>IF(OR(AD24="",AD24=0),"",AF24/AD24)</f>
        <v/>
      </c>
      <c r="AM24" s="60">
        <f>IF(OR(AO24="",AJ24="",AJ24=0),"",AO24/AJ24)</f>
        <v/>
      </c>
      <c r="AN24" s="60">
        <f>IF(OR(AO24="",AD24="",AD24=0),"",AO24/AD24*1000)</f>
        <v/>
      </c>
      <c r="AO24" s="61" t="n"/>
    </row>
    <row r="25">
      <c r="A25" s="55" t="n">
        <v>23</v>
      </c>
      <c r="B25" s="56" t="n"/>
      <c r="C25" s="56" t="n"/>
      <c r="D25" s="57" t="n"/>
      <c r="E25" s="57" t="n"/>
      <c r="F25" s="57" t="n"/>
      <c r="G25" s="57" t="n"/>
      <c r="H25" s="56" t="n"/>
      <c r="I25" s="57" t="n"/>
      <c r="J25" s="57" t="n"/>
      <c r="K25" s="56" t="n"/>
      <c r="L25" s="56" t="n"/>
      <c r="M25" s="56" t="n"/>
      <c r="N25" s="57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  <c r="AC25" s="56" t="n"/>
      <c r="AD25" s="56" t="n"/>
      <c r="AE25" s="56" t="n"/>
      <c r="AF25" s="56" t="n"/>
      <c r="AG25" s="56" t="n"/>
      <c r="AH25" s="56" t="n"/>
      <c r="AI25" s="56" t="n"/>
      <c r="AJ25" s="58">
        <f>IF(AD25="","",AE25+AF25+AG25+AH25)</f>
        <v/>
      </c>
      <c r="AK25" s="59">
        <f>IF(OR(AD25="",AD25=0),"",AJ25/AD25)</f>
        <v/>
      </c>
      <c r="AL25" s="59">
        <f>IF(OR(AD25="",AD25=0),"",AF25/AD25)</f>
        <v/>
      </c>
      <c r="AM25" s="60">
        <f>IF(OR(AO25="",AJ25="",AJ25=0),"",AO25/AJ25)</f>
        <v/>
      </c>
      <c r="AN25" s="60">
        <f>IF(OR(AO25="",AD25="",AD25=0),"",AO25/AD25*1000)</f>
        <v/>
      </c>
      <c r="AO25" s="61" t="n"/>
    </row>
    <row r="26">
      <c r="A26" s="55" t="n">
        <v>24</v>
      </c>
      <c r="B26" s="56" t="n"/>
      <c r="C26" s="56" t="n"/>
      <c r="D26" s="57" t="n"/>
      <c r="E26" s="57" t="n"/>
      <c r="F26" s="57" t="n"/>
      <c r="G26" s="57" t="n"/>
      <c r="H26" s="56" t="n"/>
      <c r="I26" s="57" t="n"/>
      <c r="J26" s="57" t="n"/>
      <c r="K26" s="56" t="n"/>
      <c r="L26" s="56" t="n"/>
      <c r="M26" s="56" t="n"/>
      <c r="N26" s="57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  <c r="Z26" s="56" t="n"/>
      <c r="AA26" s="56" t="n"/>
      <c r="AB26" s="56" t="n"/>
      <c r="AC26" s="56" t="n"/>
      <c r="AD26" s="56" t="n"/>
      <c r="AE26" s="56" t="n"/>
      <c r="AF26" s="56" t="n"/>
      <c r="AG26" s="56" t="n"/>
      <c r="AH26" s="56" t="n"/>
      <c r="AI26" s="56" t="n"/>
      <c r="AJ26" s="58">
        <f>IF(AD26="","",AE26+AF26+AG26+AH26)</f>
        <v/>
      </c>
      <c r="AK26" s="59">
        <f>IF(OR(AD26="",AD26=0),"",AJ26/AD26)</f>
        <v/>
      </c>
      <c r="AL26" s="59">
        <f>IF(OR(AD26="",AD26=0),"",AF26/AD26)</f>
        <v/>
      </c>
      <c r="AM26" s="60">
        <f>IF(OR(AO26="",AJ26="",AJ26=0),"",AO26/AJ26)</f>
        <v/>
      </c>
      <c r="AN26" s="60">
        <f>IF(OR(AO26="",AD26="",AD26=0),"",AO26/AD26*1000)</f>
        <v/>
      </c>
      <c r="AO26" s="61" t="n"/>
    </row>
    <row r="27">
      <c r="A27" s="55" t="n">
        <v>25</v>
      </c>
      <c r="B27" s="56" t="n"/>
      <c r="C27" s="56" t="n"/>
      <c r="D27" s="57" t="n"/>
      <c r="E27" s="57" t="n"/>
      <c r="F27" s="57" t="n"/>
      <c r="G27" s="57" t="n"/>
      <c r="H27" s="56" t="n"/>
      <c r="I27" s="57" t="n"/>
      <c r="J27" s="57" t="n"/>
      <c r="K27" s="56" t="n"/>
      <c r="L27" s="56" t="n"/>
      <c r="M27" s="56" t="n"/>
      <c r="N27" s="57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  <c r="AC27" s="56" t="n"/>
      <c r="AD27" s="56" t="n"/>
      <c r="AE27" s="56" t="n"/>
      <c r="AF27" s="56" t="n"/>
      <c r="AG27" s="56" t="n"/>
      <c r="AH27" s="56" t="n"/>
      <c r="AI27" s="56" t="n"/>
      <c r="AJ27" s="58">
        <f>IF(AD27="","",AE27+AF27+AG27+AH27)</f>
        <v/>
      </c>
      <c r="AK27" s="59">
        <f>IF(OR(AD27="",AD27=0),"",AJ27/AD27)</f>
        <v/>
      </c>
      <c r="AL27" s="59">
        <f>IF(OR(AD27="",AD27=0),"",AF27/AD27)</f>
        <v/>
      </c>
      <c r="AM27" s="60">
        <f>IF(OR(AO27="",AJ27="",AJ27=0),"",AO27/AJ27)</f>
        <v/>
      </c>
      <c r="AN27" s="60">
        <f>IF(OR(AO27="",AD27="",AD27=0),"",AO27/AD27*1000)</f>
        <v/>
      </c>
      <c r="AO27" s="61" t="n"/>
    </row>
    <row r="28">
      <c r="A28" s="55" t="n">
        <v>26</v>
      </c>
      <c r="B28" s="56" t="n"/>
      <c r="C28" s="56" t="n"/>
      <c r="D28" s="57" t="n"/>
      <c r="E28" s="57" t="n"/>
      <c r="F28" s="57" t="n"/>
      <c r="G28" s="57" t="n"/>
      <c r="H28" s="56" t="n"/>
      <c r="I28" s="57" t="n"/>
      <c r="J28" s="57" t="n"/>
      <c r="K28" s="56" t="n"/>
      <c r="L28" s="56" t="n"/>
      <c r="M28" s="56" t="n"/>
      <c r="N28" s="57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56" t="n"/>
      <c r="AI28" s="56" t="n"/>
      <c r="AJ28" s="58">
        <f>IF(AD28="","",AE28+AF28+AG28+AH28)</f>
        <v/>
      </c>
      <c r="AK28" s="59">
        <f>IF(OR(AD28="",AD28=0),"",AJ28/AD28)</f>
        <v/>
      </c>
      <c r="AL28" s="59">
        <f>IF(OR(AD28="",AD28=0),"",AF28/AD28)</f>
        <v/>
      </c>
      <c r="AM28" s="60">
        <f>IF(OR(AO28="",AJ28="",AJ28=0),"",AO28/AJ28)</f>
        <v/>
      </c>
      <c r="AN28" s="60">
        <f>IF(OR(AO28="",AD28="",AD28=0),"",AO28/AD28*1000)</f>
        <v/>
      </c>
      <c r="AO28" s="61" t="n"/>
    </row>
    <row r="29">
      <c r="A29" s="55" t="n">
        <v>27</v>
      </c>
      <c r="B29" s="56" t="n"/>
      <c r="C29" s="56" t="n"/>
      <c r="D29" s="57" t="n"/>
      <c r="E29" s="57" t="n"/>
      <c r="F29" s="57" t="n"/>
      <c r="G29" s="57" t="n"/>
      <c r="H29" s="56" t="n"/>
      <c r="I29" s="57" t="n"/>
      <c r="J29" s="57" t="n"/>
      <c r="K29" s="56" t="n"/>
      <c r="L29" s="56" t="n"/>
      <c r="M29" s="56" t="n"/>
      <c r="N29" s="57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  <c r="AC29" s="56" t="n"/>
      <c r="AD29" s="56" t="n"/>
      <c r="AE29" s="56" t="n"/>
      <c r="AF29" s="56" t="n"/>
      <c r="AG29" s="56" t="n"/>
      <c r="AH29" s="56" t="n"/>
      <c r="AI29" s="56" t="n"/>
      <c r="AJ29" s="58">
        <f>IF(AD29="","",AE29+AF29+AG29+AH29)</f>
        <v/>
      </c>
      <c r="AK29" s="59">
        <f>IF(OR(AD29="",AD29=0),"",AJ29/AD29)</f>
        <v/>
      </c>
      <c r="AL29" s="59">
        <f>IF(OR(AD29="",AD29=0),"",AF29/AD29)</f>
        <v/>
      </c>
      <c r="AM29" s="60">
        <f>IF(OR(AO29="",AJ29="",AJ29=0),"",AO29/AJ29)</f>
        <v/>
      </c>
      <c r="AN29" s="60">
        <f>IF(OR(AO29="",AD29="",AD29=0),"",AO29/AD29*1000)</f>
        <v/>
      </c>
      <c r="AO29" s="61" t="n"/>
    </row>
    <row r="30">
      <c r="A30" s="55" t="n">
        <v>28</v>
      </c>
      <c r="B30" s="56" t="n"/>
      <c r="C30" s="56" t="n"/>
      <c r="D30" s="57" t="n"/>
      <c r="E30" s="57" t="n"/>
      <c r="F30" s="57" t="n"/>
      <c r="G30" s="57" t="n"/>
      <c r="H30" s="56" t="n"/>
      <c r="I30" s="57" t="n"/>
      <c r="J30" s="57" t="n"/>
      <c r="K30" s="56" t="n"/>
      <c r="L30" s="56" t="n"/>
      <c r="M30" s="56" t="n"/>
      <c r="N30" s="57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  <c r="Z30" s="56" t="n"/>
      <c r="AA30" s="56" t="n"/>
      <c r="AB30" s="56" t="n"/>
      <c r="AC30" s="56" t="n"/>
      <c r="AD30" s="56" t="n"/>
      <c r="AE30" s="56" t="n"/>
      <c r="AF30" s="56" t="n"/>
      <c r="AG30" s="56" t="n"/>
      <c r="AH30" s="56" t="n"/>
      <c r="AI30" s="56" t="n"/>
      <c r="AJ30" s="58">
        <f>IF(AD30="","",AE30+AF30+AG30+AH30)</f>
        <v/>
      </c>
      <c r="AK30" s="59">
        <f>IF(OR(AD30="",AD30=0),"",AJ30/AD30)</f>
        <v/>
      </c>
      <c r="AL30" s="59">
        <f>IF(OR(AD30="",AD30=0),"",AF30/AD30)</f>
        <v/>
      </c>
      <c r="AM30" s="60">
        <f>IF(OR(AO30="",AJ30="",AJ30=0),"",AO30/AJ30)</f>
        <v/>
      </c>
      <c r="AN30" s="60">
        <f>IF(OR(AO30="",AD30="",AD30=0),"",AO30/AD30*1000)</f>
        <v/>
      </c>
      <c r="AO30" s="61" t="n"/>
    </row>
    <row r="31">
      <c r="A31" s="55" t="n">
        <v>29</v>
      </c>
      <c r="B31" s="56" t="n"/>
      <c r="C31" s="56" t="n"/>
      <c r="D31" s="57" t="n"/>
      <c r="E31" s="57" t="n"/>
      <c r="F31" s="57" t="n"/>
      <c r="G31" s="57" t="n"/>
      <c r="H31" s="56" t="n"/>
      <c r="I31" s="57" t="n"/>
      <c r="J31" s="57" t="n"/>
      <c r="K31" s="56" t="n"/>
      <c r="L31" s="56" t="n"/>
      <c r="M31" s="56" t="n"/>
      <c r="N31" s="57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  <c r="AC31" s="56" t="n"/>
      <c r="AD31" s="56" t="n"/>
      <c r="AE31" s="56" t="n"/>
      <c r="AF31" s="56" t="n"/>
      <c r="AG31" s="56" t="n"/>
      <c r="AH31" s="56" t="n"/>
      <c r="AI31" s="56" t="n"/>
      <c r="AJ31" s="58">
        <f>IF(AD31="","",AE31+AF31+AG31+AH31)</f>
        <v/>
      </c>
      <c r="AK31" s="59">
        <f>IF(OR(AD31="",AD31=0),"",AJ31/AD31)</f>
        <v/>
      </c>
      <c r="AL31" s="59">
        <f>IF(OR(AD31="",AD31=0),"",AF31/AD31)</f>
        <v/>
      </c>
      <c r="AM31" s="60">
        <f>IF(OR(AO31="",AJ31="",AJ31=0),"",AO31/AJ31)</f>
        <v/>
      </c>
      <c r="AN31" s="60">
        <f>IF(OR(AO31="",AD31="",AD31=0),"",AO31/AD31*1000)</f>
        <v/>
      </c>
      <c r="AO31" s="61" t="n"/>
    </row>
    <row r="32">
      <c r="A32" s="55" t="n">
        <v>30</v>
      </c>
      <c r="B32" s="56" t="n"/>
      <c r="C32" s="56" t="n"/>
      <c r="D32" s="57" t="n"/>
      <c r="E32" s="57" t="n"/>
      <c r="F32" s="57" t="n"/>
      <c r="G32" s="57" t="n"/>
      <c r="H32" s="56" t="n"/>
      <c r="I32" s="57" t="n"/>
      <c r="J32" s="57" t="n"/>
      <c r="K32" s="56" t="n"/>
      <c r="L32" s="56" t="n"/>
      <c r="M32" s="56" t="n"/>
      <c r="N32" s="57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  <c r="AA32" s="56" t="n"/>
      <c r="AB32" s="56" t="n"/>
      <c r="AC32" s="56" t="n"/>
      <c r="AD32" s="56" t="n"/>
      <c r="AE32" s="56" t="n"/>
      <c r="AF32" s="56" t="n"/>
      <c r="AG32" s="56" t="n"/>
      <c r="AH32" s="56" t="n"/>
      <c r="AI32" s="56" t="n"/>
      <c r="AJ32" s="58">
        <f>IF(AD32="","",AE32+AF32+AG32+AH32)</f>
        <v/>
      </c>
      <c r="AK32" s="59">
        <f>IF(OR(AD32="",AD32=0),"",AJ32/AD32)</f>
        <v/>
      </c>
      <c r="AL32" s="59">
        <f>IF(OR(AD32="",AD32=0),"",AF32/AD32)</f>
        <v/>
      </c>
      <c r="AM32" s="60">
        <f>IF(OR(AO32="",AJ32="",AJ32=0),"",AO32/AJ32)</f>
        <v/>
      </c>
      <c r="AN32" s="60">
        <f>IF(OR(AO32="",AD32="",AD32=0),"",AO32/AD32*1000)</f>
        <v/>
      </c>
      <c r="AO32" s="61" t="n"/>
    </row>
    <row r="33">
      <c r="A33" s="55" t="n">
        <v>31</v>
      </c>
      <c r="B33" s="56" t="n"/>
      <c r="C33" s="56" t="n"/>
      <c r="D33" s="57" t="n"/>
      <c r="E33" s="57" t="n"/>
      <c r="F33" s="57" t="n"/>
      <c r="G33" s="57" t="n"/>
      <c r="H33" s="56" t="n"/>
      <c r="I33" s="57" t="n"/>
      <c r="J33" s="57" t="n"/>
      <c r="K33" s="56" t="n"/>
      <c r="L33" s="56" t="n"/>
      <c r="M33" s="56" t="n"/>
      <c r="N33" s="57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  <c r="AC33" s="56" t="n"/>
      <c r="AD33" s="56" t="n"/>
      <c r="AE33" s="56" t="n"/>
      <c r="AF33" s="56" t="n"/>
      <c r="AG33" s="56" t="n"/>
      <c r="AH33" s="56" t="n"/>
      <c r="AI33" s="56" t="n"/>
      <c r="AJ33" s="58">
        <f>IF(AD33="","",AE33+AF33+AG33+AH33)</f>
        <v/>
      </c>
      <c r="AK33" s="59">
        <f>IF(OR(AD33="",AD33=0),"",AJ33/AD33)</f>
        <v/>
      </c>
      <c r="AL33" s="59">
        <f>IF(OR(AD33="",AD33=0),"",AF33/AD33)</f>
        <v/>
      </c>
      <c r="AM33" s="60">
        <f>IF(OR(AO33="",AJ33="",AJ33=0),"",AO33/AJ33)</f>
        <v/>
      </c>
      <c r="AN33" s="60">
        <f>IF(OR(AO33="",AD33="",AD33=0),"",AO33/AD33*1000)</f>
        <v/>
      </c>
      <c r="AO33" s="61" t="n"/>
    </row>
    <row r="34">
      <c r="A34" s="55" t="n">
        <v>32</v>
      </c>
      <c r="B34" s="56" t="n"/>
      <c r="C34" s="56" t="n"/>
      <c r="D34" s="57" t="n"/>
      <c r="E34" s="57" t="n"/>
      <c r="F34" s="57" t="n"/>
      <c r="G34" s="57" t="n"/>
      <c r="H34" s="56" t="n"/>
      <c r="I34" s="57" t="n"/>
      <c r="J34" s="57" t="n"/>
      <c r="K34" s="56" t="n"/>
      <c r="L34" s="56" t="n"/>
      <c r="M34" s="56" t="n"/>
      <c r="N34" s="57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  <c r="Z34" s="56" t="n"/>
      <c r="AA34" s="56" t="n"/>
      <c r="AB34" s="56" t="n"/>
      <c r="AC34" s="56" t="n"/>
      <c r="AD34" s="56" t="n"/>
      <c r="AE34" s="56" t="n"/>
      <c r="AF34" s="56" t="n"/>
      <c r="AG34" s="56" t="n"/>
      <c r="AH34" s="56" t="n"/>
      <c r="AI34" s="56" t="n"/>
      <c r="AJ34" s="58">
        <f>IF(AD34="","",AE34+AF34+AG34+AH34)</f>
        <v/>
      </c>
      <c r="AK34" s="59">
        <f>IF(OR(AD34="",AD34=0),"",AJ34/AD34)</f>
        <v/>
      </c>
      <c r="AL34" s="59">
        <f>IF(OR(AD34="",AD34=0),"",AF34/AD34)</f>
        <v/>
      </c>
      <c r="AM34" s="60">
        <f>IF(OR(AO34="",AJ34="",AJ34=0),"",AO34/AJ34)</f>
        <v/>
      </c>
      <c r="AN34" s="60">
        <f>IF(OR(AO34="",AD34="",AD34=0),"",AO34/AD34*1000)</f>
        <v/>
      </c>
      <c r="AO34" s="61" t="n"/>
    </row>
    <row r="35">
      <c r="A35" s="55" t="n">
        <v>33</v>
      </c>
      <c r="B35" s="56" t="n"/>
      <c r="C35" s="56" t="n"/>
      <c r="D35" s="57" t="n"/>
      <c r="E35" s="57" t="n"/>
      <c r="F35" s="57" t="n"/>
      <c r="G35" s="57" t="n"/>
      <c r="H35" s="56" t="n"/>
      <c r="I35" s="57" t="n"/>
      <c r="J35" s="57" t="n"/>
      <c r="K35" s="56" t="n"/>
      <c r="L35" s="56" t="n"/>
      <c r="M35" s="56" t="n"/>
      <c r="N35" s="57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8">
        <f>IF(AD35="","",AE35+AF35+AG35+AH35)</f>
        <v/>
      </c>
      <c r="AK35" s="59">
        <f>IF(OR(AD35="",AD35=0),"",AJ35/AD35)</f>
        <v/>
      </c>
      <c r="AL35" s="59">
        <f>IF(OR(AD35="",AD35=0),"",AF35/AD35)</f>
        <v/>
      </c>
      <c r="AM35" s="60">
        <f>IF(OR(AO35="",AJ35="",AJ35=0),"",AO35/AJ35)</f>
        <v/>
      </c>
      <c r="AN35" s="60">
        <f>IF(OR(AO35="",AD35="",AD35=0),"",AO35/AD35*1000)</f>
        <v/>
      </c>
      <c r="AO35" s="61" t="n"/>
    </row>
    <row r="36">
      <c r="A36" s="55" t="n">
        <v>34</v>
      </c>
      <c r="B36" s="56" t="n"/>
      <c r="C36" s="56" t="n"/>
      <c r="D36" s="57" t="n"/>
      <c r="E36" s="57" t="n"/>
      <c r="F36" s="57" t="n"/>
      <c r="G36" s="57" t="n"/>
      <c r="H36" s="56" t="n"/>
      <c r="I36" s="57" t="n"/>
      <c r="J36" s="57" t="n"/>
      <c r="K36" s="56" t="n"/>
      <c r="L36" s="56" t="n"/>
      <c r="M36" s="56" t="n"/>
      <c r="N36" s="57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  <c r="Z36" s="56" t="n"/>
      <c r="AA36" s="56" t="n"/>
      <c r="AB36" s="56" t="n"/>
      <c r="AC36" s="56" t="n"/>
      <c r="AD36" s="56" t="n"/>
      <c r="AE36" s="56" t="n"/>
      <c r="AF36" s="56" t="n"/>
      <c r="AG36" s="56" t="n"/>
      <c r="AH36" s="56" t="n"/>
      <c r="AI36" s="56" t="n"/>
      <c r="AJ36" s="58">
        <f>IF(AD36="","",AE36+AF36+AG36+AH36)</f>
        <v/>
      </c>
      <c r="AK36" s="59">
        <f>IF(OR(AD36="",AD36=0),"",AJ36/AD36)</f>
        <v/>
      </c>
      <c r="AL36" s="59">
        <f>IF(OR(AD36="",AD36=0),"",AF36/AD36)</f>
        <v/>
      </c>
      <c r="AM36" s="60">
        <f>IF(OR(AO36="",AJ36="",AJ36=0),"",AO36/AJ36)</f>
        <v/>
      </c>
      <c r="AN36" s="60">
        <f>IF(OR(AO36="",AD36="",AD36=0),"",AO36/AD36*1000)</f>
        <v/>
      </c>
      <c r="AO36" s="61" t="n"/>
    </row>
    <row r="37">
      <c r="A37" s="55" t="n">
        <v>35</v>
      </c>
      <c r="B37" s="56" t="n"/>
      <c r="C37" s="56" t="n"/>
      <c r="D37" s="57" t="n"/>
      <c r="E37" s="57" t="n"/>
      <c r="F37" s="57" t="n"/>
      <c r="G37" s="57" t="n"/>
      <c r="H37" s="56" t="n"/>
      <c r="I37" s="57" t="n"/>
      <c r="J37" s="57" t="n"/>
      <c r="K37" s="56" t="n"/>
      <c r="L37" s="56" t="n"/>
      <c r="M37" s="56" t="n"/>
      <c r="N37" s="57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  <c r="AC37" s="56" t="n"/>
      <c r="AD37" s="56" t="n"/>
      <c r="AE37" s="56" t="n"/>
      <c r="AF37" s="56" t="n"/>
      <c r="AG37" s="56" t="n"/>
      <c r="AH37" s="56" t="n"/>
      <c r="AI37" s="56" t="n"/>
      <c r="AJ37" s="58">
        <f>IF(AD37="","",AE37+AF37+AG37+AH37)</f>
        <v/>
      </c>
      <c r="AK37" s="59">
        <f>IF(OR(AD37="",AD37=0),"",AJ37/AD37)</f>
        <v/>
      </c>
      <c r="AL37" s="59">
        <f>IF(OR(AD37="",AD37=0),"",AF37/AD37)</f>
        <v/>
      </c>
      <c r="AM37" s="60">
        <f>IF(OR(AO37="",AJ37="",AJ37=0),"",AO37/AJ37)</f>
        <v/>
      </c>
      <c r="AN37" s="60">
        <f>IF(OR(AO37="",AD37="",AD37=0),"",AO37/AD37*1000)</f>
        <v/>
      </c>
      <c r="AO37" s="61" t="n"/>
    </row>
    <row r="38">
      <c r="A38" s="55" t="n">
        <v>36</v>
      </c>
      <c r="B38" s="56" t="n"/>
      <c r="C38" s="56" t="n"/>
      <c r="D38" s="57" t="n"/>
      <c r="E38" s="57" t="n"/>
      <c r="F38" s="57" t="n"/>
      <c r="G38" s="57" t="n"/>
      <c r="H38" s="56" t="n"/>
      <c r="I38" s="57" t="n"/>
      <c r="J38" s="57" t="n"/>
      <c r="K38" s="56" t="n"/>
      <c r="L38" s="56" t="n"/>
      <c r="M38" s="56" t="n"/>
      <c r="N38" s="57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  <c r="AA38" s="56" t="n"/>
      <c r="AB38" s="56" t="n"/>
      <c r="AC38" s="56" t="n"/>
      <c r="AD38" s="56" t="n"/>
      <c r="AE38" s="56" t="n"/>
      <c r="AF38" s="56" t="n"/>
      <c r="AG38" s="56" t="n"/>
      <c r="AH38" s="56" t="n"/>
      <c r="AI38" s="56" t="n"/>
      <c r="AJ38" s="58">
        <f>IF(AD38="","",AE38+AF38+AG38+AH38)</f>
        <v/>
      </c>
      <c r="AK38" s="59">
        <f>IF(OR(AD38="",AD38=0),"",AJ38/AD38)</f>
        <v/>
      </c>
      <c r="AL38" s="59">
        <f>IF(OR(AD38="",AD38=0),"",AF38/AD38)</f>
        <v/>
      </c>
      <c r="AM38" s="60">
        <f>IF(OR(AO38="",AJ38="",AJ38=0),"",AO38/AJ38)</f>
        <v/>
      </c>
      <c r="AN38" s="60">
        <f>IF(OR(AO38="",AD38="",AD38=0),"",AO38/AD38*1000)</f>
        <v/>
      </c>
      <c r="AO38" s="61" t="n"/>
    </row>
    <row r="39">
      <c r="A39" s="55" t="n">
        <v>37</v>
      </c>
      <c r="B39" s="56" t="n"/>
      <c r="C39" s="56" t="n"/>
      <c r="D39" s="57" t="n"/>
      <c r="E39" s="57" t="n"/>
      <c r="F39" s="57" t="n"/>
      <c r="G39" s="57" t="n"/>
      <c r="H39" s="56" t="n"/>
      <c r="I39" s="57" t="n"/>
      <c r="J39" s="57" t="n"/>
      <c r="K39" s="56" t="n"/>
      <c r="L39" s="56" t="n"/>
      <c r="M39" s="56" t="n"/>
      <c r="N39" s="57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  <c r="AC39" s="56" t="n"/>
      <c r="AD39" s="56" t="n"/>
      <c r="AE39" s="56" t="n"/>
      <c r="AF39" s="56" t="n"/>
      <c r="AG39" s="56" t="n"/>
      <c r="AH39" s="56" t="n"/>
      <c r="AI39" s="56" t="n"/>
      <c r="AJ39" s="58">
        <f>IF(AD39="","",AE39+AF39+AG39+AH39)</f>
        <v/>
      </c>
      <c r="AK39" s="59">
        <f>IF(OR(AD39="",AD39=0),"",AJ39/AD39)</f>
        <v/>
      </c>
      <c r="AL39" s="59">
        <f>IF(OR(AD39="",AD39=0),"",AF39/AD39)</f>
        <v/>
      </c>
      <c r="AM39" s="60">
        <f>IF(OR(AO39="",AJ39="",AJ39=0),"",AO39/AJ39)</f>
        <v/>
      </c>
      <c r="AN39" s="60">
        <f>IF(OR(AO39="",AD39="",AD39=0),"",AO39/AD39*1000)</f>
        <v/>
      </c>
      <c r="AO39" s="61" t="n"/>
    </row>
    <row r="40">
      <c r="A40" s="55" t="n">
        <v>38</v>
      </c>
      <c r="B40" s="56" t="n"/>
      <c r="C40" s="56" t="n"/>
      <c r="D40" s="57" t="n"/>
      <c r="E40" s="57" t="n"/>
      <c r="F40" s="57" t="n"/>
      <c r="G40" s="57" t="n"/>
      <c r="H40" s="56" t="n"/>
      <c r="I40" s="57" t="n"/>
      <c r="J40" s="57" t="n"/>
      <c r="K40" s="56" t="n"/>
      <c r="L40" s="56" t="n"/>
      <c r="M40" s="56" t="n"/>
      <c r="N40" s="57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  <c r="AA40" s="56" t="n"/>
      <c r="AB40" s="56" t="n"/>
      <c r="AC40" s="56" t="n"/>
      <c r="AD40" s="56" t="n"/>
      <c r="AE40" s="56" t="n"/>
      <c r="AF40" s="56" t="n"/>
      <c r="AG40" s="56" t="n"/>
      <c r="AH40" s="56" t="n"/>
      <c r="AI40" s="56" t="n"/>
      <c r="AJ40" s="58">
        <f>IF(AD40="","",AE40+AF40+AG40+AH40)</f>
        <v/>
      </c>
      <c r="AK40" s="59">
        <f>IF(OR(AD40="",AD40=0),"",AJ40/AD40)</f>
        <v/>
      </c>
      <c r="AL40" s="59">
        <f>IF(OR(AD40="",AD40=0),"",AF40/AD40)</f>
        <v/>
      </c>
      <c r="AM40" s="60">
        <f>IF(OR(AO40="",AJ40="",AJ40=0),"",AO40/AJ40)</f>
        <v/>
      </c>
      <c r="AN40" s="60">
        <f>IF(OR(AO40="",AD40="",AD40=0),"",AO40/AD40*1000)</f>
        <v/>
      </c>
      <c r="AO40" s="61" t="n"/>
    </row>
    <row r="41">
      <c r="A41" s="55" t="n">
        <v>39</v>
      </c>
      <c r="B41" s="56" t="n"/>
      <c r="C41" s="56" t="n"/>
      <c r="D41" s="57" t="n"/>
      <c r="E41" s="57" t="n"/>
      <c r="F41" s="57" t="n"/>
      <c r="G41" s="57" t="n"/>
      <c r="H41" s="56" t="n"/>
      <c r="I41" s="57" t="n"/>
      <c r="J41" s="57" t="n"/>
      <c r="K41" s="56" t="n"/>
      <c r="L41" s="56" t="n"/>
      <c r="M41" s="56" t="n"/>
      <c r="N41" s="57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  <c r="AC41" s="56" t="n"/>
      <c r="AD41" s="56" t="n"/>
      <c r="AE41" s="56" t="n"/>
      <c r="AF41" s="56" t="n"/>
      <c r="AG41" s="56" t="n"/>
      <c r="AH41" s="56" t="n"/>
      <c r="AI41" s="56" t="n"/>
      <c r="AJ41" s="58">
        <f>IF(AD41="","",AE41+AF41+AG41+AH41)</f>
        <v/>
      </c>
      <c r="AK41" s="59">
        <f>IF(OR(AD41="",AD41=0),"",AJ41/AD41)</f>
        <v/>
      </c>
      <c r="AL41" s="59">
        <f>IF(OR(AD41="",AD41=0),"",AF41/AD41)</f>
        <v/>
      </c>
      <c r="AM41" s="60">
        <f>IF(OR(AO41="",AJ41="",AJ41=0),"",AO41/AJ41)</f>
        <v/>
      </c>
      <c r="AN41" s="60">
        <f>IF(OR(AO41="",AD41="",AD41=0),"",AO41/AD41*1000)</f>
        <v/>
      </c>
      <c r="AO41" s="61" t="n"/>
    </row>
    <row r="42">
      <c r="A42" s="55" t="n">
        <v>40</v>
      </c>
      <c r="B42" s="56" t="n"/>
      <c r="C42" s="56" t="n"/>
      <c r="D42" s="57" t="n"/>
      <c r="E42" s="57" t="n"/>
      <c r="F42" s="57" t="n"/>
      <c r="G42" s="57" t="n"/>
      <c r="H42" s="56" t="n"/>
      <c r="I42" s="57" t="n"/>
      <c r="J42" s="57" t="n"/>
      <c r="K42" s="56" t="n"/>
      <c r="L42" s="56" t="n"/>
      <c r="M42" s="56" t="n"/>
      <c r="N42" s="57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  <c r="AA42" s="56" t="n"/>
      <c r="AB42" s="56" t="n"/>
      <c r="AC42" s="56" t="n"/>
      <c r="AD42" s="56" t="n"/>
      <c r="AE42" s="56" t="n"/>
      <c r="AF42" s="56" t="n"/>
      <c r="AG42" s="56" t="n"/>
      <c r="AH42" s="56" t="n"/>
      <c r="AI42" s="56" t="n"/>
      <c r="AJ42" s="58">
        <f>IF(AD42="","",AE42+AF42+AG42+AH42)</f>
        <v/>
      </c>
      <c r="AK42" s="59">
        <f>IF(OR(AD42="",AD42=0),"",AJ42/AD42)</f>
        <v/>
      </c>
      <c r="AL42" s="59">
        <f>IF(OR(AD42="",AD42=0),"",AF42/AD42)</f>
        <v/>
      </c>
      <c r="AM42" s="60">
        <f>IF(OR(AO42="",AJ42="",AJ42=0),"",AO42/AJ42)</f>
        <v/>
      </c>
      <c r="AN42" s="60">
        <f>IF(OR(AO42="",AD42="",AD42=0),"",AO42/AD42*1000)</f>
        <v/>
      </c>
      <c r="AO42" s="61" t="n"/>
    </row>
  </sheetData>
  <mergeCells count="6">
    <mergeCell ref="A1:G1"/>
    <mergeCell ref="AJ1:AN1"/>
    <mergeCell ref="AC1:AI1"/>
    <mergeCell ref="O1:U1"/>
    <mergeCell ref="V1:AB1"/>
    <mergeCell ref="H1:N1"/>
  </mergeCells>
  <dataValidations count="4">
    <dataValidation sqref="B3:B42" showDropDown="0" showInputMessage="0" showErrorMessage="0" allowBlank="1" type="list">
      <formula1>选项!$A$2:$A$6</formula1>
    </dataValidation>
    <dataValidation sqref="G3:G42" showDropDown="0" showInputMessage="0" showErrorMessage="0" allowBlank="1" type="list">
      <formula1>选项!$M$2:$M$7</formula1>
    </dataValidation>
    <dataValidation sqref="L3:L42" showDropDown="0" showInputMessage="0" showErrorMessage="0" allowBlank="1" type="list">
      <formula1>选项!$H$2:$H$3</formula1>
    </dataValidation>
    <dataValidation sqref="M3:M42" showDropDown="0" showInputMessage="0" showErrorMessage="0" allowBlank="1" type="list">
      <formula1>选项!$I$2:$I$4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9E6B"/>
    <outlinePr summaryBelow="1" summaryRight="1"/>
    <pageSetUpPr/>
  </sheetPr>
  <dimension ref="A1:AO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3" customWidth="1" min="4" max="4"/>
    <col width="16" customWidth="1" min="5" max="5"/>
    <col width="12" customWidth="1" min="6" max="6"/>
    <col width="14" customWidth="1" min="7" max="7"/>
    <col width="11" customWidth="1" min="8" max="8"/>
    <col width="22" customWidth="1" min="9" max="9"/>
    <col width="16" customWidth="1" min="10" max="10"/>
    <col width="9" customWidth="1" min="11" max="11"/>
    <col width="8" customWidth="1" min="12" max="13"/>
    <col width="14" customWidth="1" min="14" max="14"/>
    <col width="10" customWidth="1" min="15" max="15"/>
    <col width="8" customWidth="1" min="16" max="16"/>
    <col width="7" customWidth="1" min="17" max="20"/>
    <col width="10" customWidth="1" min="21" max="22"/>
    <col width="8" customWidth="1" min="23" max="23"/>
    <col width="7" customWidth="1" min="24" max="27"/>
    <col width="10" customWidth="1" min="28" max="29"/>
    <col width="8" customWidth="1" min="30" max="30"/>
    <col width="7" customWidth="1" min="31" max="34"/>
    <col width="10" customWidth="1" min="35" max="35"/>
    <col width="8" customWidth="1" min="36" max="38"/>
    <col width="9" customWidth="1" min="39" max="39"/>
    <col width="10" customWidth="1" min="40" max="40"/>
    <col width="14.5769230769231" customWidth="1" min="41" max="41"/>
  </cols>
  <sheetData>
    <row r="1" ht="20" customHeight="1">
      <c r="A1" s="40" t="inlineStr">
        <is>
          <t>排期 · 投前确认</t>
        </is>
      </c>
      <c r="B1" s="41" t="n"/>
      <c r="C1" s="41" t="n"/>
      <c r="D1" s="41" t="n"/>
      <c r="E1" s="41" t="n"/>
      <c r="F1" s="41" t="n"/>
      <c r="G1" s="42" t="n"/>
      <c r="H1" s="43" t="inlineStr">
        <is>
          <t>投后 · 基础</t>
        </is>
      </c>
      <c r="I1" s="41" t="n"/>
      <c r="J1" s="41" t="n"/>
      <c r="K1" s="41" t="n"/>
      <c r="L1" s="41" t="n"/>
      <c r="M1" s="41" t="n"/>
      <c r="N1" s="42" t="n"/>
      <c r="O1" s="44" t="inlineStr">
        <is>
          <t>数据追踪 T+3</t>
        </is>
      </c>
      <c r="P1" s="41" t="n"/>
      <c r="Q1" s="41" t="n"/>
      <c r="R1" s="41" t="n"/>
      <c r="S1" s="41" t="n"/>
      <c r="T1" s="41" t="n"/>
      <c r="U1" s="42" t="n"/>
      <c r="V1" s="45" t="inlineStr">
        <is>
          <t>数据追踪 T+7</t>
        </is>
      </c>
      <c r="W1" s="41" t="n"/>
      <c r="X1" s="41" t="n"/>
      <c r="Y1" s="41" t="n"/>
      <c r="Z1" s="41" t="n"/>
      <c r="AA1" s="41" t="n"/>
      <c r="AB1" s="42" t="n"/>
      <c r="AC1" s="46" t="inlineStr">
        <is>
          <t>数据追踪 T+15</t>
        </is>
      </c>
      <c r="AD1" s="41" t="n"/>
      <c r="AE1" s="41" t="n"/>
      <c r="AF1" s="41" t="n"/>
      <c r="AG1" s="41" t="n"/>
      <c r="AH1" s="41" t="n"/>
      <c r="AI1" s="42" t="n"/>
      <c r="AJ1" s="47" t="inlineStr">
        <is>
          <t>效率指标（自动）</t>
        </is>
      </c>
      <c r="AK1" s="41" t="n"/>
      <c r="AL1" s="41" t="n"/>
      <c r="AM1" s="41" t="n"/>
      <c r="AN1" s="42" t="n"/>
      <c r="AO1" s="48" t="inlineStr">
        <is>
          <t>结算 · 转化</t>
        </is>
      </c>
    </row>
    <row r="2" ht="30" customHeight="1">
      <c r="A2" s="49" t="inlineStr">
        <is>
          <t>序号</t>
        </is>
      </c>
      <c r="B2" s="49" t="inlineStr">
        <is>
          <t>状态</t>
        </is>
      </c>
      <c r="C2" s="49" t="inlineStr">
        <is>
          <t>计划发布日</t>
        </is>
      </c>
      <c r="D2" s="49" t="inlineStr">
        <is>
          <t>达人名称</t>
        </is>
      </c>
      <c r="E2" s="49" t="inlineStr">
        <is>
          <t>达人主页链接</t>
        </is>
      </c>
      <c r="F2" s="49" t="inlineStr">
        <is>
          <t>合作社/MCN</t>
        </is>
      </c>
      <c r="G2" s="49" t="inlineStr">
        <is>
          <t>投放产品</t>
        </is>
      </c>
      <c r="H2" s="50" t="inlineStr">
        <is>
          <t>实际发布日</t>
        </is>
      </c>
      <c r="I2" s="50" t="inlineStr">
        <is>
          <t>笔记标题</t>
        </is>
      </c>
      <c r="J2" s="50" t="inlineStr">
        <is>
          <t>笔记链接</t>
        </is>
      </c>
      <c r="K2" s="50" t="inlineStr">
        <is>
          <t>图片数</t>
        </is>
      </c>
      <c r="L2" s="50" t="inlineStr">
        <is>
          <t>品牌词植入</t>
        </is>
      </c>
      <c r="M2" s="50" t="inlineStr">
        <is>
          <t>话题维护</t>
        </is>
      </c>
      <c r="N2" s="50" t="inlineStr">
        <is>
          <t>主话题词</t>
        </is>
      </c>
      <c r="O2" s="51" t="inlineStr">
        <is>
          <t>T+3采集日</t>
        </is>
      </c>
      <c r="P2" s="51" t="inlineStr">
        <is>
          <t>曝光</t>
        </is>
      </c>
      <c r="Q2" s="51" t="inlineStr">
        <is>
          <t>点赞</t>
        </is>
      </c>
      <c r="R2" s="51" t="inlineStr">
        <is>
          <t>收藏</t>
        </is>
      </c>
      <c r="S2" s="51" t="inlineStr">
        <is>
          <t>评论</t>
        </is>
      </c>
      <c r="T2" s="51" t="inlineStr">
        <is>
          <t>分享</t>
        </is>
      </c>
      <c r="U2" s="51" t="inlineStr">
        <is>
          <t>证据截图</t>
        </is>
      </c>
      <c r="V2" s="51" t="inlineStr">
        <is>
          <t>T+7采集日</t>
        </is>
      </c>
      <c r="W2" s="51" t="inlineStr">
        <is>
          <t>曝光</t>
        </is>
      </c>
      <c r="X2" s="51" t="inlineStr">
        <is>
          <t>点赞</t>
        </is>
      </c>
      <c r="Y2" s="51" t="inlineStr">
        <is>
          <t>收藏</t>
        </is>
      </c>
      <c r="Z2" s="51" t="inlineStr">
        <is>
          <t>评论</t>
        </is>
      </c>
      <c r="AA2" s="51" t="inlineStr">
        <is>
          <t>分享</t>
        </is>
      </c>
      <c r="AB2" s="51" t="inlineStr">
        <is>
          <t>证据截图</t>
        </is>
      </c>
      <c r="AC2" s="52" t="inlineStr">
        <is>
          <t>T+15采集日</t>
        </is>
      </c>
      <c r="AD2" s="52" t="inlineStr">
        <is>
          <t>曝光</t>
        </is>
      </c>
      <c r="AE2" s="52" t="inlineStr">
        <is>
          <t>点赞</t>
        </is>
      </c>
      <c r="AF2" s="52" t="inlineStr">
        <is>
          <t>收藏</t>
        </is>
      </c>
      <c r="AG2" s="52" t="inlineStr">
        <is>
          <t>评论</t>
        </is>
      </c>
      <c r="AH2" s="52" t="inlineStr">
        <is>
          <t>分享</t>
        </is>
      </c>
      <c r="AI2" s="52" t="inlineStr">
        <is>
          <t>证据截图</t>
        </is>
      </c>
      <c r="AJ2" s="53" t="inlineStr">
        <is>
          <t>最终互动量</t>
        </is>
      </c>
      <c r="AK2" s="53" t="inlineStr">
        <is>
          <t>互动率</t>
        </is>
      </c>
      <c r="AL2" s="53" t="inlineStr">
        <is>
          <t>收藏率</t>
        </is>
      </c>
      <c r="AM2" s="53" t="inlineStr">
        <is>
          <t>CPE互动成本</t>
        </is>
      </c>
      <c r="AN2" s="53" t="inlineStr">
        <is>
          <t>CPM千次曝光</t>
        </is>
      </c>
      <c r="AO2" s="54" t="inlineStr">
        <is>
          <t>笔记费用(元)</t>
        </is>
      </c>
    </row>
    <row r="3">
      <c r="A3" s="55" t="n">
        <v>1</v>
      </c>
      <c r="B3" s="56" t="n"/>
      <c r="C3" s="56" t="n"/>
      <c r="D3" s="57" t="n"/>
      <c r="E3" s="57" t="n"/>
      <c r="F3" s="57" t="n"/>
      <c r="G3" s="57" t="n"/>
      <c r="H3" s="56" t="n"/>
      <c r="I3" s="57" t="n"/>
      <c r="J3" s="57" t="n"/>
      <c r="K3" s="56" t="n"/>
      <c r="L3" s="56" t="n"/>
      <c r="M3" s="56" t="n"/>
      <c r="N3" s="57" t="n"/>
      <c r="O3" s="56" t="n"/>
      <c r="P3" s="56" t="n"/>
      <c r="Q3" s="56" t="n"/>
      <c r="R3" s="56" t="n"/>
      <c r="S3" s="56" t="n"/>
      <c r="T3" s="56" t="n"/>
      <c r="U3" s="56" t="n"/>
      <c r="V3" s="56" t="n"/>
      <c r="W3" s="56" t="n"/>
      <c r="X3" s="56" t="n"/>
      <c r="Y3" s="56" t="n"/>
      <c r="Z3" s="56" t="n"/>
      <c r="AA3" s="56" t="n"/>
      <c r="AB3" s="56" t="n"/>
      <c r="AC3" s="56" t="n"/>
      <c r="AD3" s="56" t="n"/>
      <c r="AE3" s="56" t="n"/>
      <c r="AF3" s="56" t="n"/>
      <c r="AG3" s="56" t="n"/>
      <c r="AH3" s="56" t="n"/>
      <c r="AI3" s="56" t="n"/>
      <c r="AJ3" s="58">
        <f>IF(AD3="","",AE3+AF3+AG3+AH3)</f>
        <v/>
      </c>
      <c r="AK3" s="59">
        <f>IF(OR(AD3="",AD3=0),"",AJ3/AD3)</f>
        <v/>
      </c>
      <c r="AL3" s="59">
        <f>IF(OR(AD3="",AD3=0),"",AF3/AD3)</f>
        <v/>
      </c>
      <c r="AM3" s="60">
        <f>IF(OR(AO3="",AJ3="",AJ3=0),"",AO3/AJ3)</f>
        <v/>
      </c>
      <c r="AN3" s="60">
        <f>IF(OR(AO3="",AD3="",AD3=0),"",AO3/AD3*1000)</f>
        <v/>
      </c>
      <c r="AO3" s="61" t="n"/>
    </row>
    <row r="4">
      <c r="A4" s="55" t="n">
        <v>2</v>
      </c>
      <c r="B4" s="56" t="n"/>
      <c r="C4" s="56" t="n"/>
      <c r="D4" s="57" t="n"/>
      <c r="E4" s="57" t="n"/>
      <c r="F4" s="57" t="n"/>
      <c r="G4" s="57" t="n"/>
      <c r="H4" s="56" t="n"/>
      <c r="I4" s="57" t="n"/>
      <c r="J4" s="57" t="n"/>
      <c r="K4" s="56" t="n"/>
      <c r="L4" s="56" t="n"/>
      <c r="M4" s="56" t="n"/>
      <c r="N4" s="57" t="n"/>
      <c r="O4" s="56" t="n"/>
      <c r="P4" s="56" t="n"/>
      <c r="Q4" s="56" t="n"/>
      <c r="R4" s="56" t="n"/>
      <c r="S4" s="56" t="n"/>
      <c r="T4" s="56" t="n"/>
      <c r="U4" s="56" t="n"/>
      <c r="V4" s="56" t="n"/>
      <c r="W4" s="56" t="n"/>
      <c r="X4" s="56" t="n"/>
      <c r="Y4" s="56" t="n"/>
      <c r="Z4" s="56" t="n"/>
      <c r="AA4" s="56" t="n"/>
      <c r="AB4" s="56" t="n"/>
      <c r="AC4" s="56" t="n"/>
      <c r="AD4" s="56" t="n"/>
      <c r="AE4" s="56" t="n"/>
      <c r="AF4" s="56" t="n"/>
      <c r="AG4" s="56" t="n"/>
      <c r="AH4" s="56" t="n"/>
      <c r="AI4" s="56" t="n"/>
      <c r="AJ4" s="58">
        <f>IF(AD4="","",AE4+AF4+AG4+AH4)</f>
        <v/>
      </c>
      <c r="AK4" s="59">
        <f>IF(OR(AD4="",AD4=0),"",AJ4/AD4)</f>
        <v/>
      </c>
      <c r="AL4" s="59">
        <f>IF(OR(AD4="",AD4=0),"",AF4/AD4)</f>
        <v/>
      </c>
      <c r="AM4" s="60">
        <f>IF(OR(AO4="",AJ4="",AJ4=0),"",AO4/AJ4)</f>
        <v/>
      </c>
      <c r="AN4" s="60">
        <f>IF(OR(AO4="",AD4="",AD4=0),"",AO4/AD4*1000)</f>
        <v/>
      </c>
      <c r="AO4" s="61" t="n"/>
    </row>
    <row r="5">
      <c r="A5" s="55" t="n">
        <v>3</v>
      </c>
      <c r="B5" s="56" t="n"/>
      <c r="C5" s="56" t="n"/>
      <c r="D5" s="57" t="n"/>
      <c r="E5" s="57" t="n"/>
      <c r="F5" s="57" t="n"/>
      <c r="G5" s="57" t="n"/>
      <c r="H5" s="56" t="n"/>
      <c r="I5" s="57" t="n"/>
      <c r="J5" s="57" t="n"/>
      <c r="K5" s="56" t="n"/>
      <c r="L5" s="56" t="n"/>
      <c r="M5" s="56" t="n"/>
      <c r="N5" s="57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  <c r="Z5" s="56" t="n"/>
      <c r="AA5" s="56" t="n"/>
      <c r="AB5" s="56" t="n"/>
      <c r="AC5" s="56" t="n"/>
      <c r="AD5" s="56" t="n"/>
      <c r="AE5" s="56" t="n"/>
      <c r="AF5" s="56" t="n"/>
      <c r="AG5" s="56" t="n"/>
      <c r="AH5" s="56" t="n"/>
      <c r="AI5" s="56" t="n"/>
      <c r="AJ5" s="58">
        <f>IF(AD5="","",AE5+AF5+AG5+AH5)</f>
        <v/>
      </c>
      <c r="AK5" s="59">
        <f>IF(OR(AD5="",AD5=0),"",AJ5/AD5)</f>
        <v/>
      </c>
      <c r="AL5" s="59">
        <f>IF(OR(AD5="",AD5=0),"",AF5/AD5)</f>
        <v/>
      </c>
      <c r="AM5" s="60">
        <f>IF(OR(AO5="",AJ5="",AJ5=0),"",AO5/AJ5)</f>
        <v/>
      </c>
      <c r="AN5" s="60">
        <f>IF(OR(AO5="",AD5="",AD5=0),"",AO5/AD5*1000)</f>
        <v/>
      </c>
      <c r="AO5" s="61" t="n"/>
    </row>
    <row r="6">
      <c r="A6" s="55" t="n">
        <v>4</v>
      </c>
      <c r="B6" s="56" t="n"/>
      <c r="C6" s="56" t="n"/>
      <c r="D6" s="57" t="n"/>
      <c r="E6" s="57" t="n"/>
      <c r="F6" s="57" t="n"/>
      <c r="G6" s="57" t="n"/>
      <c r="H6" s="56" t="n"/>
      <c r="I6" s="57" t="n"/>
      <c r="J6" s="57" t="n"/>
      <c r="K6" s="56" t="n"/>
      <c r="L6" s="56" t="n"/>
      <c r="M6" s="56" t="n"/>
      <c r="N6" s="57" t="n"/>
      <c r="O6" s="56" t="n"/>
      <c r="P6" s="56" t="n"/>
      <c r="Q6" s="56" t="n"/>
      <c r="R6" s="56" t="n"/>
      <c r="S6" s="56" t="n"/>
      <c r="T6" s="56" t="n"/>
      <c r="U6" s="56" t="n"/>
      <c r="V6" s="56" t="n"/>
      <c r="W6" s="56" t="n"/>
      <c r="X6" s="56" t="n"/>
      <c r="Y6" s="56" t="n"/>
      <c r="Z6" s="56" t="n"/>
      <c r="AA6" s="56" t="n"/>
      <c r="AB6" s="56" t="n"/>
      <c r="AC6" s="56" t="n"/>
      <c r="AD6" s="56" t="n"/>
      <c r="AE6" s="56" t="n"/>
      <c r="AF6" s="56" t="n"/>
      <c r="AG6" s="56" t="n"/>
      <c r="AH6" s="56" t="n"/>
      <c r="AI6" s="56" t="n"/>
      <c r="AJ6" s="58">
        <f>IF(AD6="","",AE6+AF6+AG6+AH6)</f>
        <v/>
      </c>
      <c r="AK6" s="59">
        <f>IF(OR(AD6="",AD6=0),"",AJ6/AD6)</f>
        <v/>
      </c>
      <c r="AL6" s="59">
        <f>IF(OR(AD6="",AD6=0),"",AF6/AD6)</f>
        <v/>
      </c>
      <c r="AM6" s="60">
        <f>IF(OR(AO6="",AJ6="",AJ6=0),"",AO6/AJ6)</f>
        <v/>
      </c>
      <c r="AN6" s="60">
        <f>IF(OR(AO6="",AD6="",AD6=0),"",AO6/AD6*1000)</f>
        <v/>
      </c>
      <c r="AO6" s="61" t="n"/>
    </row>
    <row r="7">
      <c r="A7" s="55" t="n">
        <v>5</v>
      </c>
      <c r="B7" s="56" t="n"/>
      <c r="C7" s="56" t="n"/>
      <c r="D7" s="57" t="n"/>
      <c r="E7" s="57" t="n"/>
      <c r="F7" s="57" t="n"/>
      <c r="G7" s="57" t="n"/>
      <c r="H7" s="56" t="n"/>
      <c r="I7" s="57" t="n"/>
      <c r="J7" s="57" t="n"/>
      <c r="K7" s="56" t="n"/>
      <c r="L7" s="56" t="n"/>
      <c r="M7" s="56" t="n"/>
      <c r="N7" s="57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6" t="n"/>
      <c r="AG7" s="56" t="n"/>
      <c r="AH7" s="56" t="n"/>
      <c r="AI7" s="56" t="n"/>
      <c r="AJ7" s="58">
        <f>IF(AD7="","",AE7+AF7+AG7+AH7)</f>
        <v/>
      </c>
      <c r="AK7" s="59">
        <f>IF(OR(AD7="",AD7=0),"",AJ7/AD7)</f>
        <v/>
      </c>
      <c r="AL7" s="59">
        <f>IF(OR(AD7="",AD7=0),"",AF7/AD7)</f>
        <v/>
      </c>
      <c r="AM7" s="60">
        <f>IF(OR(AO7="",AJ7="",AJ7=0),"",AO7/AJ7)</f>
        <v/>
      </c>
      <c r="AN7" s="60">
        <f>IF(OR(AO7="",AD7="",AD7=0),"",AO7/AD7*1000)</f>
        <v/>
      </c>
      <c r="AO7" s="61" t="n"/>
    </row>
    <row r="8">
      <c r="A8" s="55" t="n">
        <v>6</v>
      </c>
      <c r="B8" s="56" t="n"/>
      <c r="C8" s="56" t="n"/>
      <c r="D8" s="57" t="n"/>
      <c r="E8" s="57" t="n"/>
      <c r="F8" s="57" t="n"/>
      <c r="G8" s="57" t="n"/>
      <c r="H8" s="56" t="n"/>
      <c r="I8" s="57" t="n"/>
      <c r="J8" s="57" t="n"/>
      <c r="K8" s="56" t="n"/>
      <c r="L8" s="56" t="n"/>
      <c r="M8" s="56" t="n"/>
      <c r="N8" s="57" t="n"/>
      <c r="O8" s="56" t="n"/>
      <c r="P8" s="56" t="n"/>
      <c r="Q8" s="56" t="n"/>
      <c r="R8" s="56" t="n"/>
      <c r="S8" s="56" t="n"/>
      <c r="T8" s="56" t="n"/>
      <c r="U8" s="56" t="n"/>
      <c r="V8" s="56" t="n"/>
      <c r="W8" s="56" t="n"/>
      <c r="X8" s="56" t="n"/>
      <c r="Y8" s="56" t="n"/>
      <c r="Z8" s="56" t="n"/>
      <c r="AA8" s="56" t="n"/>
      <c r="AB8" s="56" t="n"/>
      <c r="AC8" s="56" t="n"/>
      <c r="AD8" s="56" t="n"/>
      <c r="AE8" s="56" t="n"/>
      <c r="AF8" s="56" t="n"/>
      <c r="AG8" s="56" t="n"/>
      <c r="AH8" s="56" t="n"/>
      <c r="AI8" s="56" t="n"/>
      <c r="AJ8" s="58">
        <f>IF(AD8="","",AE8+AF8+AG8+AH8)</f>
        <v/>
      </c>
      <c r="AK8" s="59">
        <f>IF(OR(AD8="",AD8=0),"",AJ8/AD8)</f>
        <v/>
      </c>
      <c r="AL8" s="59">
        <f>IF(OR(AD8="",AD8=0),"",AF8/AD8)</f>
        <v/>
      </c>
      <c r="AM8" s="60">
        <f>IF(OR(AO8="",AJ8="",AJ8=0),"",AO8/AJ8)</f>
        <v/>
      </c>
      <c r="AN8" s="60">
        <f>IF(OR(AO8="",AD8="",AD8=0),"",AO8/AD8*1000)</f>
        <v/>
      </c>
      <c r="AO8" s="61" t="n"/>
    </row>
    <row r="9">
      <c r="A9" s="55" t="n">
        <v>7</v>
      </c>
      <c r="B9" s="56" t="n"/>
      <c r="C9" s="56" t="n"/>
      <c r="D9" s="57" t="n"/>
      <c r="E9" s="57" t="n"/>
      <c r="F9" s="57" t="n"/>
      <c r="G9" s="57" t="n"/>
      <c r="H9" s="56" t="n"/>
      <c r="I9" s="57" t="n"/>
      <c r="J9" s="57" t="n"/>
      <c r="K9" s="56" t="n"/>
      <c r="L9" s="56" t="n"/>
      <c r="M9" s="56" t="n"/>
      <c r="N9" s="57" t="n"/>
      <c r="O9" s="56" t="n"/>
      <c r="P9" s="56" t="n"/>
      <c r="Q9" s="56" t="n"/>
      <c r="R9" s="56" t="n"/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  <c r="AC9" s="56" t="n"/>
      <c r="AD9" s="56" t="n"/>
      <c r="AE9" s="56" t="n"/>
      <c r="AF9" s="56" t="n"/>
      <c r="AG9" s="56" t="n"/>
      <c r="AH9" s="56" t="n"/>
      <c r="AI9" s="56" t="n"/>
      <c r="AJ9" s="58">
        <f>IF(AD9="","",AE9+AF9+AG9+AH9)</f>
        <v/>
      </c>
      <c r="AK9" s="59">
        <f>IF(OR(AD9="",AD9=0),"",AJ9/AD9)</f>
        <v/>
      </c>
      <c r="AL9" s="59">
        <f>IF(OR(AD9="",AD9=0),"",AF9/AD9)</f>
        <v/>
      </c>
      <c r="AM9" s="60">
        <f>IF(OR(AO9="",AJ9="",AJ9=0),"",AO9/AJ9)</f>
        <v/>
      </c>
      <c r="AN9" s="60">
        <f>IF(OR(AO9="",AD9="",AD9=0),"",AO9/AD9*1000)</f>
        <v/>
      </c>
      <c r="AO9" s="61" t="n"/>
    </row>
    <row r="10">
      <c r="A10" s="55" t="n">
        <v>8</v>
      </c>
      <c r="B10" s="56" t="n"/>
      <c r="C10" s="56" t="n"/>
      <c r="D10" s="57" t="n"/>
      <c r="E10" s="57" t="n"/>
      <c r="F10" s="57" t="n"/>
      <c r="G10" s="57" t="n"/>
      <c r="H10" s="56" t="n"/>
      <c r="I10" s="57" t="n"/>
      <c r="J10" s="57" t="n"/>
      <c r="K10" s="56" t="n"/>
      <c r="L10" s="56" t="n"/>
      <c r="M10" s="56" t="n"/>
      <c r="N10" s="57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  <c r="Z10" s="56" t="n"/>
      <c r="AA10" s="56" t="n"/>
      <c r="AB10" s="56" t="n"/>
      <c r="AC10" s="56" t="n"/>
      <c r="AD10" s="56" t="n"/>
      <c r="AE10" s="56" t="n"/>
      <c r="AF10" s="56" t="n"/>
      <c r="AG10" s="56" t="n"/>
      <c r="AH10" s="56" t="n"/>
      <c r="AI10" s="56" t="n"/>
      <c r="AJ10" s="58">
        <f>IF(AD10="","",AE10+AF10+AG10+AH10)</f>
        <v/>
      </c>
      <c r="AK10" s="59">
        <f>IF(OR(AD10="",AD10=0),"",AJ10/AD10)</f>
        <v/>
      </c>
      <c r="AL10" s="59">
        <f>IF(OR(AD10="",AD10=0),"",AF10/AD10)</f>
        <v/>
      </c>
      <c r="AM10" s="60">
        <f>IF(OR(AO10="",AJ10="",AJ10=0),"",AO10/AJ10)</f>
        <v/>
      </c>
      <c r="AN10" s="60">
        <f>IF(OR(AO10="",AD10="",AD10=0),"",AO10/AD10*1000)</f>
        <v/>
      </c>
      <c r="AO10" s="61" t="n"/>
    </row>
    <row r="11">
      <c r="A11" s="55" t="n">
        <v>9</v>
      </c>
      <c r="B11" s="56" t="n"/>
      <c r="C11" s="56" t="n"/>
      <c r="D11" s="57" t="n"/>
      <c r="E11" s="57" t="n"/>
      <c r="F11" s="57" t="n"/>
      <c r="G11" s="57" t="n"/>
      <c r="H11" s="56" t="n"/>
      <c r="I11" s="57" t="n"/>
      <c r="J11" s="57" t="n"/>
      <c r="K11" s="56" t="n"/>
      <c r="L11" s="56" t="n"/>
      <c r="M11" s="56" t="n"/>
      <c r="N11" s="57" t="n"/>
      <c r="O11" s="56" t="n"/>
      <c r="P11" s="56" t="n"/>
      <c r="Q11" s="56" t="n"/>
      <c r="R11" s="56" t="n"/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  <c r="AC11" s="56" t="n"/>
      <c r="AD11" s="56" t="n"/>
      <c r="AE11" s="56" t="n"/>
      <c r="AF11" s="56" t="n"/>
      <c r="AG11" s="56" t="n"/>
      <c r="AH11" s="56" t="n"/>
      <c r="AI11" s="56" t="n"/>
      <c r="AJ11" s="58">
        <f>IF(AD11="","",AE11+AF11+AG11+AH11)</f>
        <v/>
      </c>
      <c r="AK11" s="59">
        <f>IF(OR(AD11="",AD11=0),"",AJ11/AD11)</f>
        <v/>
      </c>
      <c r="AL11" s="59">
        <f>IF(OR(AD11="",AD11=0),"",AF11/AD11)</f>
        <v/>
      </c>
      <c r="AM11" s="60">
        <f>IF(OR(AO11="",AJ11="",AJ11=0),"",AO11/AJ11)</f>
        <v/>
      </c>
      <c r="AN11" s="60">
        <f>IF(OR(AO11="",AD11="",AD11=0),"",AO11/AD11*1000)</f>
        <v/>
      </c>
      <c r="AO11" s="61" t="n"/>
    </row>
    <row r="12">
      <c r="A12" s="55" t="n">
        <v>10</v>
      </c>
      <c r="B12" s="56" t="n"/>
      <c r="C12" s="56" t="n"/>
      <c r="D12" s="57" t="n"/>
      <c r="E12" s="57" t="n"/>
      <c r="F12" s="57" t="n"/>
      <c r="G12" s="57" t="n"/>
      <c r="H12" s="56" t="n"/>
      <c r="I12" s="57" t="n"/>
      <c r="J12" s="57" t="n"/>
      <c r="K12" s="56" t="n"/>
      <c r="L12" s="56" t="n"/>
      <c r="M12" s="56" t="n"/>
      <c r="N12" s="57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  <c r="Z12" s="56" t="n"/>
      <c r="AA12" s="56" t="n"/>
      <c r="AB12" s="56" t="n"/>
      <c r="AC12" s="56" t="n"/>
      <c r="AD12" s="56" t="n"/>
      <c r="AE12" s="56" t="n"/>
      <c r="AF12" s="56" t="n"/>
      <c r="AG12" s="56" t="n"/>
      <c r="AH12" s="56" t="n"/>
      <c r="AI12" s="56" t="n"/>
      <c r="AJ12" s="58">
        <f>IF(AD12="","",AE12+AF12+AG12+AH12)</f>
        <v/>
      </c>
      <c r="AK12" s="59">
        <f>IF(OR(AD12="",AD12=0),"",AJ12/AD12)</f>
        <v/>
      </c>
      <c r="AL12" s="59">
        <f>IF(OR(AD12="",AD12=0),"",AF12/AD12)</f>
        <v/>
      </c>
      <c r="AM12" s="60">
        <f>IF(OR(AO12="",AJ12="",AJ12=0),"",AO12/AJ12)</f>
        <v/>
      </c>
      <c r="AN12" s="60">
        <f>IF(OR(AO12="",AD12="",AD12=0),"",AO12/AD12*1000)</f>
        <v/>
      </c>
      <c r="AO12" s="61" t="n"/>
    </row>
    <row r="13">
      <c r="A13" s="55" t="n">
        <v>11</v>
      </c>
      <c r="B13" s="56" t="n"/>
      <c r="C13" s="56" t="n"/>
      <c r="D13" s="57" t="n"/>
      <c r="E13" s="57" t="n"/>
      <c r="F13" s="57" t="n"/>
      <c r="G13" s="57" t="n"/>
      <c r="H13" s="56" t="n"/>
      <c r="I13" s="57" t="n"/>
      <c r="J13" s="57" t="n"/>
      <c r="K13" s="56" t="n"/>
      <c r="L13" s="56" t="n"/>
      <c r="M13" s="56" t="n"/>
      <c r="N13" s="57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  <c r="AC13" s="56" t="n"/>
      <c r="AD13" s="56" t="n"/>
      <c r="AE13" s="56" t="n"/>
      <c r="AF13" s="56" t="n"/>
      <c r="AG13" s="56" t="n"/>
      <c r="AH13" s="56" t="n"/>
      <c r="AI13" s="56" t="n"/>
      <c r="AJ13" s="58">
        <f>IF(AD13="","",AE13+AF13+AG13+AH13)</f>
        <v/>
      </c>
      <c r="AK13" s="59">
        <f>IF(OR(AD13="",AD13=0),"",AJ13/AD13)</f>
        <v/>
      </c>
      <c r="AL13" s="59">
        <f>IF(OR(AD13="",AD13=0),"",AF13/AD13)</f>
        <v/>
      </c>
      <c r="AM13" s="60">
        <f>IF(OR(AO13="",AJ13="",AJ13=0),"",AO13/AJ13)</f>
        <v/>
      </c>
      <c r="AN13" s="60">
        <f>IF(OR(AO13="",AD13="",AD13=0),"",AO13/AD13*1000)</f>
        <v/>
      </c>
      <c r="AO13" s="61" t="n"/>
    </row>
    <row r="14">
      <c r="A14" s="55" t="n">
        <v>12</v>
      </c>
      <c r="B14" s="56" t="n"/>
      <c r="C14" s="56" t="n"/>
      <c r="D14" s="57" t="n"/>
      <c r="E14" s="57" t="n"/>
      <c r="F14" s="57" t="n"/>
      <c r="G14" s="57" t="n"/>
      <c r="H14" s="56" t="n"/>
      <c r="I14" s="57" t="n"/>
      <c r="J14" s="57" t="n"/>
      <c r="K14" s="56" t="n"/>
      <c r="L14" s="56" t="n"/>
      <c r="M14" s="56" t="n"/>
      <c r="N14" s="57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  <c r="Z14" s="56" t="n"/>
      <c r="AA14" s="56" t="n"/>
      <c r="AB14" s="56" t="n"/>
      <c r="AC14" s="56" t="n"/>
      <c r="AD14" s="56" t="n"/>
      <c r="AE14" s="56" t="n"/>
      <c r="AF14" s="56" t="n"/>
      <c r="AG14" s="56" t="n"/>
      <c r="AH14" s="56" t="n"/>
      <c r="AI14" s="56" t="n"/>
      <c r="AJ14" s="58">
        <f>IF(AD14="","",AE14+AF14+AG14+AH14)</f>
        <v/>
      </c>
      <c r="AK14" s="59">
        <f>IF(OR(AD14="",AD14=0),"",AJ14/AD14)</f>
        <v/>
      </c>
      <c r="AL14" s="59">
        <f>IF(OR(AD14="",AD14=0),"",AF14/AD14)</f>
        <v/>
      </c>
      <c r="AM14" s="60">
        <f>IF(OR(AO14="",AJ14="",AJ14=0),"",AO14/AJ14)</f>
        <v/>
      </c>
      <c r="AN14" s="60">
        <f>IF(OR(AO14="",AD14="",AD14=0),"",AO14/AD14*1000)</f>
        <v/>
      </c>
      <c r="AO14" s="61" t="n"/>
    </row>
    <row r="15">
      <c r="A15" s="55" t="n">
        <v>13</v>
      </c>
      <c r="B15" s="56" t="n"/>
      <c r="C15" s="56" t="n"/>
      <c r="D15" s="57" t="n"/>
      <c r="E15" s="57" t="n"/>
      <c r="F15" s="57" t="n"/>
      <c r="G15" s="57" t="n"/>
      <c r="H15" s="56" t="n"/>
      <c r="I15" s="57" t="n"/>
      <c r="J15" s="57" t="n"/>
      <c r="K15" s="56" t="n"/>
      <c r="L15" s="56" t="n"/>
      <c r="M15" s="56" t="n"/>
      <c r="N15" s="57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  <c r="AC15" s="56" t="n"/>
      <c r="AD15" s="56" t="n"/>
      <c r="AE15" s="56" t="n"/>
      <c r="AF15" s="56" t="n"/>
      <c r="AG15" s="56" t="n"/>
      <c r="AH15" s="56" t="n"/>
      <c r="AI15" s="56" t="n"/>
      <c r="AJ15" s="58">
        <f>IF(AD15="","",AE15+AF15+AG15+AH15)</f>
        <v/>
      </c>
      <c r="AK15" s="59">
        <f>IF(OR(AD15="",AD15=0),"",AJ15/AD15)</f>
        <v/>
      </c>
      <c r="AL15" s="59">
        <f>IF(OR(AD15="",AD15=0),"",AF15/AD15)</f>
        <v/>
      </c>
      <c r="AM15" s="60">
        <f>IF(OR(AO15="",AJ15="",AJ15=0),"",AO15/AJ15)</f>
        <v/>
      </c>
      <c r="AN15" s="60">
        <f>IF(OR(AO15="",AD15="",AD15=0),"",AO15/AD15*1000)</f>
        <v/>
      </c>
      <c r="AO15" s="61" t="n"/>
    </row>
    <row r="16">
      <c r="A16" s="55" t="n">
        <v>14</v>
      </c>
      <c r="B16" s="56" t="n"/>
      <c r="C16" s="56" t="n"/>
      <c r="D16" s="57" t="n"/>
      <c r="E16" s="57" t="n"/>
      <c r="F16" s="57" t="n"/>
      <c r="G16" s="57" t="n"/>
      <c r="H16" s="56" t="n"/>
      <c r="I16" s="57" t="n"/>
      <c r="J16" s="57" t="n"/>
      <c r="K16" s="56" t="n"/>
      <c r="L16" s="56" t="n"/>
      <c r="M16" s="56" t="n"/>
      <c r="N16" s="57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6" t="n"/>
      <c r="X16" s="56" t="n"/>
      <c r="Y16" s="56" t="n"/>
      <c r="Z16" s="56" t="n"/>
      <c r="AA16" s="56" t="n"/>
      <c r="AB16" s="56" t="n"/>
      <c r="AC16" s="56" t="n"/>
      <c r="AD16" s="56" t="n"/>
      <c r="AE16" s="56" t="n"/>
      <c r="AF16" s="56" t="n"/>
      <c r="AG16" s="56" t="n"/>
      <c r="AH16" s="56" t="n"/>
      <c r="AI16" s="56" t="n"/>
      <c r="AJ16" s="58">
        <f>IF(AD16="","",AE16+AF16+AG16+AH16)</f>
        <v/>
      </c>
      <c r="AK16" s="59">
        <f>IF(OR(AD16="",AD16=0),"",AJ16/AD16)</f>
        <v/>
      </c>
      <c r="AL16" s="59">
        <f>IF(OR(AD16="",AD16=0),"",AF16/AD16)</f>
        <v/>
      </c>
      <c r="AM16" s="60">
        <f>IF(OR(AO16="",AJ16="",AJ16=0),"",AO16/AJ16)</f>
        <v/>
      </c>
      <c r="AN16" s="60">
        <f>IF(OR(AO16="",AD16="",AD16=0),"",AO16/AD16*1000)</f>
        <v/>
      </c>
      <c r="AO16" s="61" t="n"/>
    </row>
    <row r="17">
      <c r="A17" s="55" t="n">
        <v>15</v>
      </c>
      <c r="B17" s="56" t="n"/>
      <c r="C17" s="56" t="n"/>
      <c r="D17" s="57" t="n"/>
      <c r="E17" s="57" t="n"/>
      <c r="F17" s="57" t="n"/>
      <c r="G17" s="57" t="n"/>
      <c r="H17" s="56" t="n"/>
      <c r="I17" s="57" t="n"/>
      <c r="J17" s="57" t="n"/>
      <c r="K17" s="56" t="n"/>
      <c r="L17" s="56" t="n"/>
      <c r="M17" s="56" t="n"/>
      <c r="N17" s="57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  <c r="AC17" s="56" t="n"/>
      <c r="AD17" s="56" t="n"/>
      <c r="AE17" s="56" t="n"/>
      <c r="AF17" s="56" t="n"/>
      <c r="AG17" s="56" t="n"/>
      <c r="AH17" s="56" t="n"/>
      <c r="AI17" s="56" t="n"/>
      <c r="AJ17" s="58">
        <f>IF(AD17="","",AE17+AF17+AG17+AH17)</f>
        <v/>
      </c>
      <c r="AK17" s="59">
        <f>IF(OR(AD17="",AD17=0),"",AJ17/AD17)</f>
        <v/>
      </c>
      <c r="AL17" s="59">
        <f>IF(OR(AD17="",AD17=0),"",AF17/AD17)</f>
        <v/>
      </c>
      <c r="AM17" s="60">
        <f>IF(OR(AO17="",AJ17="",AJ17=0),"",AO17/AJ17)</f>
        <v/>
      </c>
      <c r="AN17" s="60">
        <f>IF(OR(AO17="",AD17="",AD17=0),"",AO17/AD17*1000)</f>
        <v/>
      </c>
      <c r="AO17" s="61" t="n"/>
    </row>
    <row r="18">
      <c r="A18" s="55" t="n">
        <v>16</v>
      </c>
      <c r="B18" s="56" t="n"/>
      <c r="C18" s="56" t="n"/>
      <c r="D18" s="57" t="n"/>
      <c r="E18" s="57" t="n"/>
      <c r="F18" s="57" t="n"/>
      <c r="G18" s="57" t="n"/>
      <c r="H18" s="56" t="n"/>
      <c r="I18" s="57" t="n"/>
      <c r="J18" s="57" t="n"/>
      <c r="K18" s="56" t="n"/>
      <c r="L18" s="56" t="n"/>
      <c r="M18" s="56" t="n"/>
      <c r="N18" s="57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6" t="n"/>
      <c r="X18" s="56" t="n"/>
      <c r="Y18" s="56" t="n"/>
      <c r="Z18" s="56" t="n"/>
      <c r="AA18" s="56" t="n"/>
      <c r="AB18" s="56" t="n"/>
      <c r="AC18" s="56" t="n"/>
      <c r="AD18" s="56" t="n"/>
      <c r="AE18" s="56" t="n"/>
      <c r="AF18" s="56" t="n"/>
      <c r="AG18" s="56" t="n"/>
      <c r="AH18" s="56" t="n"/>
      <c r="AI18" s="56" t="n"/>
      <c r="AJ18" s="58">
        <f>IF(AD18="","",AE18+AF18+AG18+AH18)</f>
        <v/>
      </c>
      <c r="AK18" s="59">
        <f>IF(OR(AD18="",AD18=0),"",AJ18/AD18)</f>
        <v/>
      </c>
      <c r="AL18" s="59">
        <f>IF(OR(AD18="",AD18=0),"",AF18/AD18)</f>
        <v/>
      </c>
      <c r="AM18" s="60">
        <f>IF(OR(AO18="",AJ18="",AJ18=0),"",AO18/AJ18)</f>
        <v/>
      </c>
      <c r="AN18" s="60">
        <f>IF(OR(AO18="",AD18="",AD18=0),"",AO18/AD18*1000)</f>
        <v/>
      </c>
      <c r="AO18" s="61" t="n"/>
    </row>
    <row r="19">
      <c r="A19" s="55" t="n">
        <v>17</v>
      </c>
      <c r="B19" s="56" t="n"/>
      <c r="C19" s="56" t="n"/>
      <c r="D19" s="57" t="n"/>
      <c r="E19" s="57" t="n"/>
      <c r="F19" s="57" t="n"/>
      <c r="G19" s="57" t="n"/>
      <c r="H19" s="56" t="n"/>
      <c r="I19" s="57" t="n"/>
      <c r="J19" s="57" t="n"/>
      <c r="K19" s="56" t="n"/>
      <c r="L19" s="56" t="n"/>
      <c r="M19" s="56" t="n"/>
      <c r="N19" s="57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  <c r="AC19" s="56" t="n"/>
      <c r="AD19" s="56" t="n"/>
      <c r="AE19" s="56" t="n"/>
      <c r="AF19" s="56" t="n"/>
      <c r="AG19" s="56" t="n"/>
      <c r="AH19" s="56" t="n"/>
      <c r="AI19" s="56" t="n"/>
      <c r="AJ19" s="58">
        <f>IF(AD19="","",AE19+AF19+AG19+AH19)</f>
        <v/>
      </c>
      <c r="AK19" s="59">
        <f>IF(OR(AD19="",AD19=0),"",AJ19/AD19)</f>
        <v/>
      </c>
      <c r="AL19" s="59">
        <f>IF(OR(AD19="",AD19=0),"",AF19/AD19)</f>
        <v/>
      </c>
      <c r="AM19" s="60">
        <f>IF(OR(AO19="",AJ19="",AJ19=0),"",AO19/AJ19)</f>
        <v/>
      </c>
      <c r="AN19" s="60">
        <f>IF(OR(AO19="",AD19="",AD19=0),"",AO19/AD19*1000)</f>
        <v/>
      </c>
      <c r="AO19" s="61" t="n"/>
    </row>
    <row r="20">
      <c r="A20" s="55" t="n">
        <v>18</v>
      </c>
      <c r="B20" s="56" t="n"/>
      <c r="C20" s="56" t="n"/>
      <c r="D20" s="57" t="n"/>
      <c r="E20" s="57" t="n"/>
      <c r="F20" s="57" t="n"/>
      <c r="G20" s="57" t="n"/>
      <c r="H20" s="56" t="n"/>
      <c r="I20" s="57" t="n"/>
      <c r="J20" s="57" t="n"/>
      <c r="K20" s="56" t="n"/>
      <c r="L20" s="56" t="n"/>
      <c r="M20" s="56" t="n"/>
      <c r="N20" s="57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8">
        <f>IF(AD20="","",AE20+AF20+AG20+AH20)</f>
        <v/>
      </c>
      <c r="AK20" s="59">
        <f>IF(OR(AD20="",AD20=0),"",AJ20/AD20)</f>
        <v/>
      </c>
      <c r="AL20" s="59">
        <f>IF(OR(AD20="",AD20=0),"",AF20/AD20)</f>
        <v/>
      </c>
      <c r="AM20" s="60">
        <f>IF(OR(AO20="",AJ20="",AJ20=0),"",AO20/AJ20)</f>
        <v/>
      </c>
      <c r="AN20" s="60">
        <f>IF(OR(AO20="",AD20="",AD20=0),"",AO20/AD20*1000)</f>
        <v/>
      </c>
      <c r="AO20" s="61" t="n"/>
    </row>
    <row r="21">
      <c r="A21" s="55" t="n">
        <v>19</v>
      </c>
      <c r="B21" s="56" t="n"/>
      <c r="C21" s="56" t="n"/>
      <c r="D21" s="57" t="n"/>
      <c r="E21" s="57" t="n"/>
      <c r="F21" s="57" t="n"/>
      <c r="G21" s="57" t="n"/>
      <c r="H21" s="56" t="n"/>
      <c r="I21" s="57" t="n"/>
      <c r="J21" s="57" t="n"/>
      <c r="K21" s="56" t="n"/>
      <c r="L21" s="56" t="n"/>
      <c r="M21" s="56" t="n"/>
      <c r="N21" s="57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  <c r="AC21" s="56" t="n"/>
      <c r="AD21" s="56" t="n"/>
      <c r="AE21" s="56" t="n"/>
      <c r="AF21" s="56" t="n"/>
      <c r="AG21" s="56" t="n"/>
      <c r="AH21" s="56" t="n"/>
      <c r="AI21" s="56" t="n"/>
      <c r="AJ21" s="58">
        <f>IF(AD21="","",AE21+AF21+AG21+AH21)</f>
        <v/>
      </c>
      <c r="AK21" s="59">
        <f>IF(OR(AD21="",AD21=0),"",AJ21/AD21)</f>
        <v/>
      </c>
      <c r="AL21" s="59">
        <f>IF(OR(AD21="",AD21=0),"",AF21/AD21)</f>
        <v/>
      </c>
      <c r="AM21" s="60">
        <f>IF(OR(AO21="",AJ21="",AJ21=0),"",AO21/AJ21)</f>
        <v/>
      </c>
      <c r="AN21" s="60">
        <f>IF(OR(AO21="",AD21="",AD21=0),"",AO21/AD21*1000)</f>
        <v/>
      </c>
      <c r="AO21" s="61" t="n"/>
    </row>
    <row r="22">
      <c r="A22" s="55" t="n">
        <v>20</v>
      </c>
      <c r="B22" s="56" t="n"/>
      <c r="C22" s="56" t="n"/>
      <c r="D22" s="57" t="n"/>
      <c r="E22" s="57" t="n"/>
      <c r="F22" s="57" t="n"/>
      <c r="G22" s="57" t="n"/>
      <c r="H22" s="56" t="n"/>
      <c r="I22" s="57" t="n"/>
      <c r="J22" s="57" t="n"/>
      <c r="K22" s="56" t="n"/>
      <c r="L22" s="56" t="n"/>
      <c r="M22" s="56" t="n"/>
      <c r="N22" s="57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>
        <f>IF(AD22="","",AE22+AF22+AG22+AH22)</f>
        <v/>
      </c>
      <c r="AK22" s="59">
        <f>IF(OR(AD22="",AD22=0),"",AJ22/AD22)</f>
        <v/>
      </c>
      <c r="AL22" s="59">
        <f>IF(OR(AD22="",AD22=0),"",AF22/AD22)</f>
        <v/>
      </c>
      <c r="AM22" s="60">
        <f>IF(OR(AO22="",AJ22="",AJ22=0),"",AO22/AJ22)</f>
        <v/>
      </c>
      <c r="AN22" s="60">
        <f>IF(OR(AO22="",AD22="",AD22=0),"",AO22/AD22*1000)</f>
        <v/>
      </c>
      <c r="AO22" s="61" t="n"/>
    </row>
    <row r="23">
      <c r="A23" s="55" t="n">
        <v>21</v>
      </c>
      <c r="B23" s="56" t="n"/>
      <c r="C23" s="56" t="n"/>
      <c r="D23" s="57" t="n"/>
      <c r="E23" s="57" t="n"/>
      <c r="F23" s="57" t="n"/>
      <c r="G23" s="57" t="n"/>
      <c r="H23" s="56" t="n"/>
      <c r="I23" s="57" t="n"/>
      <c r="J23" s="57" t="n"/>
      <c r="K23" s="56" t="n"/>
      <c r="L23" s="56" t="n"/>
      <c r="M23" s="56" t="n"/>
      <c r="N23" s="57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  <c r="AC23" s="56" t="n"/>
      <c r="AD23" s="56" t="n"/>
      <c r="AE23" s="56" t="n"/>
      <c r="AF23" s="56" t="n"/>
      <c r="AG23" s="56" t="n"/>
      <c r="AH23" s="56" t="n"/>
      <c r="AI23" s="56" t="n"/>
      <c r="AJ23" s="58">
        <f>IF(AD23="","",AE23+AF23+AG23+AH23)</f>
        <v/>
      </c>
      <c r="AK23" s="59">
        <f>IF(OR(AD23="",AD23=0),"",AJ23/AD23)</f>
        <v/>
      </c>
      <c r="AL23" s="59">
        <f>IF(OR(AD23="",AD23=0),"",AF23/AD23)</f>
        <v/>
      </c>
      <c r="AM23" s="60">
        <f>IF(OR(AO23="",AJ23="",AJ23=0),"",AO23/AJ23)</f>
        <v/>
      </c>
      <c r="AN23" s="60">
        <f>IF(OR(AO23="",AD23="",AD23=0),"",AO23/AD23*1000)</f>
        <v/>
      </c>
      <c r="AO23" s="61" t="n"/>
    </row>
    <row r="24">
      <c r="A24" s="55" t="n">
        <v>22</v>
      </c>
      <c r="B24" s="56" t="n"/>
      <c r="C24" s="56" t="n"/>
      <c r="D24" s="57" t="n"/>
      <c r="E24" s="57" t="n"/>
      <c r="F24" s="57" t="n"/>
      <c r="G24" s="57" t="n"/>
      <c r="H24" s="56" t="n"/>
      <c r="I24" s="57" t="n"/>
      <c r="J24" s="57" t="n"/>
      <c r="K24" s="56" t="n"/>
      <c r="L24" s="56" t="n"/>
      <c r="M24" s="56" t="n"/>
      <c r="N24" s="57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  <c r="Z24" s="56" t="n"/>
      <c r="AA24" s="56" t="n"/>
      <c r="AB24" s="56" t="n"/>
      <c r="AC24" s="56" t="n"/>
      <c r="AD24" s="56" t="n"/>
      <c r="AE24" s="56" t="n"/>
      <c r="AF24" s="56" t="n"/>
      <c r="AG24" s="56" t="n"/>
      <c r="AH24" s="56" t="n"/>
      <c r="AI24" s="56" t="n"/>
      <c r="AJ24" s="58">
        <f>IF(AD24="","",AE24+AF24+AG24+AH24)</f>
        <v/>
      </c>
      <c r="AK24" s="59">
        <f>IF(OR(AD24="",AD24=0),"",AJ24/AD24)</f>
        <v/>
      </c>
      <c r="AL24" s="59">
        <f>IF(OR(AD24="",AD24=0),"",AF24/AD24)</f>
        <v/>
      </c>
      <c r="AM24" s="60">
        <f>IF(OR(AO24="",AJ24="",AJ24=0),"",AO24/AJ24)</f>
        <v/>
      </c>
      <c r="AN24" s="60">
        <f>IF(OR(AO24="",AD24="",AD24=0),"",AO24/AD24*1000)</f>
        <v/>
      </c>
      <c r="AO24" s="61" t="n"/>
    </row>
    <row r="25">
      <c r="A25" s="55" t="n">
        <v>23</v>
      </c>
      <c r="B25" s="56" t="n"/>
      <c r="C25" s="56" t="n"/>
      <c r="D25" s="57" t="n"/>
      <c r="E25" s="57" t="n"/>
      <c r="F25" s="57" t="n"/>
      <c r="G25" s="57" t="n"/>
      <c r="H25" s="56" t="n"/>
      <c r="I25" s="57" t="n"/>
      <c r="J25" s="57" t="n"/>
      <c r="K25" s="56" t="n"/>
      <c r="L25" s="56" t="n"/>
      <c r="M25" s="56" t="n"/>
      <c r="N25" s="57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  <c r="AC25" s="56" t="n"/>
      <c r="AD25" s="56" t="n"/>
      <c r="AE25" s="56" t="n"/>
      <c r="AF25" s="56" t="n"/>
      <c r="AG25" s="56" t="n"/>
      <c r="AH25" s="56" t="n"/>
      <c r="AI25" s="56" t="n"/>
      <c r="AJ25" s="58">
        <f>IF(AD25="","",AE25+AF25+AG25+AH25)</f>
        <v/>
      </c>
      <c r="AK25" s="59">
        <f>IF(OR(AD25="",AD25=0),"",AJ25/AD25)</f>
        <v/>
      </c>
      <c r="AL25" s="59">
        <f>IF(OR(AD25="",AD25=0),"",AF25/AD25)</f>
        <v/>
      </c>
      <c r="AM25" s="60">
        <f>IF(OR(AO25="",AJ25="",AJ25=0),"",AO25/AJ25)</f>
        <v/>
      </c>
      <c r="AN25" s="60">
        <f>IF(OR(AO25="",AD25="",AD25=0),"",AO25/AD25*1000)</f>
        <v/>
      </c>
      <c r="AO25" s="61" t="n"/>
    </row>
    <row r="26">
      <c r="A26" s="55" t="n">
        <v>24</v>
      </c>
      <c r="B26" s="56" t="n"/>
      <c r="C26" s="56" t="n"/>
      <c r="D26" s="57" t="n"/>
      <c r="E26" s="57" t="n"/>
      <c r="F26" s="57" t="n"/>
      <c r="G26" s="57" t="n"/>
      <c r="H26" s="56" t="n"/>
      <c r="I26" s="57" t="n"/>
      <c r="J26" s="57" t="n"/>
      <c r="K26" s="56" t="n"/>
      <c r="L26" s="56" t="n"/>
      <c r="M26" s="56" t="n"/>
      <c r="N26" s="57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  <c r="Z26" s="56" t="n"/>
      <c r="AA26" s="56" t="n"/>
      <c r="AB26" s="56" t="n"/>
      <c r="AC26" s="56" t="n"/>
      <c r="AD26" s="56" t="n"/>
      <c r="AE26" s="56" t="n"/>
      <c r="AF26" s="56" t="n"/>
      <c r="AG26" s="56" t="n"/>
      <c r="AH26" s="56" t="n"/>
      <c r="AI26" s="56" t="n"/>
      <c r="AJ26" s="58">
        <f>IF(AD26="","",AE26+AF26+AG26+AH26)</f>
        <v/>
      </c>
      <c r="AK26" s="59">
        <f>IF(OR(AD26="",AD26=0),"",AJ26/AD26)</f>
        <v/>
      </c>
      <c r="AL26" s="59">
        <f>IF(OR(AD26="",AD26=0),"",AF26/AD26)</f>
        <v/>
      </c>
      <c r="AM26" s="60">
        <f>IF(OR(AO26="",AJ26="",AJ26=0),"",AO26/AJ26)</f>
        <v/>
      </c>
      <c r="AN26" s="60">
        <f>IF(OR(AO26="",AD26="",AD26=0),"",AO26/AD26*1000)</f>
        <v/>
      </c>
      <c r="AO26" s="61" t="n"/>
    </row>
    <row r="27">
      <c r="A27" s="55" t="n">
        <v>25</v>
      </c>
      <c r="B27" s="56" t="n"/>
      <c r="C27" s="56" t="n"/>
      <c r="D27" s="57" t="n"/>
      <c r="E27" s="57" t="n"/>
      <c r="F27" s="57" t="n"/>
      <c r="G27" s="57" t="n"/>
      <c r="H27" s="56" t="n"/>
      <c r="I27" s="57" t="n"/>
      <c r="J27" s="57" t="n"/>
      <c r="K27" s="56" t="n"/>
      <c r="L27" s="56" t="n"/>
      <c r="M27" s="56" t="n"/>
      <c r="N27" s="57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  <c r="AC27" s="56" t="n"/>
      <c r="AD27" s="56" t="n"/>
      <c r="AE27" s="56" t="n"/>
      <c r="AF27" s="56" t="n"/>
      <c r="AG27" s="56" t="n"/>
      <c r="AH27" s="56" t="n"/>
      <c r="AI27" s="56" t="n"/>
      <c r="AJ27" s="58">
        <f>IF(AD27="","",AE27+AF27+AG27+AH27)</f>
        <v/>
      </c>
      <c r="AK27" s="59">
        <f>IF(OR(AD27="",AD27=0),"",AJ27/AD27)</f>
        <v/>
      </c>
      <c r="AL27" s="59">
        <f>IF(OR(AD27="",AD27=0),"",AF27/AD27)</f>
        <v/>
      </c>
      <c r="AM27" s="60">
        <f>IF(OR(AO27="",AJ27="",AJ27=0),"",AO27/AJ27)</f>
        <v/>
      </c>
      <c r="AN27" s="60">
        <f>IF(OR(AO27="",AD27="",AD27=0),"",AO27/AD27*1000)</f>
        <v/>
      </c>
      <c r="AO27" s="61" t="n"/>
    </row>
    <row r="28">
      <c r="A28" s="55" t="n">
        <v>26</v>
      </c>
      <c r="B28" s="56" t="n"/>
      <c r="C28" s="56" t="n"/>
      <c r="D28" s="57" t="n"/>
      <c r="E28" s="57" t="n"/>
      <c r="F28" s="57" t="n"/>
      <c r="G28" s="57" t="n"/>
      <c r="H28" s="56" t="n"/>
      <c r="I28" s="57" t="n"/>
      <c r="J28" s="57" t="n"/>
      <c r="K28" s="56" t="n"/>
      <c r="L28" s="56" t="n"/>
      <c r="M28" s="56" t="n"/>
      <c r="N28" s="57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56" t="n"/>
      <c r="AI28" s="56" t="n"/>
      <c r="AJ28" s="58">
        <f>IF(AD28="","",AE28+AF28+AG28+AH28)</f>
        <v/>
      </c>
      <c r="AK28" s="59">
        <f>IF(OR(AD28="",AD28=0),"",AJ28/AD28)</f>
        <v/>
      </c>
      <c r="AL28" s="59">
        <f>IF(OR(AD28="",AD28=0),"",AF28/AD28)</f>
        <v/>
      </c>
      <c r="AM28" s="60">
        <f>IF(OR(AO28="",AJ28="",AJ28=0),"",AO28/AJ28)</f>
        <v/>
      </c>
      <c r="AN28" s="60">
        <f>IF(OR(AO28="",AD28="",AD28=0),"",AO28/AD28*1000)</f>
        <v/>
      </c>
      <c r="AO28" s="61" t="n"/>
    </row>
    <row r="29">
      <c r="A29" s="55" t="n">
        <v>27</v>
      </c>
      <c r="B29" s="56" t="n"/>
      <c r="C29" s="56" t="n"/>
      <c r="D29" s="57" t="n"/>
      <c r="E29" s="57" t="n"/>
      <c r="F29" s="57" t="n"/>
      <c r="G29" s="57" t="n"/>
      <c r="H29" s="56" t="n"/>
      <c r="I29" s="57" t="n"/>
      <c r="J29" s="57" t="n"/>
      <c r="K29" s="56" t="n"/>
      <c r="L29" s="56" t="n"/>
      <c r="M29" s="56" t="n"/>
      <c r="N29" s="57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  <c r="AC29" s="56" t="n"/>
      <c r="AD29" s="56" t="n"/>
      <c r="AE29" s="56" t="n"/>
      <c r="AF29" s="56" t="n"/>
      <c r="AG29" s="56" t="n"/>
      <c r="AH29" s="56" t="n"/>
      <c r="AI29" s="56" t="n"/>
      <c r="AJ29" s="58">
        <f>IF(AD29="","",AE29+AF29+AG29+AH29)</f>
        <v/>
      </c>
      <c r="AK29" s="59">
        <f>IF(OR(AD29="",AD29=0),"",AJ29/AD29)</f>
        <v/>
      </c>
      <c r="AL29" s="59">
        <f>IF(OR(AD29="",AD29=0),"",AF29/AD29)</f>
        <v/>
      </c>
      <c r="AM29" s="60">
        <f>IF(OR(AO29="",AJ29="",AJ29=0),"",AO29/AJ29)</f>
        <v/>
      </c>
      <c r="AN29" s="60">
        <f>IF(OR(AO29="",AD29="",AD29=0),"",AO29/AD29*1000)</f>
        <v/>
      </c>
      <c r="AO29" s="61" t="n"/>
    </row>
    <row r="30">
      <c r="A30" s="55" t="n">
        <v>28</v>
      </c>
      <c r="B30" s="56" t="n"/>
      <c r="C30" s="56" t="n"/>
      <c r="D30" s="57" t="n"/>
      <c r="E30" s="57" t="n"/>
      <c r="F30" s="57" t="n"/>
      <c r="G30" s="57" t="n"/>
      <c r="H30" s="56" t="n"/>
      <c r="I30" s="57" t="n"/>
      <c r="J30" s="57" t="n"/>
      <c r="K30" s="56" t="n"/>
      <c r="L30" s="56" t="n"/>
      <c r="M30" s="56" t="n"/>
      <c r="N30" s="57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  <c r="Z30" s="56" t="n"/>
      <c r="AA30" s="56" t="n"/>
      <c r="AB30" s="56" t="n"/>
      <c r="AC30" s="56" t="n"/>
      <c r="AD30" s="56" t="n"/>
      <c r="AE30" s="56" t="n"/>
      <c r="AF30" s="56" t="n"/>
      <c r="AG30" s="56" t="n"/>
      <c r="AH30" s="56" t="n"/>
      <c r="AI30" s="56" t="n"/>
      <c r="AJ30" s="58">
        <f>IF(AD30="","",AE30+AF30+AG30+AH30)</f>
        <v/>
      </c>
      <c r="AK30" s="59">
        <f>IF(OR(AD30="",AD30=0),"",AJ30/AD30)</f>
        <v/>
      </c>
      <c r="AL30" s="59">
        <f>IF(OR(AD30="",AD30=0),"",AF30/AD30)</f>
        <v/>
      </c>
      <c r="AM30" s="60">
        <f>IF(OR(AO30="",AJ30="",AJ30=0),"",AO30/AJ30)</f>
        <v/>
      </c>
      <c r="AN30" s="60">
        <f>IF(OR(AO30="",AD30="",AD30=0),"",AO30/AD30*1000)</f>
        <v/>
      </c>
      <c r="AO30" s="61" t="n"/>
    </row>
    <row r="31">
      <c r="A31" s="55" t="n">
        <v>29</v>
      </c>
      <c r="B31" s="56" t="n"/>
      <c r="C31" s="56" t="n"/>
      <c r="D31" s="57" t="n"/>
      <c r="E31" s="57" t="n"/>
      <c r="F31" s="57" t="n"/>
      <c r="G31" s="57" t="n"/>
      <c r="H31" s="56" t="n"/>
      <c r="I31" s="57" t="n"/>
      <c r="J31" s="57" t="n"/>
      <c r="K31" s="56" t="n"/>
      <c r="L31" s="56" t="n"/>
      <c r="M31" s="56" t="n"/>
      <c r="N31" s="57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  <c r="AC31" s="56" t="n"/>
      <c r="AD31" s="56" t="n"/>
      <c r="AE31" s="56" t="n"/>
      <c r="AF31" s="56" t="n"/>
      <c r="AG31" s="56" t="n"/>
      <c r="AH31" s="56" t="n"/>
      <c r="AI31" s="56" t="n"/>
      <c r="AJ31" s="58">
        <f>IF(AD31="","",AE31+AF31+AG31+AH31)</f>
        <v/>
      </c>
      <c r="AK31" s="59">
        <f>IF(OR(AD31="",AD31=0),"",AJ31/AD31)</f>
        <v/>
      </c>
      <c r="AL31" s="59">
        <f>IF(OR(AD31="",AD31=0),"",AF31/AD31)</f>
        <v/>
      </c>
      <c r="AM31" s="60">
        <f>IF(OR(AO31="",AJ31="",AJ31=0),"",AO31/AJ31)</f>
        <v/>
      </c>
      <c r="AN31" s="60">
        <f>IF(OR(AO31="",AD31="",AD31=0),"",AO31/AD31*1000)</f>
        <v/>
      </c>
      <c r="AO31" s="61" t="n"/>
    </row>
    <row r="32">
      <c r="A32" s="55" t="n">
        <v>30</v>
      </c>
      <c r="B32" s="56" t="n"/>
      <c r="C32" s="56" t="n"/>
      <c r="D32" s="57" t="n"/>
      <c r="E32" s="57" t="n"/>
      <c r="F32" s="57" t="n"/>
      <c r="G32" s="57" t="n"/>
      <c r="H32" s="56" t="n"/>
      <c r="I32" s="57" t="n"/>
      <c r="J32" s="57" t="n"/>
      <c r="K32" s="56" t="n"/>
      <c r="L32" s="56" t="n"/>
      <c r="M32" s="56" t="n"/>
      <c r="N32" s="57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  <c r="AA32" s="56" t="n"/>
      <c r="AB32" s="56" t="n"/>
      <c r="AC32" s="56" t="n"/>
      <c r="AD32" s="56" t="n"/>
      <c r="AE32" s="56" t="n"/>
      <c r="AF32" s="56" t="n"/>
      <c r="AG32" s="56" t="n"/>
      <c r="AH32" s="56" t="n"/>
      <c r="AI32" s="56" t="n"/>
      <c r="AJ32" s="58">
        <f>IF(AD32="","",AE32+AF32+AG32+AH32)</f>
        <v/>
      </c>
      <c r="AK32" s="59">
        <f>IF(OR(AD32="",AD32=0),"",AJ32/AD32)</f>
        <v/>
      </c>
      <c r="AL32" s="59">
        <f>IF(OR(AD32="",AD32=0),"",AF32/AD32)</f>
        <v/>
      </c>
      <c r="AM32" s="60">
        <f>IF(OR(AO32="",AJ32="",AJ32=0),"",AO32/AJ32)</f>
        <v/>
      </c>
      <c r="AN32" s="60">
        <f>IF(OR(AO32="",AD32="",AD32=0),"",AO32/AD32*1000)</f>
        <v/>
      </c>
      <c r="AO32" s="61" t="n"/>
    </row>
    <row r="33">
      <c r="A33" s="55" t="n">
        <v>31</v>
      </c>
      <c r="B33" s="56" t="n"/>
      <c r="C33" s="56" t="n"/>
      <c r="D33" s="57" t="n"/>
      <c r="E33" s="57" t="n"/>
      <c r="F33" s="57" t="n"/>
      <c r="G33" s="57" t="n"/>
      <c r="H33" s="56" t="n"/>
      <c r="I33" s="57" t="n"/>
      <c r="J33" s="57" t="n"/>
      <c r="K33" s="56" t="n"/>
      <c r="L33" s="56" t="n"/>
      <c r="M33" s="56" t="n"/>
      <c r="N33" s="57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  <c r="AC33" s="56" t="n"/>
      <c r="AD33" s="56" t="n"/>
      <c r="AE33" s="56" t="n"/>
      <c r="AF33" s="56" t="n"/>
      <c r="AG33" s="56" t="n"/>
      <c r="AH33" s="56" t="n"/>
      <c r="AI33" s="56" t="n"/>
      <c r="AJ33" s="58">
        <f>IF(AD33="","",AE33+AF33+AG33+AH33)</f>
        <v/>
      </c>
      <c r="AK33" s="59">
        <f>IF(OR(AD33="",AD33=0),"",AJ33/AD33)</f>
        <v/>
      </c>
      <c r="AL33" s="59">
        <f>IF(OR(AD33="",AD33=0),"",AF33/AD33)</f>
        <v/>
      </c>
      <c r="AM33" s="60">
        <f>IF(OR(AO33="",AJ33="",AJ33=0),"",AO33/AJ33)</f>
        <v/>
      </c>
      <c r="AN33" s="60">
        <f>IF(OR(AO33="",AD33="",AD33=0),"",AO33/AD33*1000)</f>
        <v/>
      </c>
      <c r="AO33" s="61" t="n"/>
    </row>
    <row r="34">
      <c r="A34" s="55" t="n">
        <v>32</v>
      </c>
      <c r="B34" s="56" t="n"/>
      <c r="C34" s="56" t="n"/>
      <c r="D34" s="57" t="n"/>
      <c r="E34" s="57" t="n"/>
      <c r="F34" s="57" t="n"/>
      <c r="G34" s="57" t="n"/>
      <c r="H34" s="56" t="n"/>
      <c r="I34" s="57" t="n"/>
      <c r="J34" s="57" t="n"/>
      <c r="K34" s="56" t="n"/>
      <c r="L34" s="56" t="n"/>
      <c r="M34" s="56" t="n"/>
      <c r="N34" s="57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  <c r="Z34" s="56" t="n"/>
      <c r="AA34" s="56" t="n"/>
      <c r="AB34" s="56" t="n"/>
      <c r="AC34" s="56" t="n"/>
      <c r="AD34" s="56" t="n"/>
      <c r="AE34" s="56" t="n"/>
      <c r="AF34" s="56" t="n"/>
      <c r="AG34" s="56" t="n"/>
      <c r="AH34" s="56" t="n"/>
      <c r="AI34" s="56" t="n"/>
      <c r="AJ34" s="58">
        <f>IF(AD34="","",AE34+AF34+AG34+AH34)</f>
        <v/>
      </c>
      <c r="AK34" s="59">
        <f>IF(OR(AD34="",AD34=0),"",AJ34/AD34)</f>
        <v/>
      </c>
      <c r="AL34" s="59">
        <f>IF(OR(AD34="",AD34=0),"",AF34/AD34)</f>
        <v/>
      </c>
      <c r="AM34" s="60">
        <f>IF(OR(AO34="",AJ34="",AJ34=0),"",AO34/AJ34)</f>
        <v/>
      </c>
      <c r="AN34" s="60">
        <f>IF(OR(AO34="",AD34="",AD34=0),"",AO34/AD34*1000)</f>
        <v/>
      </c>
      <c r="AO34" s="61" t="n"/>
    </row>
    <row r="35">
      <c r="A35" s="55" t="n">
        <v>33</v>
      </c>
      <c r="B35" s="56" t="n"/>
      <c r="C35" s="56" t="n"/>
      <c r="D35" s="57" t="n"/>
      <c r="E35" s="57" t="n"/>
      <c r="F35" s="57" t="n"/>
      <c r="G35" s="57" t="n"/>
      <c r="H35" s="56" t="n"/>
      <c r="I35" s="57" t="n"/>
      <c r="J35" s="57" t="n"/>
      <c r="K35" s="56" t="n"/>
      <c r="L35" s="56" t="n"/>
      <c r="M35" s="56" t="n"/>
      <c r="N35" s="57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8">
        <f>IF(AD35="","",AE35+AF35+AG35+AH35)</f>
        <v/>
      </c>
      <c r="AK35" s="59">
        <f>IF(OR(AD35="",AD35=0),"",AJ35/AD35)</f>
        <v/>
      </c>
      <c r="AL35" s="59">
        <f>IF(OR(AD35="",AD35=0),"",AF35/AD35)</f>
        <v/>
      </c>
      <c r="AM35" s="60">
        <f>IF(OR(AO35="",AJ35="",AJ35=0),"",AO35/AJ35)</f>
        <v/>
      </c>
      <c r="AN35" s="60">
        <f>IF(OR(AO35="",AD35="",AD35=0),"",AO35/AD35*1000)</f>
        <v/>
      </c>
      <c r="AO35" s="61" t="n"/>
    </row>
    <row r="36">
      <c r="A36" s="55" t="n">
        <v>34</v>
      </c>
      <c r="B36" s="56" t="n"/>
      <c r="C36" s="56" t="n"/>
      <c r="D36" s="57" t="n"/>
      <c r="E36" s="57" t="n"/>
      <c r="F36" s="57" t="n"/>
      <c r="G36" s="57" t="n"/>
      <c r="H36" s="56" t="n"/>
      <c r="I36" s="57" t="n"/>
      <c r="J36" s="57" t="n"/>
      <c r="K36" s="56" t="n"/>
      <c r="L36" s="56" t="n"/>
      <c r="M36" s="56" t="n"/>
      <c r="N36" s="57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  <c r="Z36" s="56" t="n"/>
      <c r="AA36" s="56" t="n"/>
      <c r="AB36" s="56" t="n"/>
      <c r="AC36" s="56" t="n"/>
      <c r="AD36" s="56" t="n"/>
      <c r="AE36" s="56" t="n"/>
      <c r="AF36" s="56" t="n"/>
      <c r="AG36" s="56" t="n"/>
      <c r="AH36" s="56" t="n"/>
      <c r="AI36" s="56" t="n"/>
      <c r="AJ36" s="58">
        <f>IF(AD36="","",AE36+AF36+AG36+AH36)</f>
        <v/>
      </c>
      <c r="AK36" s="59">
        <f>IF(OR(AD36="",AD36=0),"",AJ36/AD36)</f>
        <v/>
      </c>
      <c r="AL36" s="59">
        <f>IF(OR(AD36="",AD36=0),"",AF36/AD36)</f>
        <v/>
      </c>
      <c r="AM36" s="60">
        <f>IF(OR(AO36="",AJ36="",AJ36=0),"",AO36/AJ36)</f>
        <v/>
      </c>
      <c r="AN36" s="60">
        <f>IF(OR(AO36="",AD36="",AD36=0),"",AO36/AD36*1000)</f>
        <v/>
      </c>
      <c r="AO36" s="61" t="n"/>
    </row>
    <row r="37">
      <c r="A37" s="55" t="n">
        <v>35</v>
      </c>
      <c r="B37" s="56" t="n"/>
      <c r="C37" s="56" t="n"/>
      <c r="D37" s="57" t="n"/>
      <c r="E37" s="57" t="n"/>
      <c r="F37" s="57" t="n"/>
      <c r="G37" s="57" t="n"/>
      <c r="H37" s="56" t="n"/>
      <c r="I37" s="57" t="n"/>
      <c r="J37" s="57" t="n"/>
      <c r="K37" s="56" t="n"/>
      <c r="L37" s="56" t="n"/>
      <c r="M37" s="56" t="n"/>
      <c r="N37" s="57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  <c r="AC37" s="56" t="n"/>
      <c r="AD37" s="56" t="n"/>
      <c r="AE37" s="56" t="n"/>
      <c r="AF37" s="56" t="n"/>
      <c r="AG37" s="56" t="n"/>
      <c r="AH37" s="56" t="n"/>
      <c r="AI37" s="56" t="n"/>
      <c r="AJ37" s="58">
        <f>IF(AD37="","",AE37+AF37+AG37+AH37)</f>
        <v/>
      </c>
      <c r="AK37" s="59">
        <f>IF(OR(AD37="",AD37=0),"",AJ37/AD37)</f>
        <v/>
      </c>
      <c r="AL37" s="59">
        <f>IF(OR(AD37="",AD37=0),"",AF37/AD37)</f>
        <v/>
      </c>
      <c r="AM37" s="60">
        <f>IF(OR(AO37="",AJ37="",AJ37=0),"",AO37/AJ37)</f>
        <v/>
      </c>
      <c r="AN37" s="60">
        <f>IF(OR(AO37="",AD37="",AD37=0),"",AO37/AD37*1000)</f>
        <v/>
      </c>
      <c r="AO37" s="61" t="n"/>
    </row>
    <row r="38">
      <c r="A38" s="55" t="n">
        <v>36</v>
      </c>
      <c r="B38" s="56" t="n"/>
      <c r="C38" s="56" t="n"/>
      <c r="D38" s="57" t="n"/>
      <c r="E38" s="57" t="n"/>
      <c r="F38" s="57" t="n"/>
      <c r="G38" s="57" t="n"/>
      <c r="H38" s="56" t="n"/>
      <c r="I38" s="57" t="n"/>
      <c r="J38" s="57" t="n"/>
      <c r="K38" s="56" t="n"/>
      <c r="L38" s="56" t="n"/>
      <c r="M38" s="56" t="n"/>
      <c r="N38" s="57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  <c r="AA38" s="56" t="n"/>
      <c r="AB38" s="56" t="n"/>
      <c r="AC38" s="56" t="n"/>
      <c r="AD38" s="56" t="n"/>
      <c r="AE38" s="56" t="n"/>
      <c r="AF38" s="56" t="n"/>
      <c r="AG38" s="56" t="n"/>
      <c r="AH38" s="56" t="n"/>
      <c r="AI38" s="56" t="n"/>
      <c r="AJ38" s="58">
        <f>IF(AD38="","",AE38+AF38+AG38+AH38)</f>
        <v/>
      </c>
      <c r="AK38" s="59">
        <f>IF(OR(AD38="",AD38=0),"",AJ38/AD38)</f>
        <v/>
      </c>
      <c r="AL38" s="59">
        <f>IF(OR(AD38="",AD38=0),"",AF38/AD38)</f>
        <v/>
      </c>
      <c r="AM38" s="60">
        <f>IF(OR(AO38="",AJ38="",AJ38=0),"",AO38/AJ38)</f>
        <v/>
      </c>
      <c r="AN38" s="60">
        <f>IF(OR(AO38="",AD38="",AD38=0),"",AO38/AD38*1000)</f>
        <v/>
      </c>
      <c r="AO38" s="61" t="n"/>
    </row>
    <row r="39">
      <c r="A39" s="55" t="n">
        <v>37</v>
      </c>
      <c r="B39" s="56" t="n"/>
      <c r="C39" s="56" t="n"/>
      <c r="D39" s="57" t="n"/>
      <c r="E39" s="57" t="n"/>
      <c r="F39" s="57" t="n"/>
      <c r="G39" s="57" t="n"/>
      <c r="H39" s="56" t="n"/>
      <c r="I39" s="57" t="n"/>
      <c r="J39" s="57" t="n"/>
      <c r="K39" s="56" t="n"/>
      <c r="L39" s="56" t="n"/>
      <c r="M39" s="56" t="n"/>
      <c r="N39" s="57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  <c r="AC39" s="56" t="n"/>
      <c r="AD39" s="56" t="n"/>
      <c r="AE39" s="56" t="n"/>
      <c r="AF39" s="56" t="n"/>
      <c r="AG39" s="56" t="n"/>
      <c r="AH39" s="56" t="n"/>
      <c r="AI39" s="56" t="n"/>
      <c r="AJ39" s="58">
        <f>IF(AD39="","",AE39+AF39+AG39+AH39)</f>
        <v/>
      </c>
      <c r="AK39" s="59">
        <f>IF(OR(AD39="",AD39=0),"",AJ39/AD39)</f>
        <v/>
      </c>
      <c r="AL39" s="59">
        <f>IF(OR(AD39="",AD39=0),"",AF39/AD39)</f>
        <v/>
      </c>
      <c r="AM39" s="60">
        <f>IF(OR(AO39="",AJ39="",AJ39=0),"",AO39/AJ39)</f>
        <v/>
      </c>
      <c r="AN39" s="60">
        <f>IF(OR(AO39="",AD39="",AD39=0),"",AO39/AD39*1000)</f>
        <v/>
      </c>
      <c r="AO39" s="61" t="n"/>
    </row>
    <row r="40">
      <c r="A40" s="55" t="n">
        <v>38</v>
      </c>
      <c r="B40" s="56" t="n"/>
      <c r="C40" s="56" t="n"/>
      <c r="D40" s="57" t="n"/>
      <c r="E40" s="57" t="n"/>
      <c r="F40" s="57" t="n"/>
      <c r="G40" s="57" t="n"/>
      <c r="H40" s="56" t="n"/>
      <c r="I40" s="57" t="n"/>
      <c r="J40" s="57" t="n"/>
      <c r="K40" s="56" t="n"/>
      <c r="L40" s="56" t="n"/>
      <c r="M40" s="56" t="n"/>
      <c r="N40" s="57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  <c r="AA40" s="56" t="n"/>
      <c r="AB40" s="56" t="n"/>
      <c r="AC40" s="56" t="n"/>
      <c r="AD40" s="56" t="n"/>
      <c r="AE40" s="56" t="n"/>
      <c r="AF40" s="56" t="n"/>
      <c r="AG40" s="56" t="n"/>
      <c r="AH40" s="56" t="n"/>
      <c r="AI40" s="56" t="n"/>
      <c r="AJ40" s="58">
        <f>IF(AD40="","",AE40+AF40+AG40+AH40)</f>
        <v/>
      </c>
      <c r="AK40" s="59">
        <f>IF(OR(AD40="",AD40=0),"",AJ40/AD40)</f>
        <v/>
      </c>
      <c r="AL40" s="59">
        <f>IF(OR(AD40="",AD40=0),"",AF40/AD40)</f>
        <v/>
      </c>
      <c r="AM40" s="60">
        <f>IF(OR(AO40="",AJ40="",AJ40=0),"",AO40/AJ40)</f>
        <v/>
      </c>
      <c r="AN40" s="60">
        <f>IF(OR(AO40="",AD40="",AD40=0),"",AO40/AD40*1000)</f>
        <v/>
      </c>
      <c r="AO40" s="61" t="n"/>
    </row>
    <row r="41">
      <c r="A41" s="55" t="n">
        <v>39</v>
      </c>
      <c r="B41" s="56" t="n"/>
      <c r="C41" s="56" t="n"/>
      <c r="D41" s="57" t="n"/>
      <c r="E41" s="57" t="n"/>
      <c r="F41" s="57" t="n"/>
      <c r="G41" s="57" t="n"/>
      <c r="H41" s="56" t="n"/>
      <c r="I41" s="57" t="n"/>
      <c r="J41" s="57" t="n"/>
      <c r="K41" s="56" t="n"/>
      <c r="L41" s="56" t="n"/>
      <c r="M41" s="56" t="n"/>
      <c r="N41" s="57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  <c r="AC41" s="56" t="n"/>
      <c r="AD41" s="56" t="n"/>
      <c r="AE41" s="56" t="n"/>
      <c r="AF41" s="56" t="n"/>
      <c r="AG41" s="56" t="n"/>
      <c r="AH41" s="56" t="n"/>
      <c r="AI41" s="56" t="n"/>
      <c r="AJ41" s="58">
        <f>IF(AD41="","",AE41+AF41+AG41+AH41)</f>
        <v/>
      </c>
      <c r="AK41" s="59">
        <f>IF(OR(AD41="",AD41=0),"",AJ41/AD41)</f>
        <v/>
      </c>
      <c r="AL41" s="59">
        <f>IF(OR(AD41="",AD41=0),"",AF41/AD41)</f>
        <v/>
      </c>
      <c r="AM41" s="60">
        <f>IF(OR(AO41="",AJ41="",AJ41=0),"",AO41/AJ41)</f>
        <v/>
      </c>
      <c r="AN41" s="60">
        <f>IF(OR(AO41="",AD41="",AD41=0),"",AO41/AD41*1000)</f>
        <v/>
      </c>
      <c r="AO41" s="61" t="n"/>
    </row>
    <row r="42">
      <c r="A42" s="55" t="n">
        <v>40</v>
      </c>
      <c r="B42" s="56" t="n"/>
      <c r="C42" s="56" t="n"/>
      <c r="D42" s="57" t="n"/>
      <c r="E42" s="57" t="n"/>
      <c r="F42" s="57" t="n"/>
      <c r="G42" s="57" t="n"/>
      <c r="H42" s="56" t="n"/>
      <c r="I42" s="57" t="n"/>
      <c r="J42" s="57" t="n"/>
      <c r="K42" s="56" t="n"/>
      <c r="L42" s="56" t="n"/>
      <c r="M42" s="56" t="n"/>
      <c r="N42" s="57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  <c r="AA42" s="56" t="n"/>
      <c r="AB42" s="56" t="n"/>
      <c r="AC42" s="56" t="n"/>
      <c r="AD42" s="56" t="n"/>
      <c r="AE42" s="56" t="n"/>
      <c r="AF42" s="56" t="n"/>
      <c r="AG42" s="56" t="n"/>
      <c r="AH42" s="56" t="n"/>
      <c r="AI42" s="56" t="n"/>
      <c r="AJ42" s="58">
        <f>IF(AD42="","",AE42+AF42+AG42+AH42)</f>
        <v/>
      </c>
      <c r="AK42" s="59">
        <f>IF(OR(AD42="",AD42=0),"",AJ42/AD42)</f>
        <v/>
      </c>
      <c r="AL42" s="59">
        <f>IF(OR(AD42="",AD42=0),"",AF42/AD42)</f>
        <v/>
      </c>
      <c r="AM42" s="60">
        <f>IF(OR(AO42="",AJ42="",AJ42=0),"",AO42/AJ42)</f>
        <v/>
      </c>
      <c r="AN42" s="60">
        <f>IF(OR(AO42="",AD42="",AD42=0),"",AO42/AD42*1000)</f>
        <v/>
      </c>
      <c r="AO42" s="61" t="n"/>
    </row>
  </sheetData>
  <mergeCells count="6">
    <mergeCell ref="A1:G1"/>
    <mergeCell ref="AJ1:AN1"/>
    <mergeCell ref="AC1:AI1"/>
    <mergeCell ref="O1:U1"/>
    <mergeCell ref="V1:AB1"/>
    <mergeCell ref="H1:N1"/>
  </mergeCells>
  <dataValidations count="4">
    <dataValidation sqref="B3:B42" showDropDown="0" showInputMessage="0" showErrorMessage="0" allowBlank="1" type="list">
      <formula1>选项!$A$2:$A$6</formula1>
    </dataValidation>
    <dataValidation sqref="G3:G42" showDropDown="0" showInputMessage="0" showErrorMessage="0" allowBlank="1" type="list">
      <formula1>选项!$M$2:$M$7</formula1>
    </dataValidation>
    <dataValidation sqref="L3:L42" showDropDown="0" showInputMessage="0" showErrorMessage="0" allowBlank="1" type="list">
      <formula1>选项!$H$2:$H$3</formula1>
    </dataValidation>
    <dataValidation sqref="M3:M42" showDropDown="0" showInputMessage="0" showErrorMessage="0" allowBlank="1" type="list">
      <formula1>选项!$I$2:$I$4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9E6B"/>
    <outlinePr summaryBelow="1" summaryRight="1"/>
    <pageSetUpPr/>
  </sheetPr>
  <dimension ref="A1:AO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3" customWidth="1" min="4" max="4"/>
    <col width="16" customWidth="1" min="5" max="5"/>
    <col width="12" customWidth="1" min="6" max="6"/>
    <col width="14" customWidth="1" min="7" max="7"/>
    <col width="11" customWidth="1" min="8" max="8"/>
    <col width="22" customWidth="1" min="9" max="9"/>
    <col width="16" customWidth="1" min="10" max="10"/>
    <col width="9" customWidth="1" min="11" max="11"/>
    <col width="8" customWidth="1" min="12" max="13"/>
    <col width="14" customWidth="1" min="14" max="14"/>
    <col width="10" customWidth="1" min="15" max="15"/>
    <col width="8" customWidth="1" min="16" max="16"/>
    <col width="7" customWidth="1" min="17" max="20"/>
    <col width="10" customWidth="1" min="21" max="22"/>
    <col width="8" customWidth="1" min="23" max="23"/>
    <col width="7" customWidth="1" min="24" max="27"/>
    <col width="10" customWidth="1" min="28" max="29"/>
    <col width="8" customWidth="1" min="30" max="30"/>
    <col width="7" customWidth="1" min="31" max="34"/>
    <col width="10" customWidth="1" min="35" max="35"/>
    <col width="8" customWidth="1" min="36" max="38"/>
    <col width="9" customWidth="1" min="39" max="39"/>
    <col width="10" customWidth="1" min="40" max="40"/>
    <col width="14.5769230769231" customWidth="1" min="41" max="41"/>
  </cols>
  <sheetData>
    <row r="1" ht="20" customHeight="1">
      <c r="A1" s="40" t="inlineStr">
        <is>
          <t>排期 · 投前确认</t>
        </is>
      </c>
      <c r="B1" s="41" t="n"/>
      <c r="C1" s="41" t="n"/>
      <c r="D1" s="41" t="n"/>
      <c r="E1" s="41" t="n"/>
      <c r="F1" s="41" t="n"/>
      <c r="G1" s="42" t="n"/>
      <c r="H1" s="43" t="inlineStr">
        <is>
          <t>投后 · 基础</t>
        </is>
      </c>
      <c r="I1" s="41" t="n"/>
      <c r="J1" s="41" t="n"/>
      <c r="K1" s="41" t="n"/>
      <c r="L1" s="41" t="n"/>
      <c r="M1" s="41" t="n"/>
      <c r="N1" s="42" t="n"/>
      <c r="O1" s="44" t="inlineStr">
        <is>
          <t>数据追踪 T+3</t>
        </is>
      </c>
      <c r="P1" s="41" t="n"/>
      <c r="Q1" s="41" t="n"/>
      <c r="R1" s="41" t="n"/>
      <c r="S1" s="41" t="n"/>
      <c r="T1" s="41" t="n"/>
      <c r="U1" s="42" t="n"/>
      <c r="V1" s="45" t="inlineStr">
        <is>
          <t>数据追踪 T+7</t>
        </is>
      </c>
      <c r="W1" s="41" t="n"/>
      <c r="X1" s="41" t="n"/>
      <c r="Y1" s="41" t="n"/>
      <c r="Z1" s="41" t="n"/>
      <c r="AA1" s="41" t="n"/>
      <c r="AB1" s="42" t="n"/>
      <c r="AC1" s="46" t="inlineStr">
        <is>
          <t>数据追踪 T+15</t>
        </is>
      </c>
      <c r="AD1" s="41" t="n"/>
      <c r="AE1" s="41" t="n"/>
      <c r="AF1" s="41" t="n"/>
      <c r="AG1" s="41" t="n"/>
      <c r="AH1" s="41" t="n"/>
      <c r="AI1" s="42" t="n"/>
      <c r="AJ1" s="47" t="inlineStr">
        <is>
          <t>效率指标（自动）</t>
        </is>
      </c>
      <c r="AK1" s="41" t="n"/>
      <c r="AL1" s="41" t="n"/>
      <c r="AM1" s="41" t="n"/>
      <c r="AN1" s="42" t="n"/>
      <c r="AO1" s="48" t="inlineStr">
        <is>
          <t>结算 · 转化</t>
        </is>
      </c>
    </row>
    <row r="2" ht="30" customHeight="1">
      <c r="A2" s="49" t="inlineStr">
        <is>
          <t>序号</t>
        </is>
      </c>
      <c r="B2" s="49" t="inlineStr">
        <is>
          <t>状态</t>
        </is>
      </c>
      <c r="C2" s="49" t="inlineStr">
        <is>
          <t>计划发布日</t>
        </is>
      </c>
      <c r="D2" s="49" t="inlineStr">
        <is>
          <t>达人名称</t>
        </is>
      </c>
      <c r="E2" s="49" t="inlineStr">
        <is>
          <t>达人主页链接</t>
        </is>
      </c>
      <c r="F2" s="49" t="inlineStr">
        <is>
          <t>合作社/MCN</t>
        </is>
      </c>
      <c r="G2" s="49" t="inlineStr">
        <is>
          <t>投放产品</t>
        </is>
      </c>
      <c r="H2" s="50" t="inlineStr">
        <is>
          <t>实际发布日</t>
        </is>
      </c>
      <c r="I2" s="50" t="inlineStr">
        <is>
          <t>笔记标题</t>
        </is>
      </c>
      <c r="J2" s="50" t="inlineStr">
        <is>
          <t>笔记链接</t>
        </is>
      </c>
      <c r="K2" s="50" t="inlineStr">
        <is>
          <t>图片数</t>
        </is>
      </c>
      <c r="L2" s="50" t="inlineStr">
        <is>
          <t>品牌词植入</t>
        </is>
      </c>
      <c r="M2" s="50" t="inlineStr">
        <is>
          <t>话题维护</t>
        </is>
      </c>
      <c r="N2" s="50" t="inlineStr">
        <is>
          <t>主话题词</t>
        </is>
      </c>
      <c r="O2" s="51" t="inlineStr">
        <is>
          <t>T+3采集日</t>
        </is>
      </c>
      <c r="P2" s="51" t="inlineStr">
        <is>
          <t>曝光</t>
        </is>
      </c>
      <c r="Q2" s="51" t="inlineStr">
        <is>
          <t>点赞</t>
        </is>
      </c>
      <c r="R2" s="51" t="inlineStr">
        <is>
          <t>收藏</t>
        </is>
      </c>
      <c r="S2" s="51" t="inlineStr">
        <is>
          <t>评论</t>
        </is>
      </c>
      <c r="T2" s="51" t="inlineStr">
        <is>
          <t>分享</t>
        </is>
      </c>
      <c r="U2" s="51" t="inlineStr">
        <is>
          <t>证据截图</t>
        </is>
      </c>
      <c r="V2" s="51" t="inlineStr">
        <is>
          <t>T+7采集日</t>
        </is>
      </c>
      <c r="W2" s="51" t="inlineStr">
        <is>
          <t>曝光</t>
        </is>
      </c>
      <c r="X2" s="51" t="inlineStr">
        <is>
          <t>点赞</t>
        </is>
      </c>
      <c r="Y2" s="51" t="inlineStr">
        <is>
          <t>收藏</t>
        </is>
      </c>
      <c r="Z2" s="51" t="inlineStr">
        <is>
          <t>评论</t>
        </is>
      </c>
      <c r="AA2" s="51" t="inlineStr">
        <is>
          <t>分享</t>
        </is>
      </c>
      <c r="AB2" s="51" t="inlineStr">
        <is>
          <t>证据截图</t>
        </is>
      </c>
      <c r="AC2" s="52" t="inlineStr">
        <is>
          <t>T+15采集日</t>
        </is>
      </c>
      <c r="AD2" s="52" t="inlineStr">
        <is>
          <t>曝光</t>
        </is>
      </c>
      <c r="AE2" s="52" t="inlineStr">
        <is>
          <t>点赞</t>
        </is>
      </c>
      <c r="AF2" s="52" t="inlineStr">
        <is>
          <t>收藏</t>
        </is>
      </c>
      <c r="AG2" s="52" t="inlineStr">
        <is>
          <t>评论</t>
        </is>
      </c>
      <c r="AH2" s="52" t="inlineStr">
        <is>
          <t>分享</t>
        </is>
      </c>
      <c r="AI2" s="52" t="inlineStr">
        <is>
          <t>证据截图</t>
        </is>
      </c>
      <c r="AJ2" s="53" t="inlineStr">
        <is>
          <t>最终互动量</t>
        </is>
      </c>
      <c r="AK2" s="53" t="inlineStr">
        <is>
          <t>互动率</t>
        </is>
      </c>
      <c r="AL2" s="53" t="inlineStr">
        <is>
          <t>收藏率</t>
        </is>
      </c>
      <c r="AM2" s="53" t="inlineStr">
        <is>
          <t>CPE互动成本</t>
        </is>
      </c>
      <c r="AN2" s="53" t="inlineStr">
        <is>
          <t>CPM千次曝光</t>
        </is>
      </c>
      <c r="AO2" s="54" t="inlineStr">
        <is>
          <t>笔记费用(元)</t>
        </is>
      </c>
    </row>
    <row r="3">
      <c r="A3" s="55" t="n">
        <v>1</v>
      </c>
      <c r="B3" s="56" t="n"/>
      <c r="C3" s="56" t="n"/>
      <c r="D3" s="57" t="n"/>
      <c r="E3" s="57" t="n"/>
      <c r="F3" s="57" t="n"/>
      <c r="G3" s="57" t="n"/>
      <c r="H3" s="56" t="n"/>
      <c r="I3" s="57" t="n"/>
      <c r="J3" s="57" t="n"/>
      <c r="K3" s="56" t="n"/>
      <c r="L3" s="56" t="n"/>
      <c r="M3" s="56" t="n"/>
      <c r="N3" s="57" t="n"/>
      <c r="O3" s="56" t="n"/>
      <c r="P3" s="56" t="n"/>
      <c r="Q3" s="56" t="n"/>
      <c r="R3" s="56" t="n"/>
      <c r="S3" s="56" t="n"/>
      <c r="T3" s="56" t="n"/>
      <c r="U3" s="56" t="n"/>
      <c r="V3" s="56" t="n"/>
      <c r="W3" s="56" t="n"/>
      <c r="X3" s="56" t="n"/>
      <c r="Y3" s="56" t="n"/>
      <c r="Z3" s="56" t="n"/>
      <c r="AA3" s="56" t="n"/>
      <c r="AB3" s="56" t="n"/>
      <c r="AC3" s="56" t="n"/>
      <c r="AD3" s="56" t="n"/>
      <c r="AE3" s="56" t="n"/>
      <c r="AF3" s="56" t="n"/>
      <c r="AG3" s="56" t="n"/>
      <c r="AH3" s="56" t="n"/>
      <c r="AI3" s="56" t="n"/>
      <c r="AJ3" s="58">
        <f>IF(AD3="","",AE3+AF3+AG3+AH3)</f>
        <v/>
      </c>
      <c r="AK3" s="59">
        <f>IF(OR(AD3="",AD3=0),"",AJ3/AD3)</f>
        <v/>
      </c>
      <c r="AL3" s="59">
        <f>IF(OR(AD3="",AD3=0),"",AF3/AD3)</f>
        <v/>
      </c>
      <c r="AM3" s="60">
        <f>IF(OR(AO3="",AJ3="",AJ3=0),"",AO3/AJ3)</f>
        <v/>
      </c>
      <c r="AN3" s="60">
        <f>IF(OR(AO3="",AD3="",AD3=0),"",AO3/AD3*1000)</f>
        <v/>
      </c>
      <c r="AO3" s="61" t="n"/>
    </row>
    <row r="4">
      <c r="A4" s="55" t="n">
        <v>2</v>
      </c>
      <c r="B4" s="56" t="n"/>
      <c r="C4" s="56" t="n"/>
      <c r="D4" s="57" t="n"/>
      <c r="E4" s="57" t="n"/>
      <c r="F4" s="57" t="n"/>
      <c r="G4" s="57" t="n"/>
      <c r="H4" s="56" t="n"/>
      <c r="I4" s="57" t="n"/>
      <c r="J4" s="57" t="n"/>
      <c r="K4" s="56" t="n"/>
      <c r="L4" s="56" t="n"/>
      <c r="M4" s="56" t="n"/>
      <c r="N4" s="57" t="n"/>
      <c r="O4" s="56" t="n"/>
      <c r="P4" s="56" t="n"/>
      <c r="Q4" s="56" t="n"/>
      <c r="R4" s="56" t="n"/>
      <c r="S4" s="56" t="n"/>
      <c r="T4" s="56" t="n"/>
      <c r="U4" s="56" t="n"/>
      <c r="V4" s="56" t="n"/>
      <c r="W4" s="56" t="n"/>
      <c r="X4" s="56" t="n"/>
      <c r="Y4" s="56" t="n"/>
      <c r="Z4" s="56" t="n"/>
      <c r="AA4" s="56" t="n"/>
      <c r="AB4" s="56" t="n"/>
      <c r="AC4" s="56" t="n"/>
      <c r="AD4" s="56" t="n"/>
      <c r="AE4" s="56" t="n"/>
      <c r="AF4" s="56" t="n"/>
      <c r="AG4" s="56" t="n"/>
      <c r="AH4" s="56" t="n"/>
      <c r="AI4" s="56" t="n"/>
      <c r="AJ4" s="58">
        <f>IF(AD4="","",AE4+AF4+AG4+AH4)</f>
        <v/>
      </c>
      <c r="AK4" s="59">
        <f>IF(OR(AD4="",AD4=0),"",AJ4/AD4)</f>
        <v/>
      </c>
      <c r="AL4" s="59">
        <f>IF(OR(AD4="",AD4=0),"",AF4/AD4)</f>
        <v/>
      </c>
      <c r="AM4" s="60">
        <f>IF(OR(AO4="",AJ4="",AJ4=0),"",AO4/AJ4)</f>
        <v/>
      </c>
      <c r="AN4" s="60">
        <f>IF(OR(AO4="",AD4="",AD4=0),"",AO4/AD4*1000)</f>
        <v/>
      </c>
      <c r="AO4" s="61" t="n"/>
    </row>
    <row r="5">
      <c r="A5" s="55" t="n">
        <v>3</v>
      </c>
      <c r="B5" s="56" t="n"/>
      <c r="C5" s="56" t="n"/>
      <c r="D5" s="57" t="n"/>
      <c r="E5" s="57" t="n"/>
      <c r="F5" s="57" t="n"/>
      <c r="G5" s="57" t="n"/>
      <c r="H5" s="56" t="n"/>
      <c r="I5" s="57" t="n"/>
      <c r="J5" s="57" t="n"/>
      <c r="K5" s="56" t="n"/>
      <c r="L5" s="56" t="n"/>
      <c r="M5" s="56" t="n"/>
      <c r="N5" s="57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  <c r="Z5" s="56" t="n"/>
      <c r="AA5" s="56" t="n"/>
      <c r="AB5" s="56" t="n"/>
      <c r="AC5" s="56" t="n"/>
      <c r="AD5" s="56" t="n"/>
      <c r="AE5" s="56" t="n"/>
      <c r="AF5" s="56" t="n"/>
      <c r="AG5" s="56" t="n"/>
      <c r="AH5" s="56" t="n"/>
      <c r="AI5" s="56" t="n"/>
      <c r="AJ5" s="58">
        <f>IF(AD5="","",AE5+AF5+AG5+AH5)</f>
        <v/>
      </c>
      <c r="AK5" s="59">
        <f>IF(OR(AD5="",AD5=0),"",AJ5/AD5)</f>
        <v/>
      </c>
      <c r="AL5" s="59">
        <f>IF(OR(AD5="",AD5=0),"",AF5/AD5)</f>
        <v/>
      </c>
      <c r="AM5" s="60">
        <f>IF(OR(AO5="",AJ5="",AJ5=0),"",AO5/AJ5)</f>
        <v/>
      </c>
      <c r="AN5" s="60">
        <f>IF(OR(AO5="",AD5="",AD5=0),"",AO5/AD5*1000)</f>
        <v/>
      </c>
      <c r="AO5" s="61" t="n"/>
    </row>
    <row r="6">
      <c r="A6" s="55" t="n">
        <v>4</v>
      </c>
      <c r="B6" s="56" t="n"/>
      <c r="C6" s="56" t="n"/>
      <c r="D6" s="57" t="n"/>
      <c r="E6" s="57" t="n"/>
      <c r="F6" s="57" t="n"/>
      <c r="G6" s="57" t="n"/>
      <c r="H6" s="56" t="n"/>
      <c r="I6" s="57" t="n"/>
      <c r="J6" s="57" t="n"/>
      <c r="K6" s="56" t="n"/>
      <c r="L6" s="56" t="n"/>
      <c r="M6" s="56" t="n"/>
      <c r="N6" s="57" t="n"/>
      <c r="O6" s="56" t="n"/>
      <c r="P6" s="56" t="n"/>
      <c r="Q6" s="56" t="n"/>
      <c r="R6" s="56" t="n"/>
      <c r="S6" s="56" t="n"/>
      <c r="T6" s="56" t="n"/>
      <c r="U6" s="56" t="n"/>
      <c r="V6" s="56" t="n"/>
      <c r="W6" s="56" t="n"/>
      <c r="X6" s="56" t="n"/>
      <c r="Y6" s="56" t="n"/>
      <c r="Z6" s="56" t="n"/>
      <c r="AA6" s="56" t="n"/>
      <c r="AB6" s="56" t="n"/>
      <c r="AC6" s="56" t="n"/>
      <c r="AD6" s="56" t="n"/>
      <c r="AE6" s="56" t="n"/>
      <c r="AF6" s="56" t="n"/>
      <c r="AG6" s="56" t="n"/>
      <c r="AH6" s="56" t="n"/>
      <c r="AI6" s="56" t="n"/>
      <c r="AJ6" s="58">
        <f>IF(AD6="","",AE6+AF6+AG6+AH6)</f>
        <v/>
      </c>
      <c r="AK6" s="59">
        <f>IF(OR(AD6="",AD6=0),"",AJ6/AD6)</f>
        <v/>
      </c>
      <c r="AL6" s="59">
        <f>IF(OR(AD6="",AD6=0),"",AF6/AD6)</f>
        <v/>
      </c>
      <c r="AM6" s="60">
        <f>IF(OR(AO6="",AJ6="",AJ6=0),"",AO6/AJ6)</f>
        <v/>
      </c>
      <c r="AN6" s="60">
        <f>IF(OR(AO6="",AD6="",AD6=0),"",AO6/AD6*1000)</f>
        <v/>
      </c>
      <c r="AO6" s="61" t="n"/>
    </row>
    <row r="7">
      <c r="A7" s="55" t="n">
        <v>5</v>
      </c>
      <c r="B7" s="56" t="n"/>
      <c r="C7" s="56" t="n"/>
      <c r="D7" s="57" t="n"/>
      <c r="E7" s="57" t="n"/>
      <c r="F7" s="57" t="n"/>
      <c r="G7" s="57" t="n"/>
      <c r="H7" s="56" t="n"/>
      <c r="I7" s="57" t="n"/>
      <c r="J7" s="57" t="n"/>
      <c r="K7" s="56" t="n"/>
      <c r="L7" s="56" t="n"/>
      <c r="M7" s="56" t="n"/>
      <c r="N7" s="57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6" t="n"/>
      <c r="AG7" s="56" t="n"/>
      <c r="AH7" s="56" t="n"/>
      <c r="AI7" s="56" t="n"/>
      <c r="AJ7" s="58">
        <f>IF(AD7="","",AE7+AF7+AG7+AH7)</f>
        <v/>
      </c>
      <c r="AK7" s="59">
        <f>IF(OR(AD7="",AD7=0),"",AJ7/AD7)</f>
        <v/>
      </c>
      <c r="AL7" s="59">
        <f>IF(OR(AD7="",AD7=0),"",AF7/AD7)</f>
        <v/>
      </c>
      <c r="AM7" s="60">
        <f>IF(OR(AO7="",AJ7="",AJ7=0),"",AO7/AJ7)</f>
        <v/>
      </c>
      <c r="AN7" s="60">
        <f>IF(OR(AO7="",AD7="",AD7=0),"",AO7/AD7*1000)</f>
        <v/>
      </c>
      <c r="AO7" s="61" t="n"/>
    </row>
    <row r="8">
      <c r="A8" s="55" t="n">
        <v>6</v>
      </c>
      <c r="B8" s="56" t="n"/>
      <c r="C8" s="56" t="n"/>
      <c r="D8" s="57" t="n"/>
      <c r="E8" s="57" t="n"/>
      <c r="F8" s="57" t="n"/>
      <c r="G8" s="57" t="n"/>
      <c r="H8" s="56" t="n"/>
      <c r="I8" s="57" t="n"/>
      <c r="J8" s="57" t="n"/>
      <c r="K8" s="56" t="n"/>
      <c r="L8" s="56" t="n"/>
      <c r="M8" s="56" t="n"/>
      <c r="N8" s="57" t="n"/>
      <c r="O8" s="56" t="n"/>
      <c r="P8" s="56" t="n"/>
      <c r="Q8" s="56" t="n"/>
      <c r="R8" s="56" t="n"/>
      <c r="S8" s="56" t="n"/>
      <c r="T8" s="56" t="n"/>
      <c r="U8" s="56" t="n"/>
      <c r="V8" s="56" t="n"/>
      <c r="W8" s="56" t="n"/>
      <c r="X8" s="56" t="n"/>
      <c r="Y8" s="56" t="n"/>
      <c r="Z8" s="56" t="n"/>
      <c r="AA8" s="56" t="n"/>
      <c r="AB8" s="56" t="n"/>
      <c r="AC8" s="56" t="n"/>
      <c r="AD8" s="56" t="n"/>
      <c r="AE8" s="56" t="n"/>
      <c r="AF8" s="56" t="n"/>
      <c r="AG8" s="56" t="n"/>
      <c r="AH8" s="56" t="n"/>
      <c r="AI8" s="56" t="n"/>
      <c r="AJ8" s="58">
        <f>IF(AD8="","",AE8+AF8+AG8+AH8)</f>
        <v/>
      </c>
      <c r="AK8" s="59">
        <f>IF(OR(AD8="",AD8=0),"",AJ8/AD8)</f>
        <v/>
      </c>
      <c r="AL8" s="59">
        <f>IF(OR(AD8="",AD8=0),"",AF8/AD8)</f>
        <v/>
      </c>
      <c r="AM8" s="60">
        <f>IF(OR(AO8="",AJ8="",AJ8=0),"",AO8/AJ8)</f>
        <v/>
      </c>
      <c r="AN8" s="60">
        <f>IF(OR(AO8="",AD8="",AD8=0),"",AO8/AD8*1000)</f>
        <v/>
      </c>
      <c r="AO8" s="61" t="n"/>
    </row>
    <row r="9">
      <c r="A9" s="55" t="n">
        <v>7</v>
      </c>
      <c r="B9" s="56" t="n"/>
      <c r="C9" s="56" t="n"/>
      <c r="D9" s="57" t="n"/>
      <c r="E9" s="57" t="n"/>
      <c r="F9" s="57" t="n"/>
      <c r="G9" s="57" t="n"/>
      <c r="H9" s="56" t="n"/>
      <c r="I9" s="57" t="n"/>
      <c r="J9" s="57" t="n"/>
      <c r="K9" s="56" t="n"/>
      <c r="L9" s="56" t="n"/>
      <c r="M9" s="56" t="n"/>
      <c r="N9" s="57" t="n"/>
      <c r="O9" s="56" t="n"/>
      <c r="P9" s="56" t="n"/>
      <c r="Q9" s="56" t="n"/>
      <c r="R9" s="56" t="n"/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  <c r="AC9" s="56" t="n"/>
      <c r="AD9" s="56" t="n"/>
      <c r="AE9" s="56" t="n"/>
      <c r="AF9" s="56" t="n"/>
      <c r="AG9" s="56" t="n"/>
      <c r="AH9" s="56" t="n"/>
      <c r="AI9" s="56" t="n"/>
      <c r="AJ9" s="58">
        <f>IF(AD9="","",AE9+AF9+AG9+AH9)</f>
        <v/>
      </c>
      <c r="AK9" s="59">
        <f>IF(OR(AD9="",AD9=0),"",AJ9/AD9)</f>
        <v/>
      </c>
      <c r="AL9" s="59">
        <f>IF(OR(AD9="",AD9=0),"",AF9/AD9)</f>
        <v/>
      </c>
      <c r="AM9" s="60">
        <f>IF(OR(AO9="",AJ9="",AJ9=0),"",AO9/AJ9)</f>
        <v/>
      </c>
      <c r="AN9" s="60">
        <f>IF(OR(AO9="",AD9="",AD9=0),"",AO9/AD9*1000)</f>
        <v/>
      </c>
      <c r="AO9" s="61" t="n"/>
    </row>
    <row r="10">
      <c r="A10" s="55" t="n">
        <v>8</v>
      </c>
      <c r="B10" s="56" t="n"/>
      <c r="C10" s="56" t="n"/>
      <c r="D10" s="57" t="n"/>
      <c r="E10" s="57" t="n"/>
      <c r="F10" s="57" t="n"/>
      <c r="G10" s="57" t="n"/>
      <c r="H10" s="56" t="n"/>
      <c r="I10" s="57" t="n"/>
      <c r="J10" s="57" t="n"/>
      <c r="K10" s="56" t="n"/>
      <c r="L10" s="56" t="n"/>
      <c r="M10" s="56" t="n"/>
      <c r="N10" s="57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  <c r="Z10" s="56" t="n"/>
      <c r="AA10" s="56" t="n"/>
      <c r="AB10" s="56" t="n"/>
      <c r="AC10" s="56" t="n"/>
      <c r="AD10" s="56" t="n"/>
      <c r="AE10" s="56" t="n"/>
      <c r="AF10" s="56" t="n"/>
      <c r="AG10" s="56" t="n"/>
      <c r="AH10" s="56" t="n"/>
      <c r="AI10" s="56" t="n"/>
      <c r="AJ10" s="58">
        <f>IF(AD10="","",AE10+AF10+AG10+AH10)</f>
        <v/>
      </c>
      <c r="AK10" s="59">
        <f>IF(OR(AD10="",AD10=0),"",AJ10/AD10)</f>
        <v/>
      </c>
      <c r="AL10" s="59">
        <f>IF(OR(AD10="",AD10=0),"",AF10/AD10)</f>
        <v/>
      </c>
      <c r="AM10" s="60">
        <f>IF(OR(AO10="",AJ10="",AJ10=0),"",AO10/AJ10)</f>
        <v/>
      </c>
      <c r="AN10" s="60">
        <f>IF(OR(AO10="",AD10="",AD10=0),"",AO10/AD10*1000)</f>
        <v/>
      </c>
      <c r="AO10" s="61" t="n"/>
    </row>
    <row r="11">
      <c r="A11" s="55" t="n">
        <v>9</v>
      </c>
      <c r="B11" s="56" t="n"/>
      <c r="C11" s="56" t="n"/>
      <c r="D11" s="57" t="n"/>
      <c r="E11" s="57" t="n"/>
      <c r="F11" s="57" t="n"/>
      <c r="G11" s="57" t="n"/>
      <c r="H11" s="56" t="n"/>
      <c r="I11" s="57" t="n"/>
      <c r="J11" s="57" t="n"/>
      <c r="K11" s="56" t="n"/>
      <c r="L11" s="56" t="n"/>
      <c r="M11" s="56" t="n"/>
      <c r="N11" s="57" t="n"/>
      <c r="O11" s="56" t="n"/>
      <c r="P11" s="56" t="n"/>
      <c r="Q11" s="56" t="n"/>
      <c r="R11" s="56" t="n"/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  <c r="AC11" s="56" t="n"/>
      <c r="AD11" s="56" t="n"/>
      <c r="AE11" s="56" t="n"/>
      <c r="AF11" s="56" t="n"/>
      <c r="AG11" s="56" t="n"/>
      <c r="AH11" s="56" t="n"/>
      <c r="AI11" s="56" t="n"/>
      <c r="AJ11" s="58">
        <f>IF(AD11="","",AE11+AF11+AG11+AH11)</f>
        <v/>
      </c>
      <c r="AK11" s="59">
        <f>IF(OR(AD11="",AD11=0),"",AJ11/AD11)</f>
        <v/>
      </c>
      <c r="AL11" s="59">
        <f>IF(OR(AD11="",AD11=0),"",AF11/AD11)</f>
        <v/>
      </c>
      <c r="AM11" s="60">
        <f>IF(OR(AO11="",AJ11="",AJ11=0),"",AO11/AJ11)</f>
        <v/>
      </c>
      <c r="AN11" s="60">
        <f>IF(OR(AO11="",AD11="",AD11=0),"",AO11/AD11*1000)</f>
        <v/>
      </c>
      <c r="AO11" s="61" t="n"/>
    </row>
    <row r="12">
      <c r="A12" s="55" t="n">
        <v>10</v>
      </c>
      <c r="B12" s="56" t="n"/>
      <c r="C12" s="56" t="n"/>
      <c r="D12" s="57" t="n"/>
      <c r="E12" s="57" t="n"/>
      <c r="F12" s="57" t="n"/>
      <c r="G12" s="57" t="n"/>
      <c r="H12" s="56" t="n"/>
      <c r="I12" s="57" t="n"/>
      <c r="J12" s="57" t="n"/>
      <c r="K12" s="56" t="n"/>
      <c r="L12" s="56" t="n"/>
      <c r="M12" s="56" t="n"/>
      <c r="N12" s="57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  <c r="Z12" s="56" t="n"/>
      <c r="AA12" s="56" t="n"/>
      <c r="AB12" s="56" t="n"/>
      <c r="AC12" s="56" t="n"/>
      <c r="AD12" s="56" t="n"/>
      <c r="AE12" s="56" t="n"/>
      <c r="AF12" s="56" t="n"/>
      <c r="AG12" s="56" t="n"/>
      <c r="AH12" s="56" t="n"/>
      <c r="AI12" s="56" t="n"/>
      <c r="AJ12" s="58">
        <f>IF(AD12="","",AE12+AF12+AG12+AH12)</f>
        <v/>
      </c>
      <c r="AK12" s="59">
        <f>IF(OR(AD12="",AD12=0),"",AJ12/AD12)</f>
        <v/>
      </c>
      <c r="AL12" s="59">
        <f>IF(OR(AD12="",AD12=0),"",AF12/AD12)</f>
        <v/>
      </c>
      <c r="AM12" s="60">
        <f>IF(OR(AO12="",AJ12="",AJ12=0),"",AO12/AJ12)</f>
        <v/>
      </c>
      <c r="AN12" s="60">
        <f>IF(OR(AO12="",AD12="",AD12=0),"",AO12/AD12*1000)</f>
        <v/>
      </c>
      <c r="AO12" s="61" t="n"/>
    </row>
    <row r="13">
      <c r="A13" s="55" t="n">
        <v>11</v>
      </c>
      <c r="B13" s="56" t="n"/>
      <c r="C13" s="56" t="n"/>
      <c r="D13" s="57" t="n"/>
      <c r="E13" s="57" t="n"/>
      <c r="F13" s="57" t="n"/>
      <c r="G13" s="57" t="n"/>
      <c r="H13" s="56" t="n"/>
      <c r="I13" s="57" t="n"/>
      <c r="J13" s="57" t="n"/>
      <c r="K13" s="56" t="n"/>
      <c r="L13" s="56" t="n"/>
      <c r="M13" s="56" t="n"/>
      <c r="N13" s="57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  <c r="AC13" s="56" t="n"/>
      <c r="AD13" s="56" t="n"/>
      <c r="AE13" s="56" t="n"/>
      <c r="AF13" s="56" t="n"/>
      <c r="AG13" s="56" t="n"/>
      <c r="AH13" s="56" t="n"/>
      <c r="AI13" s="56" t="n"/>
      <c r="AJ13" s="58">
        <f>IF(AD13="","",AE13+AF13+AG13+AH13)</f>
        <v/>
      </c>
      <c r="AK13" s="59">
        <f>IF(OR(AD13="",AD13=0),"",AJ13/AD13)</f>
        <v/>
      </c>
      <c r="AL13" s="59">
        <f>IF(OR(AD13="",AD13=0),"",AF13/AD13)</f>
        <v/>
      </c>
      <c r="AM13" s="60">
        <f>IF(OR(AO13="",AJ13="",AJ13=0),"",AO13/AJ13)</f>
        <v/>
      </c>
      <c r="AN13" s="60">
        <f>IF(OR(AO13="",AD13="",AD13=0),"",AO13/AD13*1000)</f>
        <v/>
      </c>
      <c r="AO13" s="61" t="n"/>
    </row>
    <row r="14">
      <c r="A14" s="55" t="n">
        <v>12</v>
      </c>
      <c r="B14" s="56" t="n"/>
      <c r="C14" s="56" t="n"/>
      <c r="D14" s="57" t="n"/>
      <c r="E14" s="57" t="n"/>
      <c r="F14" s="57" t="n"/>
      <c r="G14" s="57" t="n"/>
      <c r="H14" s="56" t="n"/>
      <c r="I14" s="57" t="n"/>
      <c r="J14" s="57" t="n"/>
      <c r="K14" s="56" t="n"/>
      <c r="L14" s="56" t="n"/>
      <c r="M14" s="56" t="n"/>
      <c r="N14" s="57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  <c r="Z14" s="56" t="n"/>
      <c r="AA14" s="56" t="n"/>
      <c r="AB14" s="56" t="n"/>
      <c r="AC14" s="56" t="n"/>
      <c r="AD14" s="56" t="n"/>
      <c r="AE14" s="56" t="n"/>
      <c r="AF14" s="56" t="n"/>
      <c r="AG14" s="56" t="n"/>
      <c r="AH14" s="56" t="n"/>
      <c r="AI14" s="56" t="n"/>
      <c r="AJ14" s="58">
        <f>IF(AD14="","",AE14+AF14+AG14+AH14)</f>
        <v/>
      </c>
      <c r="AK14" s="59">
        <f>IF(OR(AD14="",AD14=0),"",AJ14/AD14)</f>
        <v/>
      </c>
      <c r="AL14" s="59">
        <f>IF(OR(AD14="",AD14=0),"",AF14/AD14)</f>
        <v/>
      </c>
      <c r="AM14" s="60">
        <f>IF(OR(AO14="",AJ14="",AJ14=0),"",AO14/AJ14)</f>
        <v/>
      </c>
      <c r="AN14" s="60">
        <f>IF(OR(AO14="",AD14="",AD14=0),"",AO14/AD14*1000)</f>
        <v/>
      </c>
      <c r="AO14" s="61" t="n"/>
    </row>
    <row r="15">
      <c r="A15" s="55" t="n">
        <v>13</v>
      </c>
      <c r="B15" s="56" t="n"/>
      <c r="C15" s="56" t="n"/>
      <c r="D15" s="57" t="n"/>
      <c r="E15" s="57" t="n"/>
      <c r="F15" s="57" t="n"/>
      <c r="G15" s="57" t="n"/>
      <c r="H15" s="56" t="n"/>
      <c r="I15" s="57" t="n"/>
      <c r="J15" s="57" t="n"/>
      <c r="K15" s="56" t="n"/>
      <c r="L15" s="56" t="n"/>
      <c r="M15" s="56" t="n"/>
      <c r="N15" s="57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  <c r="AC15" s="56" t="n"/>
      <c r="AD15" s="56" t="n"/>
      <c r="AE15" s="56" t="n"/>
      <c r="AF15" s="56" t="n"/>
      <c r="AG15" s="56" t="n"/>
      <c r="AH15" s="56" t="n"/>
      <c r="AI15" s="56" t="n"/>
      <c r="AJ15" s="58">
        <f>IF(AD15="","",AE15+AF15+AG15+AH15)</f>
        <v/>
      </c>
      <c r="AK15" s="59">
        <f>IF(OR(AD15="",AD15=0),"",AJ15/AD15)</f>
        <v/>
      </c>
      <c r="AL15" s="59">
        <f>IF(OR(AD15="",AD15=0),"",AF15/AD15)</f>
        <v/>
      </c>
      <c r="AM15" s="60">
        <f>IF(OR(AO15="",AJ15="",AJ15=0),"",AO15/AJ15)</f>
        <v/>
      </c>
      <c r="AN15" s="60">
        <f>IF(OR(AO15="",AD15="",AD15=0),"",AO15/AD15*1000)</f>
        <v/>
      </c>
      <c r="AO15" s="61" t="n"/>
    </row>
    <row r="16">
      <c r="A16" s="55" t="n">
        <v>14</v>
      </c>
      <c r="B16" s="56" t="n"/>
      <c r="C16" s="56" t="n"/>
      <c r="D16" s="57" t="n"/>
      <c r="E16" s="57" t="n"/>
      <c r="F16" s="57" t="n"/>
      <c r="G16" s="57" t="n"/>
      <c r="H16" s="56" t="n"/>
      <c r="I16" s="57" t="n"/>
      <c r="J16" s="57" t="n"/>
      <c r="K16" s="56" t="n"/>
      <c r="L16" s="56" t="n"/>
      <c r="M16" s="56" t="n"/>
      <c r="N16" s="57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6" t="n"/>
      <c r="X16" s="56" t="n"/>
      <c r="Y16" s="56" t="n"/>
      <c r="Z16" s="56" t="n"/>
      <c r="AA16" s="56" t="n"/>
      <c r="AB16" s="56" t="n"/>
      <c r="AC16" s="56" t="n"/>
      <c r="AD16" s="56" t="n"/>
      <c r="AE16" s="56" t="n"/>
      <c r="AF16" s="56" t="n"/>
      <c r="AG16" s="56" t="n"/>
      <c r="AH16" s="56" t="n"/>
      <c r="AI16" s="56" t="n"/>
      <c r="AJ16" s="58">
        <f>IF(AD16="","",AE16+AF16+AG16+AH16)</f>
        <v/>
      </c>
      <c r="AK16" s="59">
        <f>IF(OR(AD16="",AD16=0),"",AJ16/AD16)</f>
        <v/>
      </c>
      <c r="AL16" s="59">
        <f>IF(OR(AD16="",AD16=0),"",AF16/AD16)</f>
        <v/>
      </c>
      <c r="AM16" s="60">
        <f>IF(OR(AO16="",AJ16="",AJ16=0),"",AO16/AJ16)</f>
        <v/>
      </c>
      <c r="AN16" s="60">
        <f>IF(OR(AO16="",AD16="",AD16=0),"",AO16/AD16*1000)</f>
        <v/>
      </c>
      <c r="AO16" s="61" t="n"/>
    </row>
    <row r="17">
      <c r="A17" s="55" t="n">
        <v>15</v>
      </c>
      <c r="B17" s="56" t="n"/>
      <c r="C17" s="56" t="n"/>
      <c r="D17" s="57" t="n"/>
      <c r="E17" s="57" t="n"/>
      <c r="F17" s="57" t="n"/>
      <c r="G17" s="57" t="n"/>
      <c r="H17" s="56" t="n"/>
      <c r="I17" s="57" t="n"/>
      <c r="J17" s="57" t="n"/>
      <c r="K17" s="56" t="n"/>
      <c r="L17" s="56" t="n"/>
      <c r="M17" s="56" t="n"/>
      <c r="N17" s="57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  <c r="AC17" s="56" t="n"/>
      <c r="AD17" s="56" t="n"/>
      <c r="AE17" s="56" t="n"/>
      <c r="AF17" s="56" t="n"/>
      <c r="AG17" s="56" t="n"/>
      <c r="AH17" s="56" t="n"/>
      <c r="AI17" s="56" t="n"/>
      <c r="AJ17" s="58">
        <f>IF(AD17="","",AE17+AF17+AG17+AH17)</f>
        <v/>
      </c>
      <c r="AK17" s="59">
        <f>IF(OR(AD17="",AD17=0),"",AJ17/AD17)</f>
        <v/>
      </c>
      <c r="AL17" s="59">
        <f>IF(OR(AD17="",AD17=0),"",AF17/AD17)</f>
        <v/>
      </c>
      <c r="AM17" s="60">
        <f>IF(OR(AO17="",AJ17="",AJ17=0),"",AO17/AJ17)</f>
        <v/>
      </c>
      <c r="AN17" s="60">
        <f>IF(OR(AO17="",AD17="",AD17=0),"",AO17/AD17*1000)</f>
        <v/>
      </c>
      <c r="AO17" s="61" t="n"/>
    </row>
    <row r="18">
      <c r="A18" s="55" t="n">
        <v>16</v>
      </c>
      <c r="B18" s="56" t="n"/>
      <c r="C18" s="56" t="n"/>
      <c r="D18" s="57" t="n"/>
      <c r="E18" s="57" t="n"/>
      <c r="F18" s="57" t="n"/>
      <c r="G18" s="57" t="n"/>
      <c r="H18" s="56" t="n"/>
      <c r="I18" s="57" t="n"/>
      <c r="J18" s="57" t="n"/>
      <c r="K18" s="56" t="n"/>
      <c r="L18" s="56" t="n"/>
      <c r="M18" s="56" t="n"/>
      <c r="N18" s="57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6" t="n"/>
      <c r="X18" s="56" t="n"/>
      <c r="Y18" s="56" t="n"/>
      <c r="Z18" s="56" t="n"/>
      <c r="AA18" s="56" t="n"/>
      <c r="AB18" s="56" t="n"/>
      <c r="AC18" s="56" t="n"/>
      <c r="AD18" s="56" t="n"/>
      <c r="AE18" s="56" t="n"/>
      <c r="AF18" s="56" t="n"/>
      <c r="AG18" s="56" t="n"/>
      <c r="AH18" s="56" t="n"/>
      <c r="AI18" s="56" t="n"/>
      <c r="AJ18" s="58">
        <f>IF(AD18="","",AE18+AF18+AG18+AH18)</f>
        <v/>
      </c>
      <c r="AK18" s="59">
        <f>IF(OR(AD18="",AD18=0),"",AJ18/AD18)</f>
        <v/>
      </c>
      <c r="AL18" s="59">
        <f>IF(OR(AD18="",AD18=0),"",AF18/AD18)</f>
        <v/>
      </c>
      <c r="AM18" s="60">
        <f>IF(OR(AO18="",AJ18="",AJ18=0),"",AO18/AJ18)</f>
        <v/>
      </c>
      <c r="AN18" s="60">
        <f>IF(OR(AO18="",AD18="",AD18=0),"",AO18/AD18*1000)</f>
        <v/>
      </c>
      <c r="AO18" s="61" t="n"/>
    </row>
    <row r="19">
      <c r="A19" s="55" t="n">
        <v>17</v>
      </c>
      <c r="B19" s="56" t="n"/>
      <c r="C19" s="56" t="n"/>
      <c r="D19" s="57" t="n"/>
      <c r="E19" s="57" t="n"/>
      <c r="F19" s="57" t="n"/>
      <c r="G19" s="57" t="n"/>
      <c r="H19" s="56" t="n"/>
      <c r="I19" s="57" t="n"/>
      <c r="J19" s="57" t="n"/>
      <c r="K19" s="56" t="n"/>
      <c r="L19" s="56" t="n"/>
      <c r="M19" s="56" t="n"/>
      <c r="N19" s="57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  <c r="AC19" s="56" t="n"/>
      <c r="AD19" s="56" t="n"/>
      <c r="AE19" s="56" t="n"/>
      <c r="AF19" s="56" t="n"/>
      <c r="AG19" s="56" t="n"/>
      <c r="AH19" s="56" t="n"/>
      <c r="AI19" s="56" t="n"/>
      <c r="AJ19" s="58">
        <f>IF(AD19="","",AE19+AF19+AG19+AH19)</f>
        <v/>
      </c>
      <c r="AK19" s="59">
        <f>IF(OR(AD19="",AD19=0),"",AJ19/AD19)</f>
        <v/>
      </c>
      <c r="AL19" s="59">
        <f>IF(OR(AD19="",AD19=0),"",AF19/AD19)</f>
        <v/>
      </c>
      <c r="AM19" s="60">
        <f>IF(OR(AO19="",AJ19="",AJ19=0),"",AO19/AJ19)</f>
        <v/>
      </c>
      <c r="AN19" s="60">
        <f>IF(OR(AO19="",AD19="",AD19=0),"",AO19/AD19*1000)</f>
        <v/>
      </c>
      <c r="AO19" s="61" t="n"/>
    </row>
    <row r="20">
      <c r="A20" s="55" t="n">
        <v>18</v>
      </c>
      <c r="B20" s="56" t="n"/>
      <c r="C20" s="56" t="n"/>
      <c r="D20" s="57" t="n"/>
      <c r="E20" s="57" t="n"/>
      <c r="F20" s="57" t="n"/>
      <c r="G20" s="57" t="n"/>
      <c r="H20" s="56" t="n"/>
      <c r="I20" s="57" t="n"/>
      <c r="J20" s="57" t="n"/>
      <c r="K20" s="56" t="n"/>
      <c r="L20" s="56" t="n"/>
      <c r="M20" s="56" t="n"/>
      <c r="N20" s="57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8">
        <f>IF(AD20="","",AE20+AF20+AG20+AH20)</f>
        <v/>
      </c>
      <c r="AK20" s="59">
        <f>IF(OR(AD20="",AD20=0),"",AJ20/AD20)</f>
        <v/>
      </c>
      <c r="AL20" s="59">
        <f>IF(OR(AD20="",AD20=0),"",AF20/AD20)</f>
        <v/>
      </c>
      <c r="AM20" s="60">
        <f>IF(OR(AO20="",AJ20="",AJ20=0),"",AO20/AJ20)</f>
        <v/>
      </c>
      <c r="AN20" s="60">
        <f>IF(OR(AO20="",AD20="",AD20=0),"",AO20/AD20*1000)</f>
        <v/>
      </c>
      <c r="AO20" s="61" t="n"/>
    </row>
    <row r="21">
      <c r="A21" s="55" t="n">
        <v>19</v>
      </c>
      <c r="B21" s="56" t="n"/>
      <c r="C21" s="56" t="n"/>
      <c r="D21" s="57" t="n"/>
      <c r="E21" s="57" t="n"/>
      <c r="F21" s="57" t="n"/>
      <c r="G21" s="57" t="n"/>
      <c r="H21" s="56" t="n"/>
      <c r="I21" s="57" t="n"/>
      <c r="J21" s="57" t="n"/>
      <c r="K21" s="56" t="n"/>
      <c r="L21" s="56" t="n"/>
      <c r="M21" s="56" t="n"/>
      <c r="N21" s="57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  <c r="AC21" s="56" t="n"/>
      <c r="AD21" s="56" t="n"/>
      <c r="AE21" s="56" t="n"/>
      <c r="AF21" s="56" t="n"/>
      <c r="AG21" s="56" t="n"/>
      <c r="AH21" s="56" t="n"/>
      <c r="AI21" s="56" t="n"/>
      <c r="AJ21" s="58">
        <f>IF(AD21="","",AE21+AF21+AG21+AH21)</f>
        <v/>
      </c>
      <c r="AK21" s="59">
        <f>IF(OR(AD21="",AD21=0),"",AJ21/AD21)</f>
        <v/>
      </c>
      <c r="AL21" s="59">
        <f>IF(OR(AD21="",AD21=0),"",AF21/AD21)</f>
        <v/>
      </c>
      <c r="AM21" s="60">
        <f>IF(OR(AO21="",AJ21="",AJ21=0),"",AO21/AJ21)</f>
        <v/>
      </c>
      <c r="AN21" s="60">
        <f>IF(OR(AO21="",AD21="",AD21=0),"",AO21/AD21*1000)</f>
        <v/>
      </c>
      <c r="AO21" s="61" t="n"/>
    </row>
    <row r="22">
      <c r="A22" s="55" t="n">
        <v>20</v>
      </c>
      <c r="B22" s="56" t="n"/>
      <c r="C22" s="56" t="n"/>
      <c r="D22" s="57" t="n"/>
      <c r="E22" s="57" t="n"/>
      <c r="F22" s="57" t="n"/>
      <c r="G22" s="57" t="n"/>
      <c r="H22" s="56" t="n"/>
      <c r="I22" s="57" t="n"/>
      <c r="J22" s="57" t="n"/>
      <c r="K22" s="56" t="n"/>
      <c r="L22" s="56" t="n"/>
      <c r="M22" s="56" t="n"/>
      <c r="N22" s="57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>
        <f>IF(AD22="","",AE22+AF22+AG22+AH22)</f>
        <v/>
      </c>
      <c r="AK22" s="59">
        <f>IF(OR(AD22="",AD22=0),"",AJ22/AD22)</f>
        <v/>
      </c>
      <c r="AL22" s="59">
        <f>IF(OR(AD22="",AD22=0),"",AF22/AD22)</f>
        <v/>
      </c>
      <c r="AM22" s="60">
        <f>IF(OR(AO22="",AJ22="",AJ22=0),"",AO22/AJ22)</f>
        <v/>
      </c>
      <c r="AN22" s="60">
        <f>IF(OR(AO22="",AD22="",AD22=0),"",AO22/AD22*1000)</f>
        <v/>
      </c>
      <c r="AO22" s="61" t="n"/>
    </row>
    <row r="23">
      <c r="A23" s="55" t="n">
        <v>21</v>
      </c>
      <c r="B23" s="56" t="n"/>
      <c r="C23" s="56" t="n"/>
      <c r="D23" s="57" t="n"/>
      <c r="E23" s="57" t="n"/>
      <c r="F23" s="57" t="n"/>
      <c r="G23" s="57" t="n"/>
      <c r="H23" s="56" t="n"/>
      <c r="I23" s="57" t="n"/>
      <c r="J23" s="57" t="n"/>
      <c r="K23" s="56" t="n"/>
      <c r="L23" s="56" t="n"/>
      <c r="M23" s="56" t="n"/>
      <c r="N23" s="57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  <c r="AC23" s="56" t="n"/>
      <c r="AD23" s="56" t="n"/>
      <c r="AE23" s="56" t="n"/>
      <c r="AF23" s="56" t="n"/>
      <c r="AG23" s="56" t="n"/>
      <c r="AH23" s="56" t="n"/>
      <c r="AI23" s="56" t="n"/>
      <c r="AJ23" s="58">
        <f>IF(AD23="","",AE23+AF23+AG23+AH23)</f>
        <v/>
      </c>
      <c r="AK23" s="59">
        <f>IF(OR(AD23="",AD23=0),"",AJ23/AD23)</f>
        <v/>
      </c>
      <c r="AL23" s="59">
        <f>IF(OR(AD23="",AD23=0),"",AF23/AD23)</f>
        <v/>
      </c>
      <c r="AM23" s="60">
        <f>IF(OR(AO23="",AJ23="",AJ23=0),"",AO23/AJ23)</f>
        <v/>
      </c>
      <c r="AN23" s="60">
        <f>IF(OR(AO23="",AD23="",AD23=0),"",AO23/AD23*1000)</f>
        <v/>
      </c>
      <c r="AO23" s="61" t="n"/>
    </row>
    <row r="24">
      <c r="A24" s="55" t="n">
        <v>22</v>
      </c>
      <c r="B24" s="56" t="n"/>
      <c r="C24" s="56" t="n"/>
      <c r="D24" s="57" t="n"/>
      <c r="E24" s="57" t="n"/>
      <c r="F24" s="57" t="n"/>
      <c r="G24" s="57" t="n"/>
      <c r="H24" s="56" t="n"/>
      <c r="I24" s="57" t="n"/>
      <c r="J24" s="57" t="n"/>
      <c r="K24" s="56" t="n"/>
      <c r="L24" s="56" t="n"/>
      <c r="M24" s="56" t="n"/>
      <c r="N24" s="57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  <c r="Z24" s="56" t="n"/>
      <c r="AA24" s="56" t="n"/>
      <c r="AB24" s="56" t="n"/>
      <c r="AC24" s="56" t="n"/>
      <c r="AD24" s="56" t="n"/>
      <c r="AE24" s="56" t="n"/>
      <c r="AF24" s="56" t="n"/>
      <c r="AG24" s="56" t="n"/>
      <c r="AH24" s="56" t="n"/>
      <c r="AI24" s="56" t="n"/>
      <c r="AJ24" s="58">
        <f>IF(AD24="","",AE24+AF24+AG24+AH24)</f>
        <v/>
      </c>
      <c r="AK24" s="59">
        <f>IF(OR(AD24="",AD24=0),"",AJ24/AD24)</f>
        <v/>
      </c>
      <c r="AL24" s="59">
        <f>IF(OR(AD24="",AD24=0),"",AF24/AD24)</f>
        <v/>
      </c>
      <c r="AM24" s="60">
        <f>IF(OR(AO24="",AJ24="",AJ24=0),"",AO24/AJ24)</f>
        <v/>
      </c>
      <c r="AN24" s="60">
        <f>IF(OR(AO24="",AD24="",AD24=0),"",AO24/AD24*1000)</f>
        <v/>
      </c>
      <c r="AO24" s="61" t="n"/>
    </row>
    <row r="25">
      <c r="A25" s="55" t="n">
        <v>23</v>
      </c>
      <c r="B25" s="56" t="n"/>
      <c r="C25" s="56" t="n"/>
      <c r="D25" s="57" t="n"/>
      <c r="E25" s="57" t="n"/>
      <c r="F25" s="57" t="n"/>
      <c r="G25" s="57" t="n"/>
      <c r="H25" s="56" t="n"/>
      <c r="I25" s="57" t="n"/>
      <c r="J25" s="57" t="n"/>
      <c r="K25" s="56" t="n"/>
      <c r="L25" s="56" t="n"/>
      <c r="M25" s="56" t="n"/>
      <c r="N25" s="57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  <c r="AC25" s="56" t="n"/>
      <c r="AD25" s="56" t="n"/>
      <c r="AE25" s="56" t="n"/>
      <c r="AF25" s="56" t="n"/>
      <c r="AG25" s="56" t="n"/>
      <c r="AH25" s="56" t="n"/>
      <c r="AI25" s="56" t="n"/>
      <c r="AJ25" s="58">
        <f>IF(AD25="","",AE25+AF25+AG25+AH25)</f>
        <v/>
      </c>
      <c r="AK25" s="59">
        <f>IF(OR(AD25="",AD25=0),"",AJ25/AD25)</f>
        <v/>
      </c>
      <c r="AL25" s="59">
        <f>IF(OR(AD25="",AD25=0),"",AF25/AD25)</f>
        <v/>
      </c>
      <c r="AM25" s="60">
        <f>IF(OR(AO25="",AJ25="",AJ25=0),"",AO25/AJ25)</f>
        <v/>
      </c>
      <c r="AN25" s="60">
        <f>IF(OR(AO25="",AD25="",AD25=0),"",AO25/AD25*1000)</f>
        <v/>
      </c>
      <c r="AO25" s="61" t="n"/>
    </row>
    <row r="26">
      <c r="A26" s="55" t="n">
        <v>24</v>
      </c>
      <c r="B26" s="56" t="n"/>
      <c r="C26" s="56" t="n"/>
      <c r="D26" s="57" t="n"/>
      <c r="E26" s="57" t="n"/>
      <c r="F26" s="57" t="n"/>
      <c r="G26" s="57" t="n"/>
      <c r="H26" s="56" t="n"/>
      <c r="I26" s="57" t="n"/>
      <c r="J26" s="57" t="n"/>
      <c r="K26" s="56" t="n"/>
      <c r="L26" s="56" t="n"/>
      <c r="M26" s="56" t="n"/>
      <c r="N26" s="57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  <c r="Z26" s="56" t="n"/>
      <c r="AA26" s="56" t="n"/>
      <c r="AB26" s="56" t="n"/>
      <c r="AC26" s="56" t="n"/>
      <c r="AD26" s="56" t="n"/>
      <c r="AE26" s="56" t="n"/>
      <c r="AF26" s="56" t="n"/>
      <c r="AG26" s="56" t="n"/>
      <c r="AH26" s="56" t="n"/>
      <c r="AI26" s="56" t="n"/>
      <c r="AJ26" s="58">
        <f>IF(AD26="","",AE26+AF26+AG26+AH26)</f>
        <v/>
      </c>
      <c r="AK26" s="59">
        <f>IF(OR(AD26="",AD26=0),"",AJ26/AD26)</f>
        <v/>
      </c>
      <c r="AL26" s="59">
        <f>IF(OR(AD26="",AD26=0),"",AF26/AD26)</f>
        <v/>
      </c>
      <c r="AM26" s="60">
        <f>IF(OR(AO26="",AJ26="",AJ26=0),"",AO26/AJ26)</f>
        <v/>
      </c>
      <c r="AN26" s="60">
        <f>IF(OR(AO26="",AD26="",AD26=0),"",AO26/AD26*1000)</f>
        <v/>
      </c>
      <c r="AO26" s="61" t="n"/>
    </row>
    <row r="27">
      <c r="A27" s="55" t="n">
        <v>25</v>
      </c>
      <c r="B27" s="56" t="n"/>
      <c r="C27" s="56" t="n"/>
      <c r="D27" s="57" t="n"/>
      <c r="E27" s="57" t="n"/>
      <c r="F27" s="57" t="n"/>
      <c r="G27" s="57" t="n"/>
      <c r="H27" s="56" t="n"/>
      <c r="I27" s="57" t="n"/>
      <c r="J27" s="57" t="n"/>
      <c r="K27" s="56" t="n"/>
      <c r="L27" s="56" t="n"/>
      <c r="M27" s="56" t="n"/>
      <c r="N27" s="57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  <c r="AC27" s="56" t="n"/>
      <c r="AD27" s="56" t="n"/>
      <c r="AE27" s="56" t="n"/>
      <c r="AF27" s="56" t="n"/>
      <c r="AG27" s="56" t="n"/>
      <c r="AH27" s="56" t="n"/>
      <c r="AI27" s="56" t="n"/>
      <c r="AJ27" s="58">
        <f>IF(AD27="","",AE27+AF27+AG27+AH27)</f>
        <v/>
      </c>
      <c r="AK27" s="59">
        <f>IF(OR(AD27="",AD27=0),"",AJ27/AD27)</f>
        <v/>
      </c>
      <c r="AL27" s="59">
        <f>IF(OR(AD27="",AD27=0),"",AF27/AD27)</f>
        <v/>
      </c>
      <c r="AM27" s="60">
        <f>IF(OR(AO27="",AJ27="",AJ27=0),"",AO27/AJ27)</f>
        <v/>
      </c>
      <c r="AN27" s="60">
        <f>IF(OR(AO27="",AD27="",AD27=0),"",AO27/AD27*1000)</f>
        <v/>
      </c>
      <c r="AO27" s="61" t="n"/>
    </row>
    <row r="28">
      <c r="A28" s="55" t="n">
        <v>26</v>
      </c>
      <c r="B28" s="56" t="n"/>
      <c r="C28" s="56" t="n"/>
      <c r="D28" s="57" t="n"/>
      <c r="E28" s="57" t="n"/>
      <c r="F28" s="57" t="n"/>
      <c r="G28" s="57" t="n"/>
      <c r="H28" s="56" t="n"/>
      <c r="I28" s="57" t="n"/>
      <c r="J28" s="57" t="n"/>
      <c r="K28" s="56" t="n"/>
      <c r="L28" s="56" t="n"/>
      <c r="M28" s="56" t="n"/>
      <c r="N28" s="57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56" t="n"/>
      <c r="AI28" s="56" t="n"/>
      <c r="AJ28" s="58">
        <f>IF(AD28="","",AE28+AF28+AG28+AH28)</f>
        <v/>
      </c>
      <c r="AK28" s="59">
        <f>IF(OR(AD28="",AD28=0),"",AJ28/AD28)</f>
        <v/>
      </c>
      <c r="AL28" s="59">
        <f>IF(OR(AD28="",AD28=0),"",AF28/AD28)</f>
        <v/>
      </c>
      <c r="AM28" s="60">
        <f>IF(OR(AO28="",AJ28="",AJ28=0),"",AO28/AJ28)</f>
        <v/>
      </c>
      <c r="AN28" s="60">
        <f>IF(OR(AO28="",AD28="",AD28=0),"",AO28/AD28*1000)</f>
        <v/>
      </c>
      <c r="AO28" s="61" t="n"/>
    </row>
    <row r="29">
      <c r="A29" s="55" t="n">
        <v>27</v>
      </c>
      <c r="B29" s="56" t="n"/>
      <c r="C29" s="56" t="n"/>
      <c r="D29" s="57" t="n"/>
      <c r="E29" s="57" t="n"/>
      <c r="F29" s="57" t="n"/>
      <c r="G29" s="57" t="n"/>
      <c r="H29" s="56" t="n"/>
      <c r="I29" s="57" t="n"/>
      <c r="J29" s="57" t="n"/>
      <c r="K29" s="56" t="n"/>
      <c r="L29" s="56" t="n"/>
      <c r="M29" s="56" t="n"/>
      <c r="N29" s="57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  <c r="AC29" s="56" t="n"/>
      <c r="AD29" s="56" t="n"/>
      <c r="AE29" s="56" t="n"/>
      <c r="AF29" s="56" t="n"/>
      <c r="AG29" s="56" t="n"/>
      <c r="AH29" s="56" t="n"/>
      <c r="AI29" s="56" t="n"/>
      <c r="AJ29" s="58">
        <f>IF(AD29="","",AE29+AF29+AG29+AH29)</f>
        <v/>
      </c>
      <c r="AK29" s="59">
        <f>IF(OR(AD29="",AD29=0),"",AJ29/AD29)</f>
        <v/>
      </c>
      <c r="AL29" s="59">
        <f>IF(OR(AD29="",AD29=0),"",AF29/AD29)</f>
        <v/>
      </c>
      <c r="AM29" s="60">
        <f>IF(OR(AO29="",AJ29="",AJ29=0),"",AO29/AJ29)</f>
        <v/>
      </c>
      <c r="AN29" s="60">
        <f>IF(OR(AO29="",AD29="",AD29=0),"",AO29/AD29*1000)</f>
        <v/>
      </c>
      <c r="AO29" s="61" t="n"/>
    </row>
    <row r="30">
      <c r="A30" s="55" t="n">
        <v>28</v>
      </c>
      <c r="B30" s="56" t="n"/>
      <c r="C30" s="56" t="n"/>
      <c r="D30" s="57" t="n"/>
      <c r="E30" s="57" t="n"/>
      <c r="F30" s="57" t="n"/>
      <c r="G30" s="57" t="n"/>
      <c r="H30" s="56" t="n"/>
      <c r="I30" s="57" t="n"/>
      <c r="J30" s="57" t="n"/>
      <c r="K30" s="56" t="n"/>
      <c r="L30" s="56" t="n"/>
      <c r="M30" s="56" t="n"/>
      <c r="N30" s="57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  <c r="Z30" s="56" t="n"/>
      <c r="AA30" s="56" t="n"/>
      <c r="AB30" s="56" t="n"/>
      <c r="AC30" s="56" t="n"/>
      <c r="AD30" s="56" t="n"/>
      <c r="AE30" s="56" t="n"/>
      <c r="AF30" s="56" t="n"/>
      <c r="AG30" s="56" t="n"/>
      <c r="AH30" s="56" t="n"/>
      <c r="AI30" s="56" t="n"/>
      <c r="AJ30" s="58">
        <f>IF(AD30="","",AE30+AF30+AG30+AH30)</f>
        <v/>
      </c>
      <c r="AK30" s="59">
        <f>IF(OR(AD30="",AD30=0),"",AJ30/AD30)</f>
        <v/>
      </c>
      <c r="AL30" s="59">
        <f>IF(OR(AD30="",AD30=0),"",AF30/AD30)</f>
        <v/>
      </c>
      <c r="AM30" s="60">
        <f>IF(OR(AO30="",AJ30="",AJ30=0),"",AO30/AJ30)</f>
        <v/>
      </c>
      <c r="AN30" s="60">
        <f>IF(OR(AO30="",AD30="",AD30=0),"",AO30/AD30*1000)</f>
        <v/>
      </c>
      <c r="AO30" s="61" t="n"/>
    </row>
    <row r="31">
      <c r="A31" s="55" t="n">
        <v>29</v>
      </c>
      <c r="B31" s="56" t="n"/>
      <c r="C31" s="56" t="n"/>
      <c r="D31" s="57" t="n"/>
      <c r="E31" s="57" t="n"/>
      <c r="F31" s="57" t="n"/>
      <c r="G31" s="57" t="n"/>
      <c r="H31" s="56" t="n"/>
      <c r="I31" s="57" t="n"/>
      <c r="J31" s="57" t="n"/>
      <c r="K31" s="56" t="n"/>
      <c r="L31" s="56" t="n"/>
      <c r="M31" s="56" t="n"/>
      <c r="N31" s="57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  <c r="AC31" s="56" t="n"/>
      <c r="AD31" s="56" t="n"/>
      <c r="AE31" s="56" t="n"/>
      <c r="AF31" s="56" t="n"/>
      <c r="AG31" s="56" t="n"/>
      <c r="AH31" s="56" t="n"/>
      <c r="AI31" s="56" t="n"/>
      <c r="AJ31" s="58">
        <f>IF(AD31="","",AE31+AF31+AG31+AH31)</f>
        <v/>
      </c>
      <c r="AK31" s="59">
        <f>IF(OR(AD31="",AD31=0),"",AJ31/AD31)</f>
        <v/>
      </c>
      <c r="AL31" s="59">
        <f>IF(OR(AD31="",AD31=0),"",AF31/AD31)</f>
        <v/>
      </c>
      <c r="AM31" s="60">
        <f>IF(OR(AO31="",AJ31="",AJ31=0),"",AO31/AJ31)</f>
        <v/>
      </c>
      <c r="AN31" s="60">
        <f>IF(OR(AO31="",AD31="",AD31=0),"",AO31/AD31*1000)</f>
        <v/>
      </c>
      <c r="AO31" s="61" t="n"/>
    </row>
    <row r="32">
      <c r="A32" s="55" t="n">
        <v>30</v>
      </c>
      <c r="B32" s="56" t="n"/>
      <c r="C32" s="56" t="n"/>
      <c r="D32" s="57" t="n"/>
      <c r="E32" s="57" t="n"/>
      <c r="F32" s="57" t="n"/>
      <c r="G32" s="57" t="n"/>
      <c r="H32" s="56" t="n"/>
      <c r="I32" s="57" t="n"/>
      <c r="J32" s="57" t="n"/>
      <c r="K32" s="56" t="n"/>
      <c r="L32" s="56" t="n"/>
      <c r="M32" s="56" t="n"/>
      <c r="N32" s="57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  <c r="AA32" s="56" t="n"/>
      <c r="AB32" s="56" t="n"/>
      <c r="AC32" s="56" t="n"/>
      <c r="AD32" s="56" t="n"/>
      <c r="AE32" s="56" t="n"/>
      <c r="AF32" s="56" t="n"/>
      <c r="AG32" s="56" t="n"/>
      <c r="AH32" s="56" t="n"/>
      <c r="AI32" s="56" t="n"/>
      <c r="AJ32" s="58">
        <f>IF(AD32="","",AE32+AF32+AG32+AH32)</f>
        <v/>
      </c>
      <c r="AK32" s="59">
        <f>IF(OR(AD32="",AD32=0),"",AJ32/AD32)</f>
        <v/>
      </c>
      <c r="AL32" s="59">
        <f>IF(OR(AD32="",AD32=0),"",AF32/AD32)</f>
        <v/>
      </c>
      <c r="AM32" s="60">
        <f>IF(OR(AO32="",AJ32="",AJ32=0),"",AO32/AJ32)</f>
        <v/>
      </c>
      <c r="AN32" s="60">
        <f>IF(OR(AO32="",AD32="",AD32=0),"",AO32/AD32*1000)</f>
        <v/>
      </c>
      <c r="AO32" s="61" t="n"/>
    </row>
    <row r="33">
      <c r="A33" s="55" t="n">
        <v>31</v>
      </c>
      <c r="B33" s="56" t="n"/>
      <c r="C33" s="56" t="n"/>
      <c r="D33" s="57" t="n"/>
      <c r="E33" s="57" t="n"/>
      <c r="F33" s="57" t="n"/>
      <c r="G33" s="57" t="n"/>
      <c r="H33" s="56" t="n"/>
      <c r="I33" s="57" t="n"/>
      <c r="J33" s="57" t="n"/>
      <c r="K33" s="56" t="n"/>
      <c r="L33" s="56" t="n"/>
      <c r="M33" s="56" t="n"/>
      <c r="N33" s="57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  <c r="AC33" s="56" t="n"/>
      <c r="AD33" s="56" t="n"/>
      <c r="AE33" s="56" t="n"/>
      <c r="AF33" s="56" t="n"/>
      <c r="AG33" s="56" t="n"/>
      <c r="AH33" s="56" t="n"/>
      <c r="AI33" s="56" t="n"/>
      <c r="AJ33" s="58">
        <f>IF(AD33="","",AE33+AF33+AG33+AH33)</f>
        <v/>
      </c>
      <c r="AK33" s="59">
        <f>IF(OR(AD33="",AD33=0),"",AJ33/AD33)</f>
        <v/>
      </c>
      <c r="AL33" s="59">
        <f>IF(OR(AD33="",AD33=0),"",AF33/AD33)</f>
        <v/>
      </c>
      <c r="AM33" s="60">
        <f>IF(OR(AO33="",AJ33="",AJ33=0),"",AO33/AJ33)</f>
        <v/>
      </c>
      <c r="AN33" s="60">
        <f>IF(OR(AO33="",AD33="",AD33=0),"",AO33/AD33*1000)</f>
        <v/>
      </c>
      <c r="AO33" s="61" t="n"/>
    </row>
    <row r="34">
      <c r="A34" s="55" t="n">
        <v>32</v>
      </c>
      <c r="B34" s="56" t="n"/>
      <c r="C34" s="56" t="n"/>
      <c r="D34" s="57" t="n"/>
      <c r="E34" s="57" t="n"/>
      <c r="F34" s="57" t="n"/>
      <c r="G34" s="57" t="n"/>
      <c r="H34" s="56" t="n"/>
      <c r="I34" s="57" t="n"/>
      <c r="J34" s="57" t="n"/>
      <c r="K34" s="56" t="n"/>
      <c r="L34" s="56" t="n"/>
      <c r="M34" s="56" t="n"/>
      <c r="N34" s="57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  <c r="Z34" s="56" t="n"/>
      <c r="AA34" s="56" t="n"/>
      <c r="AB34" s="56" t="n"/>
      <c r="AC34" s="56" t="n"/>
      <c r="AD34" s="56" t="n"/>
      <c r="AE34" s="56" t="n"/>
      <c r="AF34" s="56" t="n"/>
      <c r="AG34" s="56" t="n"/>
      <c r="AH34" s="56" t="n"/>
      <c r="AI34" s="56" t="n"/>
      <c r="AJ34" s="58">
        <f>IF(AD34="","",AE34+AF34+AG34+AH34)</f>
        <v/>
      </c>
      <c r="AK34" s="59">
        <f>IF(OR(AD34="",AD34=0),"",AJ34/AD34)</f>
        <v/>
      </c>
      <c r="AL34" s="59">
        <f>IF(OR(AD34="",AD34=0),"",AF34/AD34)</f>
        <v/>
      </c>
      <c r="AM34" s="60">
        <f>IF(OR(AO34="",AJ34="",AJ34=0),"",AO34/AJ34)</f>
        <v/>
      </c>
      <c r="AN34" s="60">
        <f>IF(OR(AO34="",AD34="",AD34=0),"",AO34/AD34*1000)</f>
        <v/>
      </c>
      <c r="AO34" s="61" t="n"/>
    </row>
    <row r="35">
      <c r="A35" s="55" t="n">
        <v>33</v>
      </c>
      <c r="B35" s="56" t="n"/>
      <c r="C35" s="56" t="n"/>
      <c r="D35" s="57" t="n"/>
      <c r="E35" s="57" t="n"/>
      <c r="F35" s="57" t="n"/>
      <c r="G35" s="57" t="n"/>
      <c r="H35" s="56" t="n"/>
      <c r="I35" s="57" t="n"/>
      <c r="J35" s="57" t="n"/>
      <c r="K35" s="56" t="n"/>
      <c r="L35" s="56" t="n"/>
      <c r="M35" s="56" t="n"/>
      <c r="N35" s="57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8">
        <f>IF(AD35="","",AE35+AF35+AG35+AH35)</f>
        <v/>
      </c>
      <c r="AK35" s="59">
        <f>IF(OR(AD35="",AD35=0),"",AJ35/AD35)</f>
        <v/>
      </c>
      <c r="AL35" s="59">
        <f>IF(OR(AD35="",AD35=0),"",AF35/AD35)</f>
        <v/>
      </c>
      <c r="AM35" s="60">
        <f>IF(OR(AO35="",AJ35="",AJ35=0),"",AO35/AJ35)</f>
        <v/>
      </c>
      <c r="AN35" s="60">
        <f>IF(OR(AO35="",AD35="",AD35=0),"",AO35/AD35*1000)</f>
        <v/>
      </c>
      <c r="AO35" s="61" t="n"/>
    </row>
    <row r="36">
      <c r="A36" s="55" t="n">
        <v>34</v>
      </c>
      <c r="B36" s="56" t="n"/>
      <c r="C36" s="56" t="n"/>
      <c r="D36" s="57" t="n"/>
      <c r="E36" s="57" t="n"/>
      <c r="F36" s="57" t="n"/>
      <c r="G36" s="57" t="n"/>
      <c r="H36" s="56" t="n"/>
      <c r="I36" s="57" t="n"/>
      <c r="J36" s="57" t="n"/>
      <c r="K36" s="56" t="n"/>
      <c r="L36" s="56" t="n"/>
      <c r="M36" s="56" t="n"/>
      <c r="N36" s="57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  <c r="Z36" s="56" t="n"/>
      <c r="AA36" s="56" t="n"/>
      <c r="AB36" s="56" t="n"/>
      <c r="AC36" s="56" t="n"/>
      <c r="AD36" s="56" t="n"/>
      <c r="AE36" s="56" t="n"/>
      <c r="AF36" s="56" t="n"/>
      <c r="AG36" s="56" t="n"/>
      <c r="AH36" s="56" t="n"/>
      <c r="AI36" s="56" t="n"/>
      <c r="AJ36" s="58">
        <f>IF(AD36="","",AE36+AF36+AG36+AH36)</f>
        <v/>
      </c>
      <c r="AK36" s="59">
        <f>IF(OR(AD36="",AD36=0),"",AJ36/AD36)</f>
        <v/>
      </c>
      <c r="AL36" s="59">
        <f>IF(OR(AD36="",AD36=0),"",AF36/AD36)</f>
        <v/>
      </c>
      <c r="AM36" s="60">
        <f>IF(OR(AO36="",AJ36="",AJ36=0),"",AO36/AJ36)</f>
        <v/>
      </c>
      <c r="AN36" s="60">
        <f>IF(OR(AO36="",AD36="",AD36=0),"",AO36/AD36*1000)</f>
        <v/>
      </c>
      <c r="AO36" s="61" t="n"/>
    </row>
    <row r="37">
      <c r="A37" s="55" t="n">
        <v>35</v>
      </c>
      <c r="B37" s="56" t="n"/>
      <c r="C37" s="56" t="n"/>
      <c r="D37" s="57" t="n"/>
      <c r="E37" s="57" t="n"/>
      <c r="F37" s="57" t="n"/>
      <c r="G37" s="57" t="n"/>
      <c r="H37" s="56" t="n"/>
      <c r="I37" s="57" t="n"/>
      <c r="J37" s="57" t="n"/>
      <c r="K37" s="56" t="n"/>
      <c r="L37" s="56" t="n"/>
      <c r="M37" s="56" t="n"/>
      <c r="N37" s="57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  <c r="AC37" s="56" t="n"/>
      <c r="AD37" s="56" t="n"/>
      <c r="AE37" s="56" t="n"/>
      <c r="AF37" s="56" t="n"/>
      <c r="AG37" s="56" t="n"/>
      <c r="AH37" s="56" t="n"/>
      <c r="AI37" s="56" t="n"/>
      <c r="AJ37" s="58">
        <f>IF(AD37="","",AE37+AF37+AG37+AH37)</f>
        <v/>
      </c>
      <c r="AK37" s="59">
        <f>IF(OR(AD37="",AD37=0),"",AJ37/AD37)</f>
        <v/>
      </c>
      <c r="AL37" s="59">
        <f>IF(OR(AD37="",AD37=0),"",AF37/AD37)</f>
        <v/>
      </c>
      <c r="AM37" s="60">
        <f>IF(OR(AO37="",AJ37="",AJ37=0),"",AO37/AJ37)</f>
        <v/>
      </c>
      <c r="AN37" s="60">
        <f>IF(OR(AO37="",AD37="",AD37=0),"",AO37/AD37*1000)</f>
        <v/>
      </c>
      <c r="AO37" s="61" t="n"/>
    </row>
    <row r="38">
      <c r="A38" s="55" t="n">
        <v>36</v>
      </c>
      <c r="B38" s="56" t="n"/>
      <c r="C38" s="56" t="n"/>
      <c r="D38" s="57" t="n"/>
      <c r="E38" s="57" t="n"/>
      <c r="F38" s="57" t="n"/>
      <c r="G38" s="57" t="n"/>
      <c r="H38" s="56" t="n"/>
      <c r="I38" s="57" t="n"/>
      <c r="J38" s="57" t="n"/>
      <c r="K38" s="56" t="n"/>
      <c r="L38" s="56" t="n"/>
      <c r="M38" s="56" t="n"/>
      <c r="N38" s="57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  <c r="AA38" s="56" t="n"/>
      <c r="AB38" s="56" t="n"/>
      <c r="AC38" s="56" t="n"/>
      <c r="AD38" s="56" t="n"/>
      <c r="AE38" s="56" t="n"/>
      <c r="AF38" s="56" t="n"/>
      <c r="AG38" s="56" t="n"/>
      <c r="AH38" s="56" t="n"/>
      <c r="AI38" s="56" t="n"/>
      <c r="AJ38" s="58">
        <f>IF(AD38="","",AE38+AF38+AG38+AH38)</f>
        <v/>
      </c>
      <c r="AK38" s="59">
        <f>IF(OR(AD38="",AD38=0),"",AJ38/AD38)</f>
        <v/>
      </c>
      <c r="AL38" s="59">
        <f>IF(OR(AD38="",AD38=0),"",AF38/AD38)</f>
        <v/>
      </c>
      <c r="AM38" s="60">
        <f>IF(OR(AO38="",AJ38="",AJ38=0),"",AO38/AJ38)</f>
        <v/>
      </c>
      <c r="AN38" s="60">
        <f>IF(OR(AO38="",AD38="",AD38=0),"",AO38/AD38*1000)</f>
        <v/>
      </c>
      <c r="AO38" s="61" t="n"/>
    </row>
    <row r="39">
      <c r="A39" s="55" t="n">
        <v>37</v>
      </c>
      <c r="B39" s="56" t="n"/>
      <c r="C39" s="56" t="n"/>
      <c r="D39" s="57" t="n"/>
      <c r="E39" s="57" t="n"/>
      <c r="F39" s="57" t="n"/>
      <c r="G39" s="57" t="n"/>
      <c r="H39" s="56" t="n"/>
      <c r="I39" s="57" t="n"/>
      <c r="J39" s="57" t="n"/>
      <c r="K39" s="56" t="n"/>
      <c r="L39" s="56" t="n"/>
      <c r="M39" s="56" t="n"/>
      <c r="N39" s="57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  <c r="AC39" s="56" t="n"/>
      <c r="AD39" s="56" t="n"/>
      <c r="AE39" s="56" t="n"/>
      <c r="AF39" s="56" t="n"/>
      <c r="AG39" s="56" t="n"/>
      <c r="AH39" s="56" t="n"/>
      <c r="AI39" s="56" t="n"/>
      <c r="AJ39" s="58">
        <f>IF(AD39="","",AE39+AF39+AG39+AH39)</f>
        <v/>
      </c>
      <c r="AK39" s="59">
        <f>IF(OR(AD39="",AD39=0),"",AJ39/AD39)</f>
        <v/>
      </c>
      <c r="AL39" s="59">
        <f>IF(OR(AD39="",AD39=0),"",AF39/AD39)</f>
        <v/>
      </c>
      <c r="AM39" s="60">
        <f>IF(OR(AO39="",AJ39="",AJ39=0),"",AO39/AJ39)</f>
        <v/>
      </c>
      <c r="AN39" s="60">
        <f>IF(OR(AO39="",AD39="",AD39=0),"",AO39/AD39*1000)</f>
        <v/>
      </c>
      <c r="AO39" s="61" t="n"/>
    </row>
    <row r="40">
      <c r="A40" s="55" t="n">
        <v>38</v>
      </c>
      <c r="B40" s="56" t="n"/>
      <c r="C40" s="56" t="n"/>
      <c r="D40" s="57" t="n"/>
      <c r="E40" s="57" t="n"/>
      <c r="F40" s="57" t="n"/>
      <c r="G40" s="57" t="n"/>
      <c r="H40" s="56" t="n"/>
      <c r="I40" s="57" t="n"/>
      <c r="J40" s="57" t="n"/>
      <c r="K40" s="56" t="n"/>
      <c r="L40" s="56" t="n"/>
      <c r="M40" s="56" t="n"/>
      <c r="N40" s="57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  <c r="AA40" s="56" t="n"/>
      <c r="AB40" s="56" t="n"/>
      <c r="AC40" s="56" t="n"/>
      <c r="AD40" s="56" t="n"/>
      <c r="AE40" s="56" t="n"/>
      <c r="AF40" s="56" t="n"/>
      <c r="AG40" s="56" t="n"/>
      <c r="AH40" s="56" t="n"/>
      <c r="AI40" s="56" t="n"/>
      <c r="AJ40" s="58">
        <f>IF(AD40="","",AE40+AF40+AG40+AH40)</f>
        <v/>
      </c>
      <c r="AK40" s="59">
        <f>IF(OR(AD40="",AD40=0),"",AJ40/AD40)</f>
        <v/>
      </c>
      <c r="AL40" s="59">
        <f>IF(OR(AD40="",AD40=0),"",AF40/AD40)</f>
        <v/>
      </c>
      <c r="AM40" s="60">
        <f>IF(OR(AO40="",AJ40="",AJ40=0),"",AO40/AJ40)</f>
        <v/>
      </c>
      <c r="AN40" s="60">
        <f>IF(OR(AO40="",AD40="",AD40=0),"",AO40/AD40*1000)</f>
        <v/>
      </c>
      <c r="AO40" s="61" t="n"/>
    </row>
    <row r="41">
      <c r="A41" s="55" t="n">
        <v>39</v>
      </c>
      <c r="B41" s="56" t="n"/>
      <c r="C41" s="56" t="n"/>
      <c r="D41" s="57" t="n"/>
      <c r="E41" s="57" t="n"/>
      <c r="F41" s="57" t="n"/>
      <c r="G41" s="57" t="n"/>
      <c r="H41" s="56" t="n"/>
      <c r="I41" s="57" t="n"/>
      <c r="J41" s="57" t="n"/>
      <c r="K41" s="56" t="n"/>
      <c r="L41" s="56" t="n"/>
      <c r="M41" s="56" t="n"/>
      <c r="N41" s="57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  <c r="AC41" s="56" t="n"/>
      <c r="AD41" s="56" t="n"/>
      <c r="AE41" s="56" t="n"/>
      <c r="AF41" s="56" t="n"/>
      <c r="AG41" s="56" t="n"/>
      <c r="AH41" s="56" t="n"/>
      <c r="AI41" s="56" t="n"/>
      <c r="AJ41" s="58">
        <f>IF(AD41="","",AE41+AF41+AG41+AH41)</f>
        <v/>
      </c>
      <c r="AK41" s="59">
        <f>IF(OR(AD41="",AD41=0),"",AJ41/AD41)</f>
        <v/>
      </c>
      <c r="AL41" s="59">
        <f>IF(OR(AD41="",AD41=0),"",AF41/AD41)</f>
        <v/>
      </c>
      <c r="AM41" s="60">
        <f>IF(OR(AO41="",AJ41="",AJ41=0),"",AO41/AJ41)</f>
        <v/>
      </c>
      <c r="AN41" s="60">
        <f>IF(OR(AO41="",AD41="",AD41=0),"",AO41/AD41*1000)</f>
        <v/>
      </c>
      <c r="AO41" s="61" t="n"/>
    </row>
    <row r="42">
      <c r="A42" s="55" t="n">
        <v>40</v>
      </c>
      <c r="B42" s="56" t="n"/>
      <c r="C42" s="56" t="n"/>
      <c r="D42" s="57" t="n"/>
      <c r="E42" s="57" t="n"/>
      <c r="F42" s="57" t="n"/>
      <c r="G42" s="57" t="n"/>
      <c r="H42" s="56" t="n"/>
      <c r="I42" s="57" t="n"/>
      <c r="J42" s="57" t="n"/>
      <c r="K42" s="56" t="n"/>
      <c r="L42" s="56" t="n"/>
      <c r="M42" s="56" t="n"/>
      <c r="N42" s="57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  <c r="AA42" s="56" t="n"/>
      <c r="AB42" s="56" t="n"/>
      <c r="AC42" s="56" t="n"/>
      <c r="AD42" s="56" t="n"/>
      <c r="AE42" s="56" t="n"/>
      <c r="AF42" s="56" t="n"/>
      <c r="AG42" s="56" t="n"/>
      <c r="AH42" s="56" t="n"/>
      <c r="AI42" s="56" t="n"/>
      <c r="AJ42" s="58">
        <f>IF(AD42="","",AE42+AF42+AG42+AH42)</f>
        <v/>
      </c>
      <c r="AK42" s="59">
        <f>IF(OR(AD42="",AD42=0),"",AJ42/AD42)</f>
        <v/>
      </c>
      <c r="AL42" s="59">
        <f>IF(OR(AD42="",AD42=0),"",AF42/AD42)</f>
        <v/>
      </c>
      <c r="AM42" s="60">
        <f>IF(OR(AO42="",AJ42="",AJ42=0),"",AO42/AJ42)</f>
        <v/>
      </c>
      <c r="AN42" s="60">
        <f>IF(OR(AO42="",AD42="",AD42=0),"",AO42/AD42*1000)</f>
        <v/>
      </c>
      <c r="AO42" s="61" t="n"/>
    </row>
  </sheetData>
  <mergeCells count="6">
    <mergeCell ref="A1:G1"/>
    <mergeCell ref="AJ1:AN1"/>
    <mergeCell ref="AC1:AI1"/>
    <mergeCell ref="O1:U1"/>
    <mergeCell ref="V1:AB1"/>
    <mergeCell ref="H1:N1"/>
  </mergeCells>
  <dataValidations count="4">
    <dataValidation sqref="B3:B42" showDropDown="0" showInputMessage="0" showErrorMessage="0" allowBlank="1" type="list">
      <formula1>选项!$A$2:$A$6</formula1>
    </dataValidation>
    <dataValidation sqref="G3:G42" showDropDown="0" showInputMessage="0" showErrorMessage="0" allowBlank="1" type="list">
      <formula1>选项!$M$2:$M$7</formula1>
    </dataValidation>
    <dataValidation sqref="L3:L42" showDropDown="0" showInputMessage="0" showErrorMessage="0" allowBlank="1" type="list">
      <formula1>选项!$H$2:$H$3</formula1>
    </dataValidation>
    <dataValidation sqref="M3:M42" showDropDown="0" showInputMessage="0" showErrorMessage="0" allowBlank="1" type="list">
      <formula1>选项!$I$2:$I$4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9E6B"/>
    <outlinePr summaryBelow="1" summaryRight="1"/>
    <pageSetUpPr/>
  </sheetPr>
  <dimension ref="A1:AE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16" customWidth="1" min="4" max="4"/>
    <col width="14" customWidth="1" min="5" max="5"/>
    <col width="8" customWidth="1" min="6" max="7"/>
    <col width="22" customWidth="1" min="8" max="8"/>
    <col width="16" customWidth="1" min="9" max="9"/>
    <col width="9" customWidth="1" min="10" max="10"/>
    <col width="8" customWidth="1" min="11" max="13"/>
    <col width="10" customWidth="1" min="14" max="14"/>
    <col width="9" customWidth="1" min="15" max="15"/>
    <col width="7" customWidth="1" min="16" max="18"/>
    <col width="10" customWidth="1" min="19" max="19"/>
    <col width="9" customWidth="1" min="20" max="20"/>
    <col width="7" customWidth="1" min="21" max="23"/>
    <col width="10" customWidth="1" min="24" max="24"/>
    <col width="9" customWidth="1" min="25" max="25"/>
    <col width="7" customWidth="1" min="26" max="28"/>
    <col width="8" customWidth="1" min="29" max="29"/>
    <col width="9" customWidth="1" min="30" max="30"/>
    <col width="16" customWidth="1" min="31" max="31"/>
  </cols>
  <sheetData>
    <row r="1" ht="20" customHeight="1">
      <c r="A1" s="40" t="inlineStr">
        <is>
          <t>素人笔记 · 基础</t>
        </is>
      </c>
      <c r="B1" s="41" t="n"/>
      <c r="C1" s="41" t="n"/>
      <c r="D1" s="41" t="n"/>
      <c r="E1" s="41" t="n"/>
      <c r="F1" s="41" t="n"/>
      <c r="G1" s="41" t="n"/>
      <c r="H1" s="41" t="n"/>
      <c r="I1" s="42" t="n"/>
      <c r="J1" s="43" t="inlineStr">
        <is>
          <t>发现时基线</t>
        </is>
      </c>
      <c r="K1" s="41" t="n"/>
      <c r="L1" s="41" t="n"/>
      <c r="M1" s="42" t="n"/>
      <c r="N1" s="44" t="inlineStr">
        <is>
          <t>观测① · 第1个月</t>
        </is>
      </c>
      <c r="O1" s="41" t="n"/>
      <c r="P1" s="41" t="n"/>
      <c r="Q1" s="41" t="n"/>
      <c r="R1" s="42" t="n"/>
      <c r="S1" s="45" t="inlineStr">
        <is>
          <t>观测② · 第2个月</t>
        </is>
      </c>
      <c r="T1" s="41" t="n"/>
      <c r="U1" s="41" t="n"/>
      <c r="V1" s="41" t="n"/>
      <c r="W1" s="42" t="n"/>
      <c r="X1" s="46" t="inlineStr">
        <is>
          <t>观测③ · 第3个月</t>
        </is>
      </c>
      <c r="Y1" s="41" t="n"/>
      <c r="Z1" s="41" t="n"/>
      <c r="AA1" s="41" t="n"/>
      <c r="AB1" s="42" t="n"/>
      <c r="AC1" s="47" t="inlineStr">
        <is>
          <t>留存结果（自动）</t>
        </is>
      </c>
      <c r="AD1" s="41" t="n"/>
      <c r="AE1" s="42" t="n"/>
    </row>
    <row r="2" ht="30" customHeight="1">
      <c r="A2" s="49" t="inlineStr">
        <is>
          <t>序号</t>
        </is>
      </c>
      <c r="B2" s="49" t="inlineStr">
        <is>
          <t>首次发现日</t>
        </is>
      </c>
      <c r="C2" s="49" t="inlineStr">
        <is>
          <t>素人账号昵称</t>
        </is>
      </c>
      <c r="D2" s="49" t="inlineStr">
        <is>
          <t>账号链接</t>
        </is>
      </c>
      <c r="E2" s="49" t="inlineStr">
        <is>
          <t>涉及产品</t>
        </is>
      </c>
      <c r="F2" s="49" t="inlineStr">
        <is>
          <t>内容形式</t>
        </is>
      </c>
      <c r="G2" s="49" t="inlineStr">
        <is>
          <t>情感倾向</t>
        </is>
      </c>
      <c r="H2" s="49" t="inlineStr">
        <is>
          <t>笔记标题</t>
        </is>
      </c>
      <c r="I2" s="49" t="inlineStr">
        <is>
          <t>笔记链接</t>
        </is>
      </c>
      <c r="J2" s="50" t="inlineStr">
        <is>
          <t>基线-曝光估</t>
        </is>
      </c>
      <c r="K2" s="50" t="inlineStr">
        <is>
          <t>基线-点赞</t>
        </is>
      </c>
      <c r="L2" s="50" t="inlineStr">
        <is>
          <t>基线-收藏</t>
        </is>
      </c>
      <c r="M2" s="50" t="inlineStr">
        <is>
          <t>基线-评论</t>
        </is>
      </c>
      <c r="N2" s="51" t="inlineStr">
        <is>
          <t>①观测日</t>
        </is>
      </c>
      <c r="O2" s="51" t="inlineStr">
        <is>
          <t>①状态</t>
        </is>
      </c>
      <c r="P2" s="51" t="inlineStr">
        <is>
          <t>①点赞</t>
        </is>
      </c>
      <c r="Q2" s="51" t="inlineStr">
        <is>
          <t>①收藏</t>
        </is>
      </c>
      <c r="R2" s="51" t="inlineStr">
        <is>
          <t>①评论</t>
        </is>
      </c>
      <c r="S2" s="51" t="inlineStr">
        <is>
          <t>②观测日</t>
        </is>
      </c>
      <c r="T2" s="51" t="inlineStr">
        <is>
          <t>②状态</t>
        </is>
      </c>
      <c r="U2" s="51" t="inlineStr">
        <is>
          <t>②点赞</t>
        </is>
      </c>
      <c r="V2" s="51" t="inlineStr">
        <is>
          <t>②收藏</t>
        </is>
      </c>
      <c r="W2" s="51" t="inlineStr">
        <is>
          <t>②评论</t>
        </is>
      </c>
      <c r="X2" s="52" t="inlineStr">
        <is>
          <t>③观测日</t>
        </is>
      </c>
      <c r="Y2" s="52" t="inlineStr">
        <is>
          <t>③状态</t>
        </is>
      </c>
      <c r="Z2" s="52" t="inlineStr">
        <is>
          <t>③点赞</t>
        </is>
      </c>
      <c r="AA2" s="52" t="inlineStr">
        <is>
          <t>③收藏</t>
        </is>
      </c>
      <c r="AB2" s="52" t="inlineStr">
        <is>
          <t>③评论</t>
        </is>
      </c>
      <c r="AC2" s="53" t="inlineStr">
        <is>
          <t>存活观测数</t>
        </is>
      </c>
      <c r="AD2" s="53" t="inlineStr">
        <is>
          <t>满3月留存</t>
        </is>
      </c>
      <c r="AE2" s="53" t="inlineStr">
        <is>
          <t>备注</t>
        </is>
      </c>
    </row>
    <row r="3">
      <c r="A3" s="55" t="n">
        <v>1</v>
      </c>
      <c r="B3" s="56" t="n"/>
      <c r="C3" s="57" t="n"/>
      <c r="D3" s="57" t="n"/>
      <c r="E3" s="57" t="n"/>
      <c r="F3" s="56" t="n"/>
      <c r="G3" s="56" t="n"/>
      <c r="H3" s="57" t="n"/>
      <c r="I3" s="57" t="n"/>
      <c r="J3" s="56" t="n"/>
      <c r="K3" s="56" t="n"/>
      <c r="L3" s="56" t="n"/>
      <c r="M3" s="56" t="n"/>
      <c r="N3" s="56" t="n"/>
      <c r="O3" s="56" t="n"/>
      <c r="P3" s="56" t="n"/>
      <c r="Q3" s="56" t="n"/>
      <c r="R3" s="56" t="n"/>
      <c r="S3" s="56" t="n"/>
      <c r="T3" s="56" t="n"/>
      <c r="U3" s="56" t="n"/>
      <c r="V3" s="56" t="n"/>
      <c r="W3" s="56" t="n"/>
      <c r="X3" s="56" t="n"/>
      <c r="Y3" s="56" t="n"/>
      <c r="Z3" s="56" t="n"/>
      <c r="AA3" s="56" t="n"/>
      <c r="AB3" s="56" t="n"/>
      <c r="AC3" s="58">
        <f>IF(O3="","",IF(O3="在",1,0)+IF(T3="在",1,0)+IF(Y3="在",1,0))</f>
        <v/>
      </c>
      <c r="AD3" s="58">
        <f>IF(Y3="在","是",IF(OR(O3="",T3="",Y3=""),"观测中","否"))</f>
        <v/>
      </c>
      <c r="AE3" s="57" t="n"/>
    </row>
    <row r="4">
      <c r="A4" s="55" t="n">
        <v>2</v>
      </c>
      <c r="B4" s="56" t="n"/>
      <c r="C4" s="57" t="n"/>
      <c r="D4" s="57" t="n"/>
      <c r="E4" s="57" t="n"/>
      <c r="F4" s="56" t="n"/>
      <c r="G4" s="56" t="n"/>
      <c r="H4" s="57" t="n"/>
      <c r="I4" s="57" t="n"/>
      <c r="J4" s="56" t="n"/>
      <c r="K4" s="56" t="n"/>
      <c r="L4" s="56" t="n"/>
      <c r="M4" s="56" t="n"/>
      <c r="N4" s="56" t="n"/>
      <c r="O4" s="56" t="n"/>
      <c r="P4" s="56" t="n"/>
      <c r="Q4" s="56" t="n"/>
      <c r="R4" s="56" t="n"/>
      <c r="S4" s="56" t="n"/>
      <c r="T4" s="56" t="n"/>
      <c r="U4" s="56" t="n"/>
      <c r="V4" s="56" t="n"/>
      <c r="W4" s="56" t="n"/>
      <c r="X4" s="56" t="n"/>
      <c r="Y4" s="56" t="n"/>
      <c r="Z4" s="56" t="n"/>
      <c r="AA4" s="56" t="n"/>
      <c r="AB4" s="56" t="n"/>
      <c r="AC4" s="58">
        <f>IF(O4="","",IF(O4="在",1,0)+IF(T4="在",1,0)+IF(Y4="在",1,0))</f>
        <v/>
      </c>
      <c r="AD4" s="58">
        <f>IF(Y4="在","是",IF(OR(O4="",T4="",Y4=""),"观测中","否"))</f>
        <v/>
      </c>
      <c r="AE4" s="57" t="n"/>
    </row>
    <row r="5">
      <c r="A5" s="55" t="n">
        <v>3</v>
      </c>
      <c r="B5" s="56" t="n"/>
      <c r="C5" s="57" t="n"/>
      <c r="D5" s="57" t="n"/>
      <c r="E5" s="57" t="n"/>
      <c r="F5" s="56" t="n"/>
      <c r="G5" s="56" t="n"/>
      <c r="H5" s="57" t="n"/>
      <c r="I5" s="57" t="n"/>
      <c r="J5" s="56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  <c r="Z5" s="56" t="n"/>
      <c r="AA5" s="56" t="n"/>
      <c r="AB5" s="56" t="n"/>
      <c r="AC5" s="58">
        <f>IF(O5="","",IF(O5="在",1,0)+IF(T5="在",1,0)+IF(Y5="在",1,0))</f>
        <v/>
      </c>
      <c r="AD5" s="58">
        <f>IF(Y5="在","是",IF(OR(O5="",T5="",Y5=""),"观测中","否"))</f>
        <v/>
      </c>
      <c r="AE5" s="57" t="n"/>
    </row>
    <row r="6">
      <c r="A6" s="55" t="n">
        <v>4</v>
      </c>
      <c r="B6" s="56" t="n"/>
      <c r="C6" s="57" t="n"/>
      <c r="D6" s="57" t="n"/>
      <c r="E6" s="57" t="n"/>
      <c r="F6" s="56" t="n"/>
      <c r="G6" s="56" t="n"/>
      <c r="H6" s="57" t="n"/>
      <c r="I6" s="57" t="n"/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56" t="n"/>
      <c r="W6" s="56" t="n"/>
      <c r="X6" s="56" t="n"/>
      <c r="Y6" s="56" t="n"/>
      <c r="Z6" s="56" t="n"/>
      <c r="AA6" s="56" t="n"/>
      <c r="AB6" s="56" t="n"/>
      <c r="AC6" s="58">
        <f>IF(O6="","",IF(O6="在",1,0)+IF(T6="在",1,0)+IF(Y6="在",1,0))</f>
        <v/>
      </c>
      <c r="AD6" s="58">
        <f>IF(Y6="在","是",IF(OR(O6="",T6="",Y6=""),"观测中","否"))</f>
        <v/>
      </c>
      <c r="AE6" s="57" t="n"/>
    </row>
    <row r="7">
      <c r="A7" s="55" t="n">
        <v>5</v>
      </c>
      <c r="B7" s="56" t="n"/>
      <c r="C7" s="57" t="n"/>
      <c r="D7" s="57" t="n"/>
      <c r="E7" s="57" t="n"/>
      <c r="F7" s="56" t="n"/>
      <c r="G7" s="56" t="n"/>
      <c r="H7" s="57" t="n"/>
      <c r="I7" s="57" t="n"/>
      <c r="J7" s="56" t="n"/>
      <c r="K7" s="56" t="n"/>
      <c r="L7" s="56" t="n"/>
      <c r="M7" s="56" t="n"/>
      <c r="N7" s="56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  <c r="Y7" s="56" t="n"/>
      <c r="Z7" s="56" t="n"/>
      <c r="AA7" s="56" t="n"/>
      <c r="AB7" s="56" t="n"/>
      <c r="AC7" s="58">
        <f>IF(O7="","",IF(O7="在",1,0)+IF(T7="在",1,0)+IF(Y7="在",1,0))</f>
        <v/>
      </c>
      <c r="AD7" s="58">
        <f>IF(Y7="在","是",IF(OR(O7="",T7="",Y7=""),"观测中","否"))</f>
        <v/>
      </c>
      <c r="AE7" s="57" t="n"/>
    </row>
    <row r="8">
      <c r="A8" s="55" t="n">
        <v>6</v>
      </c>
      <c r="B8" s="56" t="n"/>
      <c r="C8" s="57" t="n"/>
      <c r="D8" s="57" t="n"/>
      <c r="E8" s="57" t="n"/>
      <c r="F8" s="56" t="n"/>
      <c r="G8" s="56" t="n"/>
      <c r="H8" s="57" t="n"/>
      <c r="I8" s="57" t="n"/>
      <c r="J8" s="56" t="n"/>
      <c r="K8" s="56" t="n"/>
      <c r="L8" s="56" t="n"/>
      <c r="M8" s="56" t="n"/>
      <c r="N8" s="56" t="n"/>
      <c r="O8" s="56" t="n"/>
      <c r="P8" s="56" t="n"/>
      <c r="Q8" s="56" t="n"/>
      <c r="R8" s="56" t="n"/>
      <c r="S8" s="56" t="n"/>
      <c r="T8" s="56" t="n"/>
      <c r="U8" s="56" t="n"/>
      <c r="V8" s="56" t="n"/>
      <c r="W8" s="56" t="n"/>
      <c r="X8" s="56" t="n"/>
      <c r="Y8" s="56" t="n"/>
      <c r="Z8" s="56" t="n"/>
      <c r="AA8" s="56" t="n"/>
      <c r="AB8" s="56" t="n"/>
      <c r="AC8" s="58">
        <f>IF(O8="","",IF(O8="在",1,0)+IF(T8="在",1,0)+IF(Y8="在",1,0))</f>
        <v/>
      </c>
      <c r="AD8" s="58">
        <f>IF(Y8="在","是",IF(OR(O8="",T8="",Y8=""),"观测中","否"))</f>
        <v/>
      </c>
      <c r="AE8" s="57" t="n"/>
    </row>
    <row r="9">
      <c r="A9" s="55" t="n">
        <v>7</v>
      </c>
      <c r="B9" s="56" t="n"/>
      <c r="C9" s="57" t="n"/>
      <c r="D9" s="57" t="n"/>
      <c r="E9" s="57" t="n"/>
      <c r="F9" s="56" t="n"/>
      <c r="G9" s="56" t="n"/>
      <c r="H9" s="57" t="n"/>
      <c r="I9" s="57" t="n"/>
      <c r="J9" s="56" t="n"/>
      <c r="K9" s="56" t="n"/>
      <c r="L9" s="56" t="n"/>
      <c r="M9" s="56" t="n"/>
      <c r="N9" s="56" t="n"/>
      <c r="O9" s="56" t="n"/>
      <c r="P9" s="56" t="n"/>
      <c r="Q9" s="56" t="n"/>
      <c r="R9" s="56" t="n"/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  <c r="AC9" s="58">
        <f>IF(O9="","",IF(O9="在",1,0)+IF(T9="在",1,0)+IF(Y9="在",1,0))</f>
        <v/>
      </c>
      <c r="AD9" s="58">
        <f>IF(Y9="在","是",IF(OR(O9="",T9="",Y9=""),"观测中","否"))</f>
        <v/>
      </c>
      <c r="AE9" s="57" t="n"/>
    </row>
    <row r="10">
      <c r="A10" s="55" t="n">
        <v>8</v>
      </c>
      <c r="B10" s="56" t="n"/>
      <c r="C10" s="57" t="n"/>
      <c r="D10" s="57" t="n"/>
      <c r="E10" s="57" t="n"/>
      <c r="F10" s="56" t="n"/>
      <c r="G10" s="56" t="n"/>
      <c r="H10" s="57" t="n"/>
      <c r="I10" s="57" t="n"/>
      <c r="J10" s="56" t="n"/>
      <c r="K10" s="56" t="n"/>
      <c r="L10" s="56" t="n"/>
      <c r="M10" s="56" t="n"/>
      <c r="N10" s="56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  <c r="Z10" s="56" t="n"/>
      <c r="AA10" s="56" t="n"/>
      <c r="AB10" s="56" t="n"/>
      <c r="AC10" s="58">
        <f>IF(O10="","",IF(O10="在",1,0)+IF(T10="在",1,0)+IF(Y10="在",1,0))</f>
        <v/>
      </c>
      <c r="AD10" s="58">
        <f>IF(Y10="在","是",IF(OR(O10="",T10="",Y10=""),"观测中","否"))</f>
        <v/>
      </c>
      <c r="AE10" s="57" t="n"/>
    </row>
    <row r="11">
      <c r="A11" s="55" t="n">
        <v>9</v>
      </c>
      <c r="B11" s="56" t="n"/>
      <c r="C11" s="57" t="n"/>
      <c r="D11" s="57" t="n"/>
      <c r="E11" s="57" t="n"/>
      <c r="F11" s="56" t="n"/>
      <c r="G11" s="56" t="n"/>
      <c r="H11" s="57" t="n"/>
      <c r="I11" s="57" t="n"/>
      <c r="J11" s="56" t="n"/>
      <c r="K11" s="56" t="n"/>
      <c r="L11" s="56" t="n"/>
      <c r="M11" s="56" t="n"/>
      <c r="N11" s="56" t="n"/>
      <c r="O11" s="56" t="n"/>
      <c r="P11" s="56" t="n"/>
      <c r="Q11" s="56" t="n"/>
      <c r="R11" s="56" t="n"/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  <c r="AC11" s="58">
        <f>IF(O11="","",IF(O11="在",1,0)+IF(T11="在",1,0)+IF(Y11="在",1,0))</f>
        <v/>
      </c>
      <c r="AD11" s="58">
        <f>IF(Y11="在","是",IF(OR(O11="",T11="",Y11=""),"观测中","否"))</f>
        <v/>
      </c>
      <c r="AE11" s="57" t="n"/>
    </row>
    <row r="12">
      <c r="A12" s="55" t="n">
        <v>10</v>
      </c>
      <c r="B12" s="56" t="n"/>
      <c r="C12" s="57" t="n"/>
      <c r="D12" s="57" t="n"/>
      <c r="E12" s="57" t="n"/>
      <c r="F12" s="56" t="n"/>
      <c r="G12" s="56" t="n"/>
      <c r="H12" s="57" t="n"/>
      <c r="I12" s="57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  <c r="Z12" s="56" t="n"/>
      <c r="AA12" s="56" t="n"/>
      <c r="AB12" s="56" t="n"/>
      <c r="AC12" s="58">
        <f>IF(O12="","",IF(O12="在",1,0)+IF(T12="在",1,0)+IF(Y12="在",1,0))</f>
        <v/>
      </c>
      <c r="AD12" s="58">
        <f>IF(Y12="在","是",IF(OR(O12="",T12="",Y12=""),"观测中","否"))</f>
        <v/>
      </c>
      <c r="AE12" s="57" t="n"/>
    </row>
    <row r="13">
      <c r="A13" s="55" t="n">
        <v>11</v>
      </c>
      <c r="B13" s="56" t="n"/>
      <c r="C13" s="57" t="n"/>
      <c r="D13" s="57" t="n"/>
      <c r="E13" s="57" t="n"/>
      <c r="F13" s="56" t="n"/>
      <c r="G13" s="56" t="n"/>
      <c r="H13" s="57" t="n"/>
      <c r="I13" s="57" t="n"/>
      <c r="J13" s="56" t="n"/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  <c r="AC13" s="58">
        <f>IF(O13="","",IF(O13="在",1,0)+IF(T13="在",1,0)+IF(Y13="在",1,0))</f>
        <v/>
      </c>
      <c r="AD13" s="58">
        <f>IF(Y13="在","是",IF(OR(O13="",T13="",Y13=""),"观测中","否"))</f>
        <v/>
      </c>
      <c r="AE13" s="57" t="n"/>
    </row>
    <row r="14">
      <c r="A14" s="55" t="n">
        <v>12</v>
      </c>
      <c r="B14" s="56" t="n"/>
      <c r="C14" s="57" t="n"/>
      <c r="D14" s="57" t="n"/>
      <c r="E14" s="57" t="n"/>
      <c r="F14" s="56" t="n"/>
      <c r="G14" s="56" t="n"/>
      <c r="H14" s="57" t="n"/>
      <c r="I14" s="57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  <c r="Z14" s="56" t="n"/>
      <c r="AA14" s="56" t="n"/>
      <c r="AB14" s="56" t="n"/>
      <c r="AC14" s="58">
        <f>IF(O14="","",IF(O14="在",1,0)+IF(T14="在",1,0)+IF(Y14="在",1,0))</f>
        <v/>
      </c>
      <c r="AD14" s="58">
        <f>IF(Y14="在","是",IF(OR(O14="",T14="",Y14=""),"观测中","否"))</f>
        <v/>
      </c>
      <c r="AE14" s="57" t="n"/>
    </row>
    <row r="15">
      <c r="A15" s="55" t="n">
        <v>13</v>
      </c>
      <c r="B15" s="56" t="n"/>
      <c r="C15" s="57" t="n"/>
      <c r="D15" s="57" t="n"/>
      <c r="E15" s="57" t="n"/>
      <c r="F15" s="56" t="n"/>
      <c r="G15" s="56" t="n"/>
      <c r="H15" s="57" t="n"/>
      <c r="I15" s="57" t="n"/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  <c r="AC15" s="58">
        <f>IF(O15="","",IF(O15="在",1,0)+IF(T15="在",1,0)+IF(Y15="在",1,0))</f>
        <v/>
      </c>
      <c r="AD15" s="58">
        <f>IF(Y15="在","是",IF(OR(O15="",T15="",Y15=""),"观测中","否"))</f>
        <v/>
      </c>
      <c r="AE15" s="57" t="n"/>
    </row>
    <row r="16">
      <c r="A16" s="55" t="n">
        <v>14</v>
      </c>
      <c r="B16" s="56" t="n"/>
      <c r="C16" s="57" t="n"/>
      <c r="D16" s="57" t="n"/>
      <c r="E16" s="57" t="n"/>
      <c r="F16" s="56" t="n"/>
      <c r="G16" s="56" t="n"/>
      <c r="H16" s="57" t="n"/>
      <c r="I16" s="57" t="n"/>
      <c r="J16" s="56" t="n"/>
      <c r="K16" s="56" t="n"/>
      <c r="L16" s="56" t="n"/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6" t="n"/>
      <c r="X16" s="56" t="n"/>
      <c r="Y16" s="56" t="n"/>
      <c r="Z16" s="56" t="n"/>
      <c r="AA16" s="56" t="n"/>
      <c r="AB16" s="56" t="n"/>
      <c r="AC16" s="58">
        <f>IF(O16="","",IF(O16="在",1,0)+IF(T16="在",1,0)+IF(Y16="在",1,0))</f>
        <v/>
      </c>
      <c r="AD16" s="58">
        <f>IF(Y16="在","是",IF(OR(O16="",T16="",Y16=""),"观测中","否"))</f>
        <v/>
      </c>
      <c r="AE16" s="57" t="n"/>
    </row>
    <row r="17">
      <c r="A17" s="55" t="n">
        <v>15</v>
      </c>
      <c r="B17" s="56" t="n"/>
      <c r="C17" s="57" t="n"/>
      <c r="D17" s="57" t="n"/>
      <c r="E17" s="57" t="n"/>
      <c r="F17" s="56" t="n"/>
      <c r="G17" s="56" t="n"/>
      <c r="H17" s="57" t="n"/>
      <c r="I17" s="57" t="n"/>
      <c r="J17" s="56" t="n"/>
      <c r="K17" s="56" t="n"/>
      <c r="L17" s="56" t="n"/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  <c r="AC17" s="58">
        <f>IF(O17="","",IF(O17="在",1,0)+IF(T17="在",1,0)+IF(Y17="在",1,0))</f>
        <v/>
      </c>
      <c r="AD17" s="58">
        <f>IF(Y17="在","是",IF(OR(O17="",T17="",Y17=""),"观测中","否"))</f>
        <v/>
      </c>
      <c r="AE17" s="57" t="n"/>
    </row>
    <row r="18">
      <c r="A18" s="55" t="n">
        <v>16</v>
      </c>
      <c r="B18" s="56" t="n"/>
      <c r="C18" s="57" t="n"/>
      <c r="D18" s="57" t="n"/>
      <c r="E18" s="57" t="n"/>
      <c r="F18" s="56" t="n"/>
      <c r="G18" s="56" t="n"/>
      <c r="H18" s="57" t="n"/>
      <c r="I18" s="57" t="n"/>
      <c r="J18" s="56" t="n"/>
      <c r="K18" s="56" t="n"/>
      <c r="L18" s="56" t="n"/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6" t="n"/>
      <c r="X18" s="56" t="n"/>
      <c r="Y18" s="56" t="n"/>
      <c r="Z18" s="56" t="n"/>
      <c r="AA18" s="56" t="n"/>
      <c r="AB18" s="56" t="n"/>
      <c r="AC18" s="58">
        <f>IF(O18="","",IF(O18="在",1,0)+IF(T18="在",1,0)+IF(Y18="在",1,0))</f>
        <v/>
      </c>
      <c r="AD18" s="58">
        <f>IF(Y18="在","是",IF(OR(O18="",T18="",Y18=""),"观测中","否"))</f>
        <v/>
      </c>
      <c r="AE18" s="57" t="n"/>
    </row>
    <row r="19">
      <c r="A19" s="55" t="n">
        <v>17</v>
      </c>
      <c r="B19" s="56" t="n"/>
      <c r="C19" s="57" t="n"/>
      <c r="D19" s="57" t="n"/>
      <c r="E19" s="57" t="n"/>
      <c r="F19" s="56" t="n"/>
      <c r="G19" s="56" t="n"/>
      <c r="H19" s="57" t="n"/>
      <c r="I19" s="57" t="n"/>
      <c r="J19" s="56" t="n"/>
      <c r="K19" s="56" t="n"/>
      <c r="L19" s="56" t="n"/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  <c r="AC19" s="58">
        <f>IF(O19="","",IF(O19="在",1,0)+IF(T19="在",1,0)+IF(Y19="在",1,0))</f>
        <v/>
      </c>
      <c r="AD19" s="58">
        <f>IF(Y19="在","是",IF(OR(O19="",T19="",Y19=""),"观测中","否"))</f>
        <v/>
      </c>
      <c r="AE19" s="57" t="n"/>
    </row>
    <row r="20">
      <c r="A20" s="55" t="n">
        <v>18</v>
      </c>
      <c r="B20" s="56" t="n"/>
      <c r="C20" s="57" t="n"/>
      <c r="D20" s="57" t="n"/>
      <c r="E20" s="57" t="n"/>
      <c r="F20" s="56" t="n"/>
      <c r="G20" s="56" t="n"/>
      <c r="H20" s="57" t="n"/>
      <c r="I20" s="57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  <c r="Y20" s="56" t="n"/>
      <c r="Z20" s="56" t="n"/>
      <c r="AA20" s="56" t="n"/>
      <c r="AB20" s="56" t="n"/>
      <c r="AC20" s="58">
        <f>IF(O20="","",IF(O20="在",1,0)+IF(T20="在",1,0)+IF(Y20="在",1,0))</f>
        <v/>
      </c>
      <c r="AD20" s="58">
        <f>IF(Y20="在","是",IF(OR(O20="",T20="",Y20=""),"观测中","否"))</f>
        <v/>
      </c>
      <c r="AE20" s="57" t="n"/>
    </row>
    <row r="21">
      <c r="A21" s="55" t="n">
        <v>19</v>
      </c>
      <c r="B21" s="56" t="n"/>
      <c r="C21" s="57" t="n"/>
      <c r="D21" s="57" t="n"/>
      <c r="E21" s="57" t="n"/>
      <c r="F21" s="56" t="n"/>
      <c r="G21" s="56" t="n"/>
      <c r="H21" s="57" t="n"/>
      <c r="I21" s="57" t="n"/>
      <c r="J21" s="56" t="n"/>
      <c r="K21" s="56" t="n"/>
      <c r="L21" s="56" t="n"/>
      <c r="M21" s="56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  <c r="AC21" s="58">
        <f>IF(O21="","",IF(O21="在",1,0)+IF(T21="在",1,0)+IF(Y21="在",1,0))</f>
        <v/>
      </c>
      <c r="AD21" s="58">
        <f>IF(Y21="在","是",IF(OR(O21="",T21="",Y21=""),"观测中","否"))</f>
        <v/>
      </c>
      <c r="AE21" s="57" t="n"/>
    </row>
    <row r="22">
      <c r="A22" s="55" t="n">
        <v>20</v>
      </c>
      <c r="B22" s="56" t="n"/>
      <c r="C22" s="57" t="n"/>
      <c r="D22" s="57" t="n"/>
      <c r="E22" s="57" t="n"/>
      <c r="F22" s="56" t="n"/>
      <c r="G22" s="56" t="n"/>
      <c r="H22" s="57" t="n"/>
      <c r="I22" s="57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  <c r="Z22" s="56" t="n"/>
      <c r="AA22" s="56" t="n"/>
      <c r="AB22" s="56" t="n"/>
      <c r="AC22" s="58">
        <f>IF(O22="","",IF(O22="在",1,0)+IF(T22="在",1,0)+IF(Y22="在",1,0))</f>
        <v/>
      </c>
      <c r="AD22" s="58">
        <f>IF(Y22="在","是",IF(OR(O22="",T22="",Y22=""),"观测中","否"))</f>
        <v/>
      </c>
      <c r="AE22" s="57" t="n"/>
    </row>
    <row r="23">
      <c r="A23" s="55" t="n">
        <v>21</v>
      </c>
      <c r="B23" s="56" t="n"/>
      <c r="C23" s="57" t="n"/>
      <c r="D23" s="57" t="n"/>
      <c r="E23" s="57" t="n"/>
      <c r="F23" s="56" t="n"/>
      <c r="G23" s="56" t="n"/>
      <c r="H23" s="57" t="n"/>
      <c r="I23" s="57" t="n"/>
      <c r="J23" s="56" t="n"/>
      <c r="K23" s="56" t="n"/>
      <c r="L23" s="56" t="n"/>
      <c r="M23" s="56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  <c r="AC23" s="58">
        <f>IF(O23="","",IF(O23="在",1,0)+IF(T23="在",1,0)+IF(Y23="在",1,0))</f>
        <v/>
      </c>
      <c r="AD23" s="58">
        <f>IF(Y23="在","是",IF(OR(O23="",T23="",Y23=""),"观测中","否"))</f>
        <v/>
      </c>
      <c r="AE23" s="57" t="n"/>
    </row>
    <row r="24">
      <c r="A24" s="55" t="n">
        <v>22</v>
      </c>
      <c r="B24" s="56" t="n"/>
      <c r="C24" s="57" t="n"/>
      <c r="D24" s="57" t="n"/>
      <c r="E24" s="57" t="n"/>
      <c r="F24" s="56" t="n"/>
      <c r="G24" s="56" t="n"/>
      <c r="H24" s="57" t="n"/>
      <c r="I24" s="57" t="n"/>
      <c r="J24" s="56" t="n"/>
      <c r="K24" s="56" t="n"/>
      <c r="L24" s="56" t="n"/>
      <c r="M24" s="56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  <c r="Z24" s="56" t="n"/>
      <c r="AA24" s="56" t="n"/>
      <c r="AB24" s="56" t="n"/>
      <c r="AC24" s="58">
        <f>IF(O24="","",IF(O24="在",1,0)+IF(T24="在",1,0)+IF(Y24="在",1,0))</f>
        <v/>
      </c>
      <c r="AD24" s="58">
        <f>IF(Y24="在","是",IF(OR(O24="",T24="",Y24=""),"观测中","否"))</f>
        <v/>
      </c>
      <c r="AE24" s="57" t="n"/>
    </row>
    <row r="25">
      <c r="A25" s="55" t="n">
        <v>23</v>
      </c>
      <c r="B25" s="56" t="n"/>
      <c r="C25" s="57" t="n"/>
      <c r="D25" s="57" t="n"/>
      <c r="E25" s="57" t="n"/>
      <c r="F25" s="56" t="n"/>
      <c r="G25" s="56" t="n"/>
      <c r="H25" s="57" t="n"/>
      <c r="I25" s="57" t="n"/>
      <c r="J25" s="56" t="n"/>
      <c r="K25" s="56" t="n"/>
      <c r="L25" s="56" t="n"/>
      <c r="M25" s="56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  <c r="AC25" s="58">
        <f>IF(O25="","",IF(O25="在",1,0)+IF(T25="在",1,0)+IF(Y25="在",1,0))</f>
        <v/>
      </c>
      <c r="AD25" s="58">
        <f>IF(Y25="在","是",IF(OR(O25="",T25="",Y25=""),"观测中","否"))</f>
        <v/>
      </c>
      <c r="AE25" s="57" t="n"/>
    </row>
    <row r="26">
      <c r="A26" s="55" t="n">
        <v>24</v>
      </c>
      <c r="B26" s="56" t="n"/>
      <c r="C26" s="57" t="n"/>
      <c r="D26" s="57" t="n"/>
      <c r="E26" s="57" t="n"/>
      <c r="F26" s="56" t="n"/>
      <c r="G26" s="56" t="n"/>
      <c r="H26" s="57" t="n"/>
      <c r="I26" s="57" t="n"/>
      <c r="J26" s="56" t="n"/>
      <c r="K26" s="56" t="n"/>
      <c r="L26" s="56" t="n"/>
      <c r="M26" s="56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  <c r="Z26" s="56" t="n"/>
      <c r="AA26" s="56" t="n"/>
      <c r="AB26" s="56" t="n"/>
      <c r="AC26" s="58">
        <f>IF(O26="","",IF(O26="在",1,0)+IF(T26="在",1,0)+IF(Y26="在",1,0))</f>
        <v/>
      </c>
      <c r="AD26" s="58">
        <f>IF(Y26="在","是",IF(OR(O26="",T26="",Y26=""),"观测中","否"))</f>
        <v/>
      </c>
      <c r="AE26" s="57" t="n"/>
    </row>
    <row r="27">
      <c r="A27" s="55" t="n">
        <v>25</v>
      </c>
      <c r="B27" s="56" t="n"/>
      <c r="C27" s="57" t="n"/>
      <c r="D27" s="57" t="n"/>
      <c r="E27" s="57" t="n"/>
      <c r="F27" s="56" t="n"/>
      <c r="G27" s="56" t="n"/>
      <c r="H27" s="57" t="n"/>
      <c r="I27" s="57" t="n"/>
      <c r="J27" s="56" t="n"/>
      <c r="K27" s="56" t="n"/>
      <c r="L27" s="56" t="n"/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  <c r="AC27" s="58">
        <f>IF(O27="","",IF(O27="在",1,0)+IF(T27="在",1,0)+IF(Y27="在",1,0))</f>
        <v/>
      </c>
      <c r="AD27" s="58">
        <f>IF(Y27="在","是",IF(OR(O27="",T27="",Y27=""),"观测中","否"))</f>
        <v/>
      </c>
      <c r="AE27" s="57" t="n"/>
    </row>
    <row r="28">
      <c r="A28" s="55" t="n">
        <v>26</v>
      </c>
      <c r="B28" s="56" t="n"/>
      <c r="C28" s="57" t="n"/>
      <c r="D28" s="57" t="n"/>
      <c r="E28" s="57" t="n"/>
      <c r="F28" s="56" t="n"/>
      <c r="G28" s="56" t="n"/>
      <c r="H28" s="57" t="n"/>
      <c r="I28" s="57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  <c r="Z28" s="56" t="n"/>
      <c r="AA28" s="56" t="n"/>
      <c r="AB28" s="56" t="n"/>
      <c r="AC28" s="58">
        <f>IF(O28="","",IF(O28="在",1,0)+IF(T28="在",1,0)+IF(Y28="在",1,0))</f>
        <v/>
      </c>
      <c r="AD28" s="58">
        <f>IF(Y28="在","是",IF(OR(O28="",T28="",Y28=""),"观测中","否"))</f>
        <v/>
      </c>
      <c r="AE28" s="57" t="n"/>
    </row>
    <row r="29">
      <c r="A29" s="55" t="n">
        <v>27</v>
      </c>
      <c r="B29" s="56" t="n"/>
      <c r="C29" s="57" t="n"/>
      <c r="D29" s="57" t="n"/>
      <c r="E29" s="57" t="n"/>
      <c r="F29" s="56" t="n"/>
      <c r="G29" s="56" t="n"/>
      <c r="H29" s="57" t="n"/>
      <c r="I29" s="57" t="n"/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  <c r="AC29" s="58">
        <f>IF(O29="","",IF(O29="在",1,0)+IF(T29="在",1,0)+IF(Y29="在",1,0))</f>
        <v/>
      </c>
      <c r="AD29" s="58">
        <f>IF(Y29="在","是",IF(OR(O29="",T29="",Y29=""),"观测中","否"))</f>
        <v/>
      </c>
      <c r="AE29" s="57" t="n"/>
    </row>
    <row r="30">
      <c r="A30" s="55" t="n">
        <v>28</v>
      </c>
      <c r="B30" s="56" t="n"/>
      <c r="C30" s="57" t="n"/>
      <c r="D30" s="57" t="n"/>
      <c r="E30" s="57" t="n"/>
      <c r="F30" s="56" t="n"/>
      <c r="G30" s="56" t="n"/>
      <c r="H30" s="57" t="n"/>
      <c r="I30" s="57" t="n"/>
      <c r="J30" s="56" t="n"/>
      <c r="K30" s="56" t="n"/>
      <c r="L30" s="56" t="n"/>
      <c r="M30" s="56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  <c r="Z30" s="56" t="n"/>
      <c r="AA30" s="56" t="n"/>
      <c r="AB30" s="56" t="n"/>
      <c r="AC30" s="58">
        <f>IF(O30="","",IF(O30="在",1,0)+IF(T30="在",1,0)+IF(Y30="在",1,0))</f>
        <v/>
      </c>
      <c r="AD30" s="58">
        <f>IF(Y30="在","是",IF(OR(O30="",T30="",Y30=""),"观测中","否"))</f>
        <v/>
      </c>
      <c r="AE30" s="57" t="n"/>
    </row>
    <row r="31">
      <c r="A31" s="55" t="n">
        <v>29</v>
      </c>
      <c r="B31" s="56" t="n"/>
      <c r="C31" s="57" t="n"/>
      <c r="D31" s="57" t="n"/>
      <c r="E31" s="57" t="n"/>
      <c r="F31" s="56" t="n"/>
      <c r="G31" s="56" t="n"/>
      <c r="H31" s="57" t="n"/>
      <c r="I31" s="57" t="n"/>
      <c r="J31" s="56" t="n"/>
      <c r="K31" s="56" t="n"/>
      <c r="L31" s="56" t="n"/>
      <c r="M31" s="56" t="n"/>
      <c r="N31" s="56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  <c r="AC31" s="58">
        <f>IF(O31="","",IF(O31="在",1,0)+IF(T31="在",1,0)+IF(Y31="在",1,0))</f>
        <v/>
      </c>
      <c r="AD31" s="58">
        <f>IF(Y31="在","是",IF(OR(O31="",T31="",Y31=""),"观测中","否"))</f>
        <v/>
      </c>
      <c r="AE31" s="57" t="n"/>
    </row>
    <row r="32">
      <c r="A32" s="55" t="n">
        <v>30</v>
      </c>
      <c r="B32" s="56" t="n"/>
      <c r="C32" s="57" t="n"/>
      <c r="D32" s="57" t="n"/>
      <c r="E32" s="57" t="n"/>
      <c r="F32" s="56" t="n"/>
      <c r="G32" s="56" t="n"/>
      <c r="H32" s="57" t="n"/>
      <c r="I32" s="57" t="n"/>
      <c r="J32" s="56" t="n"/>
      <c r="K32" s="56" t="n"/>
      <c r="L32" s="56" t="n"/>
      <c r="M32" s="56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  <c r="AA32" s="56" t="n"/>
      <c r="AB32" s="56" t="n"/>
      <c r="AC32" s="58">
        <f>IF(O32="","",IF(O32="在",1,0)+IF(T32="在",1,0)+IF(Y32="在",1,0))</f>
        <v/>
      </c>
      <c r="AD32" s="58">
        <f>IF(Y32="在","是",IF(OR(O32="",T32="",Y32=""),"观测中","否"))</f>
        <v/>
      </c>
      <c r="AE32" s="57" t="n"/>
    </row>
    <row r="33">
      <c r="A33" s="55" t="n">
        <v>31</v>
      </c>
      <c r="B33" s="56" t="n"/>
      <c r="C33" s="57" t="n"/>
      <c r="D33" s="57" t="n"/>
      <c r="E33" s="57" t="n"/>
      <c r="F33" s="56" t="n"/>
      <c r="G33" s="56" t="n"/>
      <c r="H33" s="57" t="n"/>
      <c r="I33" s="57" t="n"/>
      <c r="J33" s="56" t="n"/>
      <c r="K33" s="56" t="n"/>
      <c r="L33" s="56" t="n"/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  <c r="AC33" s="58">
        <f>IF(O33="","",IF(O33="在",1,0)+IF(T33="在",1,0)+IF(Y33="在",1,0))</f>
        <v/>
      </c>
      <c r="AD33" s="58">
        <f>IF(Y33="在","是",IF(OR(O33="",T33="",Y33=""),"观测中","否"))</f>
        <v/>
      </c>
      <c r="AE33" s="57" t="n"/>
    </row>
    <row r="34">
      <c r="A34" s="55" t="n">
        <v>32</v>
      </c>
      <c r="B34" s="56" t="n"/>
      <c r="C34" s="57" t="n"/>
      <c r="D34" s="57" t="n"/>
      <c r="E34" s="57" t="n"/>
      <c r="F34" s="56" t="n"/>
      <c r="G34" s="56" t="n"/>
      <c r="H34" s="57" t="n"/>
      <c r="I34" s="57" t="n"/>
      <c r="J34" s="56" t="n"/>
      <c r="K34" s="56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  <c r="Z34" s="56" t="n"/>
      <c r="AA34" s="56" t="n"/>
      <c r="AB34" s="56" t="n"/>
      <c r="AC34" s="58">
        <f>IF(O34="","",IF(O34="在",1,0)+IF(T34="在",1,0)+IF(Y34="在",1,0))</f>
        <v/>
      </c>
      <c r="AD34" s="58">
        <f>IF(Y34="在","是",IF(OR(O34="",T34="",Y34=""),"观测中","否"))</f>
        <v/>
      </c>
      <c r="AE34" s="57" t="n"/>
    </row>
    <row r="35">
      <c r="A35" s="55" t="n">
        <v>33</v>
      </c>
      <c r="B35" s="56" t="n"/>
      <c r="C35" s="57" t="n"/>
      <c r="D35" s="57" t="n"/>
      <c r="E35" s="57" t="n"/>
      <c r="F35" s="56" t="n"/>
      <c r="G35" s="56" t="n"/>
      <c r="H35" s="57" t="n"/>
      <c r="I35" s="57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  <c r="AC35" s="58">
        <f>IF(O35="","",IF(O35="在",1,0)+IF(T35="在",1,0)+IF(Y35="在",1,0))</f>
        <v/>
      </c>
      <c r="AD35" s="58">
        <f>IF(Y35="在","是",IF(OR(O35="",T35="",Y35=""),"观测中","否"))</f>
        <v/>
      </c>
      <c r="AE35" s="57" t="n"/>
    </row>
    <row r="36">
      <c r="A36" s="55" t="n">
        <v>34</v>
      </c>
      <c r="B36" s="56" t="n"/>
      <c r="C36" s="57" t="n"/>
      <c r="D36" s="57" t="n"/>
      <c r="E36" s="57" t="n"/>
      <c r="F36" s="56" t="n"/>
      <c r="G36" s="56" t="n"/>
      <c r="H36" s="57" t="n"/>
      <c r="I36" s="57" t="n"/>
      <c r="J36" s="56" t="n"/>
      <c r="K36" s="56" t="n"/>
      <c r="L36" s="56" t="n"/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  <c r="Z36" s="56" t="n"/>
      <c r="AA36" s="56" t="n"/>
      <c r="AB36" s="56" t="n"/>
      <c r="AC36" s="58">
        <f>IF(O36="","",IF(O36="在",1,0)+IF(T36="在",1,0)+IF(Y36="在",1,0))</f>
        <v/>
      </c>
      <c r="AD36" s="58">
        <f>IF(Y36="在","是",IF(OR(O36="",T36="",Y36=""),"观测中","否"))</f>
        <v/>
      </c>
      <c r="AE36" s="57" t="n"/>
    </row>
    <row r="37">
      <c r="A37" s="55" t="n">
        <v>35</v>
      </c>
      <c r="B37" s="56" t="n"/>
      <c r="C37" s="57" t="n"/>
      <c r="D37" s="57" t="n"/>
      <c r="E37" s="57" t="n"/>
      <c r="F37" s="56" t="n"/>
      <c r="G37" s="56" t="n"/>
      <c r="H37" s="57" t="n"/>
      <c r="I37" s="57" t="n"/>
      <c r="J37" s="56" t="n"/>
      <c r="K37" s="56" t="n"/>
      <c r="L37" s="56" t="n"/>
      <c r="M37" s="56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  <c r="AC37" s="58">
        <f>IF(O37="","",IF(O37="在",1,0)+IF(T37="在",1,0)+IF(Y37="在",1,0))</f>
        <v/>
      </c>
      <c r="AD37" s="58">
        <f>IF(Y37="在","是",IF(OR(O37="",T37="",Y37=""),"观测中","否"))</f>
        <v/>
      </c>
      <c r="AE37" s="57" t="n"/>
    </row>
    <row r="38">
      <c r="A38" s="55" t="n">
        <v>36</v>
      </c>
      <c r="B38" s="56" t="n"/>
      <c r="C38" s="57" t="n"/>
      <c r="D38" s="57" t="n"/>
      <c r="E38" s="57" t="n"/>
      <c r="F38" s="56" t="n"/>
      <c r="G38" s="56" t="n"/>
      <c r="H38" s="57" t="n"/>
      <c r="I38" s="57" t="n"/>
      <c r="J38" s="56" t="n"/>
      <c r="K38" s="56" t="n"/>
      <c r="L38" s="56" t="n"/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  <c r="AA38" s="56" t="n"/>
      <c r="AB38" s="56" t="n"/>
      <c r="AC38" s="58">
        <f>IF(O38="","",IF(O38="在",1,0)+IF(T38="在",1,0)+IF(Y38="在",1,0))</f>
        <v/>
      </c>
      <c r="AD38" s="58">
        <f>IF(Y38="在","是",IF(OR(O38="",T38="",Y38=""),"观测中","否"))</f>
        <v/>
      </c>
      <c r="AE38" s="57" t="n"/>
    </row>
    <row r="39">
      <c r="A39" s="55" t="n">
        <v>37</v>
      </c>
      <c r="B39" s="56" t="n"/>
      <c r="C39" s="57" t="n"/>
      <c r="D39" s="57" t="n"/>
      <c r="E39" s="57" t="n"/>
      <c r="F39" s="56" t="n"/>
      <c r="G39" s="56" t="n"/>
      <c r="H39" s="57" t="n"/>
      <c r="I39" s="57" t="n"/>
      <c r="J39" s="56" t="n"/>
      <c r="K39" s="56" t="n"/>
      <c r="L39" s="56" t="n"/>
      <c r="M39" s="56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  <c r="AC39" s="58">
        <f>IF(O39="","",IF(O39="在",1,0)+IF(T39="在",1,0)+IF(Y39="在",1,0))</f>
        <v/>
      </c>
      <c r="AD39" s="58">
        <f>IF(Y39="在","是",IF(OR(O39="",T39="",Y39=""),"观测中","否"))</f>
        <v/>
      </c>
      <c r="AE39" s="57" t="n"/>
    </row>
    <row r="40">
      <c r="A40" s="55" t="n">
        <v>38</v>
      </c>
      <c r="B40" s="56" t="n"/>
      <c r="C40" s="57" t="n"/>
      <c r="D40" s="57" t="n"/>
      <c r="E40" s="57" t="n"/>
      <c r="F40" s="56" t="n"/>
      <c r="G40" s="56" t="n"/>
      <c r="H40" s="57" t="n"/>
      <c r="I40" s="57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  <c r="AA40" s="56" t="n"/>
      <c r="AB40" s="56" t="n"/>
      <c r="AC40" s="58">
        <f>IF(O40="","",IF(O40="在",1,0)+IF(T40="在",1,0)+IF(Y40="在",1,0))</f>
        <v/>
      </c>
      <c r="AD40" s="58">
        <f>IF(Y40="在","是",IF(OR(O40="",T40="",Y40=""),"观测中","否"))</f>
        <v/>
      </c>
      <c r="AE40" s="57" t="n"/>
    </row>
    <row r="41">
      <c r="A41" s="55" t="n">
        <v>39</v>
      </c>
      <c r="B41" s="56" t="n"/>
      <c r="C41" s="57" t="n"/>
      <c r="D41" s="57" t="n"/>
      <c r="E41" s="57" t="n"/>
      <c r="F41" s="56" t="n"/>
      <c r="G41" s="56" t="n"/>
      <c r="H41" s="57" t="n"/>
      <c r="I41" s="57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  <c r="AC41" s="58">
        <f>IF(O41="","",IF(O41="在",1,0)+IF(T41="在",1,0)+IF(Y41="在",1,0))</f>
        <v/>
      </c>
      <c r="AD41" s="58">
        <f>IF(Y41="在","是",IF(OR(O41="",T41="",Y41=""),"观测中","否"))</f>
        <v/>
      </c>
      <c r="AE41" s="57" t="n"/>
    </row>
    <row r="42">
      <c r="A42" s="55" t="n">
        <v>40</v>
      </c>
      <c r="B42" s="56" t="n"/>
      <c r="C42" s="57" t="n"/>
      <c r="D42" s="57" t="n"/>
      <c r="E42" s="57" t="n"/>
      <c r="F42" s="56" t="n"/>
      <c r="G42" s="56" t="n"/>
      <c r="H42" s="57" t="n"/>
      <c r="I42" s="57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  <c r="AA42" s="56" t="n"/>
      <c r="AB42" s="56" t="n"/>
      <c r="AC42" s="58">
        <f>IF(O42="","",IF(O42="在",1,0)+IF(T42="在",1,0)+IF(Y42="在",1,0))</f>
        <v/>
      </c>
      <c r="AD42" s="58">
        <f>IF(Y42="在","是",IF(OR(O42="",T42="",Y42=""),"观测中","否"))</f>
        <v/>
      </c>
      <c r="AE42" s="57" t="n"/>
    </row>
    <row r="43">
      <c r="A43" s="55" t="n">
        <v>41</v>
      </c>
      <c r="B43" s="56" t="n"/>
      <c r="C43" s="57" t="n"/>
      <c r="D43" s="57" t="n"/>
      <c r="E43" s="57" t="n"/>
      <c r="F43" s="56" t="n"/>
      <c r="G43" s="56" t="n"/>
      <c r="H43" s="57" t="n"/>
      <c r="I43" s="57" t="n"/>
      <c r="J43" s="56" t="n"/>
      <c r="K43" s="56" t="n"/>
      <c r="L43" s="56" t="n"/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  <c r="AC43" s="58">
        <f>IF(O43="","",IF(O43="在",1,0)+IF(T43="在",1,0)+IF(Y43="在",1,0))</f>
        <v/>
      </c>
      <c r="AD43" s="58">
        <f>IF(Y43="在","是",IF(OR(O43="",T43="",Y43=""),"观测中","否"))</f>
        <v/>
      </c>
      <c r="AE43" s="57" t="n"/>
    </row>
    <row r="44">
      <c r="A44" s="55" t="n">
        <v>42</v>
      </c>
      <c r="B44" s="56" t="n"/>
      <c r="C44" s="57" t="n"/>
      <c r="D44" s="57" t="n"/>
      <c r="E44" s="57" t="n"/>
      <c r="F44" s="56" t="n"/>
      <c r="G44" s="56" t="n"/>
      <c r="H44" s="57" t="n"/>
      <c r="I44" s="57" t="n"/>
      <c r="J44" s="56" t="n"/>
      <c r="K44" s="56" t="n"/>
      <c r="L44" s="56" t="n"/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  <c r="AA44" s="56" t="n"/>
      <c r="AB44" s="56" t="n"/>
      <c r="AC44" s="58">
        <f>IF(O44="","",IF(O44="在",1,0)+IF(T44="在",1,0)+IF(Y44="在",1,0))</f>
        <v/>
      </c>
      <c r="AD44" s="58">
        <f>IF(Y44="在","是",IF(OR(O44="",T44="",Y44=""),"观测中","否"))</f>
        <v/>
      </c>
      <c r="AE44" s="57" t="n"/>
    </row>
    <row r="45">
      <c r="A45" s="55" t="n">
        <v>43</v>
      </c>
      <c r="B45" s="56" t="n"/>
      <c r="C45" s="57" t="n"/>
      <c r="D45" s="57" t="n"/>
      <c r="E45" s="57" t="n"/>
      <c r="F45" s="56" t="n"/>
      <c r="G45" s="56" t="n"/>
      <c r="H45" s="57" t="n"/>
      <c r="I45" s="57" t="n"/>
      <c r="J45" s="56" t="n"/>
      <c r="K45" s="56" t="n"/>
      <c r="L45" s="56" t="n"/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  <c r="AC45" s="58">
        <f>IF(O45="","",IF(O45="在",1,0)+IF(T45="在",1,0)+IF(Y45="在",1,0))</f>
        <v/>
      </c>
      <c r="AD45" s="58">
        <f>IF(Y45="在","是",IF(OR(O45="",T45="",Y45=""),"观测中","否"))</f>
        <v/>
      </c>
      <c r="AE45" s="57" t="n"/>
    </row>
    <row r="46">
      <c r="A46" s="55" t="n">
        <v>44</v>
      </c>
      <c r="B46" s="56" t="n"/>
      <c r="C46" s="57" t="n"/>
      <c r="D46" s="57" t="n"/>
      <c r="E46" s="57" t="n"/>
      <c r="F46" s="56" t="n"/>
      <c r="G46" s="56" t="n"/>
      <c r="H46" s="57" t="n"/>
      <c r="I46" s="57" t="n"/>
      <c r="J46" s="56" t="n"/>
      <c r="K46" s="56" t="n"/>
      <c r="L46" s="56" t="n"/>
      <c r="M46" s="56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6" t="n"/>
      <c r="X46" s="56" t="n"/>
      <c r="Y46" s="56" t="n"/>
      <c r="Z46" s="56" t="n"/>
      <c r="AA46" s="56" t="n"/>
      <c r="AB46" s="56" t="n"/>
      <c r="AC46" s="58">
        <f>IF(O46="","",IF(O46="在",1,0)+IF(T46="在",1,0)+IF(Y46="在",1,0))</f>
        <v/>
      </c>
      <c r="AD46" s="58">
        <f>IF(Y46="在","是",IF(OR(O46="",T46="",Y46=""),"观测中","否"))</f>
        <v/>
      </c>
      <c r="AE46" s="57" t="n"/>
    </row>
    <row r="47">
      <c r="A47" s="55" t="n">
        <v>45</v>
      </c>
      <c r="B47" s="56" t="n"/>
      <c r="C47" s="57" t="n"/>
      <c r="D47" s="57" t="n"/>
      <c r="E47" s="57" t="n"/>
      <c r="F47" s="56" t="n"/>
      <c r="G47" s="56" t="n"/>
      <c r="H47" s="57" t="n"/>
      <c r="I47" s="57" t="n"/>
      <c r="J47" s="56" t="n"/>
      <c r="K47" s="56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  <c r="AC47" s="58">
        <f>IF(O47="","",IF(O47="在",1,0)+IF(T47="在",1,0)+IF(Y47="在",1,0))</f>
        <v/>
      </c>
      <c r="AD47" s="58">
        <f>IF(Y47="在","是",IF(OR(O47="",T47="",Y47=""),"观测中","否"))</f>
        <v/>
      </c>
      <c r="AE47" s="57" t="n"/>
    </row>
    <row r="48">
      <c r="A48" s="55" t="n">
        <v>46</v>
      </c>
      <c r="B48" s="56" t="n"/>
      <c r="C48" s="57" t="n"/>
      <c r="D48" s="57" t="n"/>
      <c r="E48" s="57" t="n"/>
      <c r="F48" s="56" t="n"/>
      <c r="G48" s="56" t="n"/>
      <c r="H48" s="57" t="n"/>
      <c r="I48" s="57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  <c r="AA48" s="56" t="n"/>
      <c r="AB48" s="56" t="n"/>
      <c r="AC48" s="58">
        <f>IF(O48="","",IF(O48="在",1,0)+IF(T48="在",1,0)+IF(Y48="在",1,0))</f>
        <v/>
      </c>
      <c r="AD48" s="58">
        <f>IF(Y48="在","是",IF(OR(O48="",T48="",Y48=""),"观测中","否"))</f>
        <v/>
      </c>
      <c r="AE48" s="57" t="n"/>
    </row>
    <row r="49">
      <c r="A49" s="55" t="n">
        <v>47</v>
      </c>
      <c r="B49" s="56" t="n"/>
      <c r="C49" s="57" t="n"/>
      <c r="D49" s="57" t="n"/>
      <c r="E49" s="57" t="n"/>
      <c r="F49" s="56" t="n"/>
      <c r="G49" s="56" t="n"/>
      <c r="H49" s="57" t="n"/>
      <c r="I49" s="57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  <c r="AC49" s="58">
        <f>IF(O49="","",IF(O49="在",1,0)+IF(T49="在",1,0)+IF(Y49="在",1,0))</f>
        <v/>
      </c>
      <c r="AD49" s="58">
        <f>IF(Y49="在","是",IF(OR(O49="",T49="",Y49=""),"观测中","否"))</f>
        <v/>
      </c>
      <c r="AE49" s="57" t="n"/>
    </row>
    <row r="50">
      <c r="A50" s="55" t="n">
        <v>48</v>
      </c>
      <c r="B50" s="56" t="n"/>
      <c r="C50" s="57" t="n"/>
      <c r="D50" s="57" t="n"/>
      <c r="E50" s="57" t="n"/>
      <c r="F50" s="56" t="n"/>
      <c r="G50" s="56" t="n"/>
      <c r="H50" s="57" t="n"/>
      <c r="I50" s="57" t="n"/>
      <c r="J50" s="56" t="n"/>
      <c r="K50" s="56" t="n"/>
      <c r="L50" s="56" t="n"/>
      <c r="M50" s="56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6" t="n"/>
      <c r="X50" s="56" t="n"/>
      <c r="Y50" s="56" t="n"/>
      <c r="Z50" s="56" t="n"/>
      <c r="AA50" s="56" t="n"/>
      <c r="AB50" s="56" t="n"/>
      <c r="AC50" s="58">
        <f>IF(O50="","",IF(O50="在",1,0)+IF(T50="在",1,0)+IF(Y50="在",1,0))</f>
        <v/>
      </c>
      <c r="AD50" s="58">
        <f>IF(Y50="在","是",IF(OR(O50="",T50="",Y50=""),"观测中","否"))</f>
        <v/>
      </c>
      <c r="AE50" s="57" t="n"/>
    </row>
    <row r="51">
      <c r="A51" s="55" t="n">
        <v>49</v>
      </c>
      <c r="B51" s="56" t="n"/>
      <c r="C51" s="57" t="n"/>
      <c r="D51" s="57" t="n"/>
      <c r="E51" s="57" t="n"/>
      <c r="F51" s="56" t="n"/>
      <c r="G51" s="56" t="n"/>
      <c r="H51" s="57" t="n"/>
      <c r="I51" s="57" t="n"/>
      <c r="J51" s="56" t="n"/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  <c r="AC51" s="58">
        <f>IF(O51="","",IF(O51="在",1,0)+IF(T51="在",1,0)+IF(Y51="在",1,0))</f>
        <v/>
      </c>
      <c r="AD51" s="58">
        <f>IF(Y51="在","是",IF(OR(O51="",T51="",Y51=""),"观测中","否"))</f>
        <v/>
      </c>
      <c r="AE51" s="57" t="n"/>
    </row>
    <row r="52">
      <c r="A52" s="55" t="n">
        <v>50</v>
      </c>
      <c r="B52" s="56" t="n"/>
      <c r="C52" s="57" t="n"/>
      <c r="D52" s="57" t="n"/>
      <c r="E52" s="57" t="n"/>
      <c r="F52" s="56" t="n"/>
      <c r="G52" s="56" t="n"/>
      <c r="H52" s="57" t="n"/>
      <c r="I52" s="57" t="n"/>
      <c r="J52" s="56" t="n"/>
      <c r="K52" s="56" t="n"/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  <c r="AA52" s="56" t="n"/>
      <c r="AB52" s="56" t="n"/>
      <c r="AC52" s="58">
        <f>IF(O52="","",IF(O52="在",1,0)+IF(T52="在",1,0)+IF(Y52="在",1,0))</f>
        <v/>
      </c>
      <c r="AD52" s="58">
        <f>IF(Y52="在","是",IF(OR(O52="",T52="",Y52=""),"观测中","否"))</f>
        <v/>
      </c>
      <c r="AE52" s="57" t="n"/>
    </row>
  </sheetData>
  <mergeCells count="6">
    <mergeCell ref="AC1:AE1"/>
    <mergeCell ref="X1:AB1"/>
    <mergeCell ref="A1:I1"/>
    <mergeCell ref="S1:W1"/>
    <mergeCell ref="J1:M1"/>
    <mergeCell ref="N1:R1"/>
  </mergeCells>
  <dataValidations count="4">
    <dataValidation sqref="E3:E52" showDropDown="0" showInputMessage="0" showErrorMessage="0" allowBlank="1" type="list">
      <formula1>选项!$M$2:$M$7</formula1>
    </dataValidation>
    <dataValidation sqref="F3:F52" showDropDown="0" showInputMessage="0" showErrorMessage="0" allowBlank="1" type="list">
      <formula1>选项!$E$2:$E$3</formula1>
    </dataValidation>
    <dataValidation sqref="G3:G52" showDropDown="0" showInputMessage="0" showErrorMessage="0" allowBlank="1" type="list">
      <formula1>选项!$K$2:$K$4</formula1>
    </dataValidation>
    <dataValidation sqref="O3:O52 T3:T52 Y3:Y52" showDropDown="0" showInputMessage="0" showErrorMessage="0" allowBlank="1" type="list">
      <formula1>选项!$L$2:$L$5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9E6B"/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4"/>
    <col width="10" customWidth="1" min="5" max="5"/>
    <col width="12" customWidth="1" min="6" max="6"/>
    <col width="9" customWidth="1" min="7" max="7"/>
  </cols>
  <sheetData>
    <row r="1" ht="18.4" customHeight="1">
      <c r="A1" s="62" t="inlineStr">
        <is>
          <t>皇后的秘密 · 面膜(Quality1st代运营) · 笔记投放总览 Dashboard（自动汇总）</t>
        </is>
      </c>
    </row>
    <row r="2">
      <c r="A2" s="63" t="inlineStr">
        <is>
          <t>填各记录表后自动更新；如未刷新按 F9 或重开文件。</t>
        </is>
      </c>
    </row>
    <row r="3"/>
    <row r="4">
      <c r="A4" s="64" t="inlineStr">
        <is>
          <t>图文KOC投放（按产品）</t>
        </is>
      </c>
    </row>
    <row r="5">
      <c r="A5" s="65" t="inlineStr">
        <is>
          <t>产品</t>
        </is>
      </c>
      <c r="B5" s="65" t="inlineStr">
        <is>
          <t>篇数</t>
        </is>
      </c>
      <c r="C5" s="65" t="inlineStr">
        <is>
          <t>总曝光</t>
        </is>
      </c>
      <c r="D5" s="65" t="inlineStr">
        <is>
          <t>总互动</t>
        </is>
      </c>
      <c r="E5" s="65" t="inlineStr">
        <is>
          <t>均互动率</t>
        </is>
      </c>
      <c r="F5" s="65" t="inlineStr">
        <is>
          <t>总花费</t>
        </is>
      </c>
      <c r="G5" s="65" t="inlineStr">
        <is>
          <t>均CPE</t>
        </is>
      </c>
    </row>
    <row r="6">
      <c r="A6" s="66" t="inlineStr">
        <is>
          <t>黑钻VC100(黑金)</t>
        </is>
      </c>
      <c r="B6" s="67">
        <f>COUNTIFS('① 图文KOC投放笔记'!$G$3:$G$42,"黑钻VC100(黑金)")</f>
        <v/>
      </c>
      <c r="C6" s="68">
        <f>SUMIFS('① 图文KOC投放笔记'!$AD$3:$AD$42,'① 图文KOC投放笔记'!$G$3:$G$42,"黑钻VC100(黑金)")</f>
        <v/>
      </c>
      <c r="D6" s="68">
        <f>SUMIFS('① 图文KOC投放笔记'!$AJ$3:$AJ$42,'① 图文KOC投放笔记'!$G$3:$G$42,"黑钻VC100(黑金)")</f>
        <v/>
      </c>
      <c r="E6" s="69">
        <f>IFERROR(AVERAGEIFS('① 图文KOC投放笔记'!$AK$3:$AK$42,'① 图文KOC投放笔记'!$G$3:$G$42,"黑钻VC100(黑金)"),"")</f>
        <v/>
      </c>
      <c r="F6" s="68">
        <f>SUMIFS('① 图文KOC投放笔记'!$AO$3:$AO$42,'① 图文KOC投放笔记'!$G$3:$G$42,"黑钻VC100(黑金)")</f>
        <v/>
      </c>
      <c r="G6" s="70">
        <f>IFERROR(AVERAGEIFS('① 图文KOC投放笔记'!$AM$3:$AM$42,'① 图文KOC投放笔记'!$G$3:$G$42,"黑钻VC100(黑金)"),"")</f>
        <v/>
      </c>
    </row>
    <row r="7">
      <c r="A7" s="66" t="inlineStr">
        <is>
          <t>金色·提亮补水</t>
        </is>
      </c>
      <c r="B7" s="67">
        <f>COUNTIFS('① 图文KOC投放笔记'!$G$3:$G$42,"金色·提亮补水")</f>
        <v/>
      </c>
      <c r="C7" s="68">
        <f>SUMIFS('① 图文KOC投放笔记'!$AD$3:$AD$42,'① 图文KOC投放笔记'!$G$3:$G$42,"金色·提亮补水")</f>
        <v/>
      </c>
      <c r="D7" s="68">
        <f>SUMIFS('① 图文KOC投放笔记'!$AJ$3:$AJ$42,'① 图文KOC投放笔记'!$G$3:$G$42,"金色·提亮补水")</f>
        <v/>
      </c>
      <c r="E7" s="69">
        <f>IFERROR(AVERAGEIFS('① 图文KOC投放笔记'!$AK$3:$AK$42,'① 图文KOC投放笔记'!$G$3:$G$42,"金色·提亮补水"),"")</f>
        <v/>
      </c>
      <c r="F7" s="68">
        <f>SUMIFS('① 图文KOC投放笔记'!$AO$3:$AO$42,'① 图文KOC投放笔记'!$G$3:$G$42,"金色·提亮补水")</f>
        <v/>
      </c>
      <c r="G7" s="70">
        <f>IFERROR(AVERAGEIFS('① 图文KOC投放笔记'!$AM$3:$AM$42,'① 图文KOC投放笔记'!$G$3:$G$42,"金色·提亮补水"),"")</f>
        <v/>
      </c>
    </row>
    <row r="8">
      <c r="A8" s="66" t="inlineStr">
        <is>
          <t>黑银·水光细毛孔</t>
        </is>
      </c>
      <c r="B8" s="67">
        <f>COUNTIFS('① 图文KOC投放笔记'!$G$3:$G$42,"黑银·水光细毛孔")</f>
        <v/>
      </c>
      <c r="C8" s="68">
        <f>SUMIFS('① 图文KOC投放笔记'!$AD$3:$AD$42,'① 图文KOC投放笔记'!$G$3:$G$42,"黑银·水光细毛孔")</f>
        <v/>
      </c>
      <c r="D8" s="68">
        <f>SUMIFS('① 图文KOC投放笔记'!$AJ$3:$AJ$42,'① 图文KOC投放笔记'!$G$3:$G$42,"黑银·水光细毛孔")</f>
        <v/>
      </c>
      <c r="E8" s="69">
        <f>IFERROR(AVERAGEIFS('① 图文KOC投放笔记'!$AK$3:$AK$42,'① 图文KOC投放笔记'!$G$3:$G$42,"黑银·水光细毛孔"),"")</f>
        <v/>
      </c>
      <c r="F8" s="68">
        <f>SUMIFS('① 图文KOC投放笔记'!$AO$3:$AO$42,'① 图文KOC投放笔记'!$G$3:$G$42,"黑银·水光细毛孔")</f>
        <v/>
      </c>
      <c r="G8" s="70">
        <f>IFERROR(AVERAGEIFS('① 图文KOC投放笔记'!$AM$3:$AM$42,'① 图文KOC投放笔记'!$G$3:$G$42,"黑银·水光细毛孔"),"")</f>
        <v/>
      </c>
    </row>
    <row r="9">
      <c r="A9" s="66" t="inlineStr">
        <is>
          <t>深蓝·维稳补水</t>
        </is>
      </c>
      <c r="B9" s="67">
        <f>COUNTIFS('① 图文KOC投放笔记'!$G$3:$G$42,"深蓝·维稳补水")</f>
        <v/>
      </c>
      <c r="C9" s="68">
        <f>SUMIFS('① 图文KOC投放笔记'!$AD$3:$AD$42,'① 图文KOC投放笔记'!$G$3:$G$42,"深蓝·维稳补水")</f>
        <v/>
      </c>
      <c r="D9" s="68">
        <f>SUMIFS('① 图文KOC投放笔记'!$AJ$3:$AJ$42,'① 图文KOC投放笔记'!$G$3:$G$42,"深蓝·维稳补水")</f>
        <v/>
      </c>
      <c r="E9" s="69">
        <f>IFERROR(AVERAGEIFS('① 图文KOC投放笔记'!$AK$3:$AK$42,'① 图文KOC投放笔记'!$G$3:$G$42,"深蓝·维稳补水"),"")</f>
        <v/>
      </c>
      <c r="F9" s="68">
        <f>SUMIFS('① 图文KOC投放笔记'!$AO$3:$AO$42,'① 图文KOC投放笔记'!$G$3:$G$42,"深蓝·维稳补水")</f>
        <v/>
      </c>
      <c r="G9" s="70">
        <f>IFERROR(AVERAGEIFS('① 图文KOC投放笔记'!$AM$3:$AM$42,'① 图文KOC投放笔记'!$G$3:$G$42,"深蓝·维稳补水"),"")</f>
        <v/>
      </c>
    </row>
    <row r="10">
      <c r="A10" s="66" t="inlineStr">
        <is>
          <t>银色·提亮</t>
        </is>
      </c>
      <c r="B10" s="67">
        <f>COUNTIFS('① 图文KOC投放笔记'!$G$3:$G$42,"银色·提亮")</f>
        <v/>
      </c>
      <c r="C10" s="68">
        <f>SUMIFS('① 图文KOC投放笔记'!$AD$3:$AD$42,'① 图文KOC投放笔记'!$G$3:$G$42,"银色·提亮")</f>
        <v/>
      </c>
      <c r="D10" s="68">
        <f>SUMIFS('① 图文KOC投放笔记'!$AJ$3:$AJ$42,'① 图文KOC投放笔记'!$G$3:$G$42,"银色·提亮")</f>
        <v/>
      </c>
      <c r="E10" s="69">
        <f>IFERROR(AVERAGEIFS('① 图文KOC投放笔记'!$AK$3:$AK$42,'① 图文KOC投放笔记'!$G$3:$G$42,"银色·提亮"),"")</f>
        <v/>
      </c>
      <c r="F10" s="68">
        <f>SUMIFS('① 图文KOC投放笔记'!$AO$3:$AO$42,'① 图文KOC投放笔记'!$G$3:$G$42,"银色·提亮")</f>
        <v/>
      </c>
      <c r="G10" s="70">
        <f>IFERROR(AVERAGEIFS('① 图文KOC投放笔记'!$AM$3:$AM$42,'① 图文KOC投放笔记'!$G$3:$G$42,"银色·提亮"),"")</f>
        <v/>
      </c>
    </row>
    <row r="11">
      <c r="A11" s="66" t="inlineStr">
        <is>
          <t>（其他/新品）</t>
        </is>
      </c>
      <c r="B11" s="67">
        <f>COUNTIFS('① 图文KOC投放笔记'!$G$3:$G$42,"（其他/新品）")</f>
        <v/>
      </c>
      <c r="C11" s="68">
        <f>SUMIFS('① 图文KOC投放笔记'!$AD$3:$AD$42,'① 图文KOC投放笔记'!$G$3:$G$42,"（其他/新品）")</f>
        <v/>
      </c>
      <c r="D11" s="68">
        <f>SUMIFS('① 图文KOC投放笔记'!$AJ$3:$AJ$42,'① 图文KOC投放笔记'!$G$3:$G$42,"（其他/新品）")</f>
        <v/>
      </c>
      <c r="E11" s="69">
        <f>IFERROR(AVERAGEIFS('① 图文KOC投放笔记'!$AK$3:$AK$42,'① 图文KOC投放笔记'!$G$3:$G$42,"（其他/新品）"),"")</f>
        <v/>
      </c>
      <c r="F11" s="68">
        <f>SUMIFS('① 图文KOC投放笔记'!$AO$3:$AO$42,'① 图文KOC投放笔记'!$G$3:$G$42,"（其他/新品）")</f>
        <v/>
      </c>
      <c r="G11" s="70">
        <f>IFERROR(AVERAGEIFS('① 图文KOC投放笔记'!$AM$3:$AM$42,'① 图文KOC投放笔记'!$G$3:$G$42,"（其他/新品）"),"")</f>
        <v/>
      </c>
    </row>
    <row r="12"/>
    <row r="13">
      <c r="A13" s="64" t="inlineStr">
        <is>
          <t>视频KOC投放（按产品）</t>
        </is>
      </c>
    </row>
    <row r="14">
      <c r="A14" s="65" t="inlineStr">
        <is>
          <t>产品</t>
        </is>
      </c>
      <c r="B14" s="65" t="inlineStr">
        <is>
          <t>篇数</t>
        </is>
      </c>
      <c r="C14" s="65" t="inlineStr">
        <is>
          <t>总曝光</t>
        </is>
      </c>
      <c r="D14" s="65" t="inlineStr">
        <is>
          <t>总互动</t>
        </is>
      </c>
      <c r="E14" s="65" t="inlineStr">
        <is>
          <t>均互动率</t>
        </is>
      </c>
      <c r="F14" s="65" t="inlineStr">
        <is>
          <t>总花费</t>
        </is>
      </c>
      <c r="G14" s="65" t="inlineStr">
        <is>
          <t>均CPE</t>
        </is>
      </c>
    </row>
    <row r="15">
      <c r="A15" s="66" t="inlineStr">
        <is>
          <t>黑钻VC100(黑金)</t>
        </is>
      </c>
      <c r="B15" s="67">
        <f>COUNTIFS('② 视频KOC投放笔记'!$I$3:$I$42,"黑钻VC100(黑金)")</f>
        <v/>
      </c>
      <c r="C15" s="68">
        <f>SUMIFS('② 视频KOC投放笔记'!$AK$3:$AK$42,'② 视频KOC投放笔记'!$I$3:$I$42,"黑钻VC100(黑金)")</f>
        <v/>
      </c>
      <c r="D15" s="68">
        <f>SUMIFS('② 视频KOC投放笔记'!$AQ$3:$AQ$42,'② 视频KOC投放笔记'!$I$3:$I$42,"黑钻VC100(黑金)")</f>
        <v/>
      </c>
      <c r="E15" s="69">
        <f>IFERROR(AVERAGEIFS('② 视频KOC投放笔记'!$AR$3:$AR$42,'② 视频KOC投放笔记'!$I$3:$I$42,"黑钻VC100(黑金)"),"")</f>
        <v/>
      </c>
      <c r="F15" s="68">
        <f>SUMIFS('② 视频KOC投放笔记'!$AV$3:$AV$42,'② 视频KOC投放笔记'!$I$3:$I$42,"黑钻VC100(黑金)")</f>
        <v/>
      </c>
      <c r="G15" s="70">
        <f>IFERROR(AVERAGEIFS('② 视频KOC投放笔记'!$AT$3:$AT$42,'② 视频KOC投放笔记'!$I$3:$I$42,"黑钻VC100(黑金)"),"")</f>
        <v/>
      </c>
    </row>
    <row r="16">
      <c r="A16" s="66" t="inlineStr">
        <is>
          <t>金色·提亮补水</t>
        </is>
      </c>
      <c r="B16" s="67">
        <f>COUNTIFS('② 视频KOC投放笔记'!$I$3:$I$42,"金色·提亮补水")</f>
        <v/>
      </c>
      <c r="C16" s="68">
        <f>SUMIFS('② 视频KOC投放笔记'!$AK$3:$AK$42,'② 视频KOC投放笔记'!$I$3:$I$42,"金色·提亮补水")</f>
        <v/>
      </c>
      <c r="D16" s="68">
        <f>SUMIFS('② 视频KOC投放笔记'!$AQ$3:$AQ$42,'② 视频KOC投放笔记'!$I$3:$I$42,"金色·提亮补水")</f>
        <v/>
      </c>
      <c r="E16" s="69">
        <f>IFERROR(AVERAGEIFS('② 视频KOC投放笔记'!$AR$3:$AR$42,'② 视频KOC投放笔记'!$I$3:$I$42,"金色·提亮补水"),"")</f>
        <v/>
      </c>
      <c r="F16" s="68">
        <f>SUMIFS('② 视频KOC投放笔记'!$AV$3:$AV$42,'② 视频KOC投放笔记'!$I$3:$I$42,"金色·提亮补水")</f>
        <v/>
      </c>
      <c r="G16" s="70">
        <f>IFERROR(AVERAGEIFS('② 视频KOC投放笔记'!$AT$3:$AT$42,'② 视频KOC投放笔记'!$I$3:$I$42,"金色·提亮补水"),"")</f>
        <v/>
      </c>
    </row>
    <row r="17">
      <c r="A17" s="66" t="inlineStr">
        <is>
          <t>黑银·水光细毛孔</t>
        </is>
      </c>
      <c r="B17" s="67">
        <f>COUNTIFS('② 视频KOC投放笔记'!$I$3:$I$42,"黑银·水光细毛孔")</f>
        <v/>
      </c>
      <c r="C17" s="68">
        <f>SUMIFS('② 视频KOC投放笔记'!$AK$3:$AK$42,'② 视频KOC投放笔记'!$I$3:$I$42,"黑银·水光细毛孔")</f>
        <v/>
      </c>
      <c r="D17" s="68">
        <f>SUMIFS('② 视频KOC投放笔记'!$AQ$3:$AQ$42,'② 视频KOC投放笔记'!$I$3:$I$42,"黑银·水光细毛孔")</f>
        <v/>
      </c>
      <c r="E17" s="69">
        <f>IFERROR(AVERAGEIFS('② 视频KOC投放笔记'!$AR$3:$AR$42,'② 视频KOC投放笔记'!$I$3:$I$42,"黑银·水光细毛孔"),"")</f>
        <v/>
      </c>
      <c r="F17" s="68">
        <f>SUMIFS('② 视频KOC投放笔记'!$AV$3:$AV$42,'② 视频KOC投放笔记'!$I$3:$I$42,"黑银·水光细毛孔")</f>
        <v/>
      </c>
      <c r="G17" s="70">
        <f>IFERROR(AVERAGEIFS('② 视频KOC投放笔记'!$AT$3:$AT$42,'② 视频KOC投放笔记'!$I$3:$I$42,"黑银·水光细毛孔"),"")</f>
        <v/>
      </c>
    </row>
    <row r="18">
      <c r="A18" s="66" t="inlineStr">
        <is>
          <t>深蓝·维稳补水</t>
        </is>
      </c>
      <c r="B18" s="67">
        <f>COUNTIFS('② 视频KOC投放笔记'!$I$3:$I$42,"深蓝·维稳补水")</f>
        <v/>
      </c>
      <c r="C18" s="68">
        <f>SUMIFS('② 视频KOC投放笔记'!$AK$3:$AK$42,'② 视频KOC投放笔记'!$I$3:$I$42,"深蓝·维稳补水")</f>
        <v/>
      </c>
      <c r="D18" s="68">
        <f>SUMIFS('② 视频KOC投放笔记'!$AQ$3:$AQ$42,'② 视频KOC投放笔记'!$I$3:$I$42,"深蓝·维稳补水")</f>
        <v/>
      </c>
      <c r="E18" s="69">
        <f>IFERROR(AVERAGEIFS('② 视频KOC投放笔记'!$AR$3:$AR$42,'② 视频KOC投放笔记'!$I$3:$I$42,"深蓝·维稳补水"),"")</f>
        <v/>
      </c>
      <c r="F18" s="68">
        <f>SUMIFS('② 视频KOC投放笔记'!$AV$3:$AV$42,'② 视频KOC投放笔记'!$I$3:$I$42,"深蓝·维稳补水")</f>
        <v/>
      </c>
      <c r="G18" s="70">
        <f>IFERROR(AVERAGEIFS('② 视频KOC投放笔记'!$AT$3:$AT$42,'② 视频KOC投放笔记'!$I$3:$I$42,"深蓝·维稳补水"),"")</f>
        <v/>
      </c>
    </row>
    <row r="19">
      <c r="A19" s="66" t="inlineStr">
        <is>
          <t>银色·提亮</t>
        </is>
      </c>
      <c r="B19" s="67">
        <f>COUNTIFS('② 视频KOC投放笔记'!$I$3:$I$42,"银色·提亮")</f>
        <v/>
      </c>
      <c r="C19" s="68">
        <f>SUMIFS('② 视频KOC投放笔记'!$AK$3:$AK$42,'② 视频KOC投放笔记'!$I$3:$I$42,"银色·提亮")</f>
        <v/>
      </c>
      <c r="D19" s="68">
        <f>SUMIFS('② 视频KOC投放笔记'!$AQ$3:$AQ$42,'② 视频KOC投放笔记'!$I$3:$I$42,"银色·提亮")</f>
        <v/>
      </c>
      <c r="E19" s="69">
        <f>IFERROR(AVERAGEIFS('② 视频KOC投放笔记'!$AR$3:$AR$42,'② 视频KOC投放笔记'!$I$3:$I$42,"银色·提亮"),"")</f>
        <v/>
      </c>
      <c r="F19" s="68">
        <f>SUMIFS('② 视频KOC投放笔记'!$AV$3:$AV$42,'② 视频KOC投放笔记'!$I$3:$I$42,"银色·提亮")</f>
        <v/>
      </c>
      <c r="G19" s="70">
        <f>IFERROR(AVERAGEIFS('② 视频KOC投放笔记'!$AT$3:$AT$42,'② 视频KOC投放笔记'!$I$3:$I$42,"银色·提亮"),"")</f>
        <v/>
      </c>
    </row>
    <row r="20">
      <c r="A20" s="66" t="inlineStr">
        <is>
          <t>（其他/新品）</t>
        </is>
      </c>
      <c r="B20" s="67">
        <f>COUNTIFS('② 视频KOC投放笔记'!$I$3:$I$42,"（其他/新品）")</f>
        <v/>
      </c>
      <c r="C20" s="68">
        <f>SUMIFS('② 视频KOC投放笔记'!$AK$3:$AK$42,'② 视频KOC投放笔记'!$I$3:$I$42,"（其他/新品）")</f>
        <v/>
      </c>
      <c r="D20" s="68">
        <f>SUMIFS('② 视频KOC投放笔记'!$AQ$3:$AQ$42,'② 视频KOC投放笔记'!$I$3:$I$42,"（其他/新品）")</f>
        <v/>
      </c>
      <c r="E20" s="69">
        <f>IFERROR(AVERAGEIFS('② 视频KOC投放笔记'!$AR$3:$AR$42,'② 视频KOC投放笔记'!$I$3:$I$42,"（其他/新品）"),"")</f>
        <v/>
      </c>
      <c r="F20" s="68">
        <f>SUMIFS('② 视频KOC投放笔记'!$AV$3:$AV$42,'② 视频KOC投放笔记'!$I$3:$I$42,"（其他/新品）")</f>
        <v/>
      </c>
      <c r="G20" s="70">
        <f>IFERROR(AVERAGEIFS('② 视频KOC投放笔记'!$AT$3:$AT$42,'② 视频KOC投放笔记'!$I$3:$I$42,"（其他/新品）"),"")</f>
        <v/>
      </c>
    </row>
    <row r="21"/>
    <row r="22">
      <c r="A22" s="64" t="inlineStr">
        <is>
          <t>店铺自发（按产品）</t>
        </is>
      </c>
    </row>
    <row r="23">
      <c r="A23" s="65" t="inlineStr">
        <is>
          <t>产品</t>
        </is>
      </c>
      <c r="B23" s="65" t="inlineStr">
        <is>
          <t>篇数</t>
        </is>
      </c>
      <c r="C23" s="65" t="inlineStr">
        <is>
          <t>总曝光</t>
        </is>
      </c>
      <c r="D23" s="65" t="inlineStr">
        <is>
          <t>总互动</t>
        </is>
      </c>
      <c r="E23" s="65" t="inlineStr">
        <is>
          <t>均互动率</t>
        </is>
      </c>
    </row>
    <row r="24">
      <c r="A24" s="66" t="inlineStr">
        <is>
          <t>黑钻VC100(黑金)</t>
        </is>
      </c>
      <c r="B24" s="67">
        <f>COUNTIFS('③ 店铺自发笔记'!$E$3:$E$42,"黑钻VC100(黑金)")</f>
        <v/>
      </c>
      <c r="C24" s="68">
        <f>SUMIFS('③ 店铺自发笔记'!$AF$3:$AF$42,'③ 店铺自发笔记'!$E$3:$E$42,"黑钻VC100(黑金)")</f>
        <v/>
      </c>
      <c r="D24" s="68">
        <f>SUMIFS('③ 店铺自发笔记'!$AL$3:$AL$42,'③ 店铺自发笔记'!$E$3:$E$42,"黑钻VC100(黑金)")</f>
        <v/>
      </c>
      <c r="E24" s="69">
        <f>IFERROR(AVERAGEIFS('③ 店铺自发笔记'!$AM$3:$AM$42,'③ 店铺自发笔记'!$E$3:$E$42,"黑钻VC100(黑金)"),"")</f>
        <v/>
      </c>
    </row>
    <row r="25">
      <c r="A25" s="66" t="inlineStr">
        <is>
          <t>金色·提亮补水</t>
        </is>
      </c>
      <c r="B25" s="67">
        <f>COUNTIFS('③ 店铺自发笔记'!$E$3:$E$42,"金色·提亮补水")</f>
        <v/>
      </c>
      <c r="C25" s="68">
        <f>SUMIFS('③ 店铺自发笔记'!$AF$3:$AF$42,'③ 店铺自发笔记'!$E$3:$E$42,"金色·提亮补水")</f>
        <v/>
      </c>
      <c r="D25" s="68">
        <f>SUMIFS('③ 店铺自发笔记'!$AL$3:$AL$42,'③ 店铺自发笔记'!$E$3:$E$42,"金色·提亮补水")</f>
        <v/>
      </c>
      <c r="E25" s="69">
        <f>IFERROR(AVERAGEIFS('③ 店铺自发笔记'!$AM$3:$AM$42,'③ 店铺自发笔记'!$E$3:$E$42,"金色·提亮补水"),"")</f>
        <v/>
      </c>
    </row>
    <row r="26">
      <c r="A26" s="66" t="inlineStr">
        <is>
          <t>黑银·水光细毛孔</t>
        </is>
      </c>
      <c r="B26" s="67">
        <f>COUNTIFS('③ 店铺自发笔记'!$E$3:$E$42,"黑银·水光细毛孔")</f>
        <v/>
      </c>
      <c r="C26" s="68">
        <f>SUMIFS('③ 店铺自发笔记'!$AF$3:$AF$42,'③ 店铺自发笔记'!$E$3:$E$42,"黑银·水光细毛孔")</f>
        <v/>
      </c>
      <c r="D26" s="68">
        <f>SUMIFS('③ 店铺自发笔记'!$AL$3:$AL$42,'③ 店铺自发笔记'!$E$3:$E$42,"黑银·水光细毛孔")</f>
        <v/>
      </c>
      <c r="E26" s="69">
        <f>IFERROR(AVERAGEIFS('③ 店铺自发笔记'!$AM$3:$AM$42,'③ 店铺自发笔记'!$E$3:$E$42,"黑银·水光细毛孔"),"")</f>
        <v/>
      </c>
    </row>
    <row r="27">
      <c r="A27" s="66" t="inlineStr">
        <is>
          <t>深蓝·维稳补水</t>
        </is>
      </c>
      <c r="B27" s="67">
        <f>COUNTIFS('③ 店铺自发笔记'!$E$3:$E$42,"深蓝·维稳补水")</f>
        <v/>
      </c>
      <c r="C27" s="68">
        <f>SUMIFS('③ 店铺自发笔记'!$AF$3:$AF$42,'③ 店铺自发笔记'!$E$3:$E$42,"深蓝·维稳补水")</f>
        <v/>
      </c>
      <c r="D27" s="68">
        <f>SUMIFS('③ 店铺自发笔记'!$AL$3:$AL$42,'③ 店铺自发笔记'!$E$3:$E$42,"深蓝·维稳补水")</f>
        <v/>
      </c>
      <c r="E27" s="69">
        <f>IFERROR(AVERAGEIFS('③ 店铺自发笔记'!$AM$3:$AM$42,'③ 店铺自发笔记'!$E$3:$E$42,"深蓝·维稳补水"),"")</f>
        <v/>
      </c>
    </row>
    <row r="28">
      <c r="A28" s="66" t="inlineStr">
        <is>
          <t>银色·提亮</t>
        </is>
      </c>
      <c r="B28" s="67">
        <f>COUNTIFS('③ 店铺自发笔记'!$E$3:$E$42,"银色·提亮")</f>
        <v/>
      </c>
      <c r="C28" s="68">
        <f>SUMIFS('③ 店铺自发笔记'!$AF$3:$AF$42,'③ 店铺自发笔记'!$E$3:$E$42,"银色·提亮")</f>
        <v/>
      </c>
      <c r="D28" s="68">
        <f>SUMIFS('③ 店铺自发笔记'!$AL$3:$AL$42,'③ 店铺自发笔记'!$E$3:$E$42,"银色·提亮")</f>
        <v/>
      </c>
      <c r="E28" s="69">
        <f>IFERROR(AVERAGEIFS('③ 店铺自发笔记'!$AM$3:$AM$42,'③ 店铺自发笔记'!$E$3:$E$42,"银色·提亮"),"")</f>
        <v/>
      </c>
    </row>
    <row r="29">
      <c r="A29" s="66" t="inlineStr">
        <is>
          <t>（其他/新品）</t>
        </is>
      </c>
      <c r="B29" s="67">
        <f>COUNTIFS('③ 店铺自发笔记'!$E$3:$E$42,"（其他/新品）")</f>
        <v/>
      </c>
      <c r="C29" s="68">
        <f>SUMIFS('③ 店铺自发笔记'!$AF$3:$AF$42,'③ 店铺自发笔记'!$E$3:$E$42,"（其他/新品）")</f>
        <v/>
      </c>
      <c r="D29" s="68">
        <f>SUMIFS('③ 店铺自发笔记'!$AL$3:$AL$42,'③ 店铺自发笔记'!$E$3:$E$42,"（其他/新品）")</f>
        <v/>
      </c>
      <c r="E29" s="69">
        <f>IFERROR(AVERAGEIFS('③ 店铺自发笔记'!$AM$3:$AM$42,'③ 店铺自发笔记'!$E$3:$E$42,"（其他/新品）"),"")</f>
        <v/>
      </c>
    </row>
    <row r="30"/>
    <row r="31">
      <c r="A31" s="64" t="inlineStr">
        <is>
          <t>素人笔记 · 留存概览</t>
        </is>
      </c>
    </row>
    <row r="32">
      <c r="A32" s="65" t="inlineStr">
        <is>
          <t>留存/口碑</t>
        </is>
      </c>
      <c r="B32" s="65" t="inlineStr">
        <is>
          <t>数量</t>
        </is>
      </c>
    </row>
    <row r="33">
      <c r="A33" s="66" t="inlineStr">
        <is>
          <t>满3月留存=是</t>
        </is>
      </c>
      <c r="B33" s="67">
        <f>COUNTIFS('④ 素人笔记·留存追踪'!$AD$3:$AD$52,"是")</f>
        <v/>
      </c>
    </row>
    <row r="34">
      <c r="A34" s="66" t="inlineStr">
        <is>
          <t>满3月留存=否</t>
        </is>
      </c>
      <c r="B34" s="67">
        <f>COUNTIFS('④ 素人笔记·留存追踪'!$AD$3:$AD$52,"否")</f>
        <v/>
      </c>
    </row>
    <row r="35">
      <c r="A35" s="66" t="inlineStr">
        <is>
          <t>观测中</t>
        </is>
      </c>
      <c r="B35" s="67">
        <f>COUNTIFS('④ 素人笔记·留存追踪'!$AD$3:$AD$52,"观测中")</f>
        <v/>
      </c>
    </row>
    <row r="36">
      <c r="A36" s="66" t="inlineStr">
        <is>
          <t>口碑·正面</t>
        </is>
      </c>
      <c r="B36" s="67">
        <f>COUNTIFS('④ 素人笔记·留存追踪'!$G$3:$G$52,"正面")</f>
        <v/>
      </c>
    </row>
    <row r="37">
      <c r="A37" s="66" t="inlineStr">
        <is>
          <t>口碑·中性</t>
        </is>
      </c>
      <c r="B37" s="67">
        <f>COUNTIFS('④ 素人笔记·留存追踪'!$G$3:$G$52,"中性")</f>
        <v/>
      </c>
    </row>
    <row r="38">
      <c r="A38" s="66" t="inlineStr">
        <is>
          <t>口碑·负面</t>
        </is>
      </c>
      <c r="B38" s="67">
        <f>COUNTIFS('④ 素人笔记·留存追踪'!$G$3:$G$52,"负面")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9E6B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 ht="18" customHeight="1">
      <c r="A1" s="71" t="inlineStr">
        <is>
          <t>皇后的秘密 · 面膜(Quality1st代运营) · 笔记数据收集表 · 填写说明</t>
        </is>
      </c>
      <c r="B1" s="72" t="inlineStr"/>
    </row>
    <row r="2" ht="18" customHeight="1">
      <c r="A2" s="73" t="inlineStr">
        <is>
          <t>浅黄底 单元格</t>
        </is>
      </c>
      <c r="B2" s="72" t="inlineStr">
        <is>
          <t>人工填写（输入项）</t>
        </is>
      </c>
    </row>
    <row r="3" ht="18" customHeight="1">
      <c r="A3" s="73" t="inlineStr">
        <is>
          <t>浅灰底 单元格</t>
        </is>
      </c>
      <c r="B3" s="72" t="inlineStr">
        <is>
          <t>自动公式，勿手改（发布月/互动量/互动率/收藏率/CPE/CPM/留存）</t>
        </is>
      </c>
    </row>
    <row r="4" ht="18" customHeight="1">
      <c r="A4" s="73" t="inlineStr">
        <is>
          <t>下拉列表</t>
        </is>
      </c>
      <c r="B4" s="72" t="inlineStr">
        <is>
          <t>状态·产品·类型·合规审核·结算·留存状态等为下拉，选项在「选项」页维护</t>
        </is>
      </c>
    </row>
    <row r="5" ht="18" customHeight="1">
      <c r="A5" s="73" t="inlineStr"/>
      <c r="B5" s="72" t="inlineStr"/>
    </row>
    <row r="6" ht="18" customHeight="1">
      <c r="A6" s="73" t="inlineStr">
        <is>
          <t>① 图文KOC投放笔记</t>
        </is>
      </c>
      <c r="B6" s="72" t="inlineStr">
        <is>
          <t>付费投放的图文KOC/达人笔记：投前审核→发布→T+3/7/15三轮采数→自动效率。</t>
        </is>
      </c>
    </row>
    <row r="7" ht="18" customHeight="1">
      <c r="A7" s="73" t="inlineStr">
        <is>
          <t>② 视频KOC投放笔记</t>
        </is>
      </c>
      <c r="B7" s="72" t="inlineStr">
        <is>
          <t>付费投放的视频KOC/达人笔记：结构同上，媒体字段为视频时长。</t>
        </is>
      </c>
    </row>
    <row r="8" ht="18" customHeight="1">
      <c r="A8" s="73" t="inlineStr">
        <is>
          <t>③ 店铺自发笔记</t>
        </is>
      </c>
      <c r="B8" s="72" t="inlineStr">
        <is>
          <t>自家蓝V/店铺号发布：无达人费用，重合规与自然数据表现。</t>
        </is>
      </c>
    </row>
    <row r="9" ht="18" customHeight="1">
      <c r="A9" s="73" t="inlineStr">
        <is>
          <t>④ 素人笔记·留存追踪</t>
        </is>
      </c>
      <c r="B9" s="72" t="inlineStr">
        <is>
          <t>素人自发提及品牌的笔记：每月观测1次、连观3个月，看『留存时长』与口碑。</t>
        </is>
      </c>
    </row>
    <row r="10" ht="18" customHeight="1">
      <c r="A10" s="73" t="inlineStr">
        <is>
          <t xml:space="preserve">   —— 留存状态</t>
        </is>
      </c>
      <c r="B10" s="72" t="inlineStr">
        <is>
          <t>在=仍可见 / 已删除 / 限流(搜不到) / 改为无关；『满3月留存』自动判定。</t>
        </is>
      </c>
    </row>
    <row r="11" ht="18" customHeight="1">
      <c r="A11" s="73" t="inlineStr">
        <is>
          <t>⑤ 总览Dashboard</t>
        </is>
      </c>
      <c r="B11" s="72" t="inlineStr">
        <is>
          <t>各表按产品自动汇总篇数·曝光·互动·互动率·花费·CPE + 素人留存概览。</t>
        </is>
      </c>
    </row>
    <row r="12" ht="18" customHeight="1">
      <c r="A12" s="73" t="inlineStr"/>
      <c r="B12" s="72" t="inlineStr"/>
    </row>
    <row r="13" ht="30" customHeight="1">
      <c r="A13" s="73" t="inlineStr">
        <is>
          <t>⚠️ 合规红线</t>
        </is>
      </c>
      <c r="B13" s="72" t="inlineStr">
        <is>
          <t>化妆品红线：美白/焕白/去黄/淡斑/抗老/A醇/视黄醇/修复屏障/祛痘/医美/院线/极限词 → 改用提亮/透亮/水润/细致毛孔；小红书禁站外硬导流。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6" customWidth="1" min="1" max="13"/>
  </cols>
  <sheetData>
    <row r="1">
      <c r="A1" s="74" t="inlineStr">
        <is>
          <t>状态</t>
        </is>
      </c>
      <c r="B1" s="74" t="inlineStr">
        <is>
          <t>达人层级</t>
        </is>
      </c>
      <c r="C1" s="74" t="inlineStr">
        <is>
          <t>内部对接人</t>
        </is>
      </c>
      <c r="D1" s="74" t="inlineStr">
        <is>
          <t>笔记类型</t>
        </is>
      </c>
      <c r="E1" s="74" t="inlineStr">
        <is>
          <t>内容形式</t>
        </is>
      </c>
      <c r="F1" s="74" t="inlineStr">
        <is>
          <t>合规审核</t>
        </is>
      </c>
      <c r="G1" s="74" t="inlineStr">
        <is>
          <t>审核人</t>
        </is>
      </c>
      <c r="H1" s="74" t="inlineStr">
        <is>
          <t>是否</t>
        </is>
      </c>
      <c r="I1" s="74" t="inlineStr">
        <is>
          <t>话题维护</t>
        </is>
      </c>
      <c r="J1" s="74" t="inlineStr">
        <is>
          <t>结算状态</t>
        </is>
      </c>
      <c r="K1" s="74" t="inlineStr">
        <is>
          <t>情感倾向</t>
        </is>
      </c>
      <c r="L1" s="74" t="inlineStr">
        <is>
          <t>留存状态</t>
        </is>
      </c>
      <c r="M1" s="74" t="inlineStr">
        <is>
          <t>投放产品</t>
        </is>
      </c>
    </row>
    <row r="2">
      <c r="A2" t="inlineStr">
        <is>
          <t>排期</t>
        </is>
      </c>
      <c r="B2" t="inlineStr">
        <is>
          <t>头部KOL</t>
        </is>
      </c>
      <c r="C2" t="inlineStr">
        <is>
          <t>（填成员名）</t>
        </is>
      </c>
      <c r="D2" t="inlineStr">
        <is>
          <t>A·选购攻略</t>
        </is>
      </c>
      <c r="E2" t="inlineStr">
        <is>
          <t>图文</t>
        </is>
      </c>
      <c r="F2" t="inlineStr">
        <is>
          <t>待审</t>
        </is>
      </c>
      <c r="G2" t="inlineStr">
        <is>
          <t>（填成员名）</t>
        </is>
      </c>
      <c r="H2" t="inlineStr">
        <is>
          <t>是</t>
        </is>
      </c>
      <c r="I2" t="inlineStr">
        <is>
          <t>已维护</t>
        </is>
      </c>
      <c r="J2" t="inlineStr">
        <is>
          <t>未付</t>
        </is>
      </c>
      <c r="K2" t="inlineStr">
        <is>
          <t>正面</t>
        </is>
      </c>
      <c r="L2" t="inlineStr">
        <is>
          <t>在</t>
        </is>
      </c>
      <c r="M2" t="inlineStr">
        <is>
          <t>黑钻VC100(黑金)</t>
        </is>
      </c>
    </row>
    <row r="3">
      <c r="A3" t="inlineStr">
        <is>
          <t>待审稿</t>
        </is>
      </c>
      <c r="B3" t="inlineStr">
        <is>
          <t>腰部</t>
        </is>
      </c>
      <c r="C3" t="inlineStr">
        <is>
          <t>曹</t>
        </is>
      </c>
      <c r="D3" t="inlineStr">
        <is>
          <t>B·测评回购</t>
        </is>
      </c>
      <c r="E3" t="inlineStr">
        <is>
          <t>视频</t>
        </is>
      </c>
      <c r="F3" t="inlineStr">
        <is>
          <t>✅通过</t>
        </is>
      </c>
      <c r="G3" t="inlineStr">
        <is>
          <t>曹</t>
        </is>
      </c>
      <c r="H3" t="inlineStr">
        <is>
          <t>否</t>
        </is>
      </c>
      <c r="I3" t="inlineStr">
        <is>
          <t>未维护</t>
        </is>
      </c>
      <c r="J3" t="inlineStr">
        <is>
          <t>已付</t>
        </is>
      </c>
      <c r="K3" t="inlineStr">
        <is>
          <t>中性</t>
        </is>
      </c>
      <c r="L3" t="inlineStr">
        <is>
          <t>已删除</t>
        </is>
      </c>
      <c r="M3" t="inlineStr">
        <is>
          <t>金色·提亮补水</t>
        </is>
      </c>
    </row>
    <row r="4">
      <c r="A4" t="inlineStr">
        <is>
          <t>已投</t>
        </is>
      </c>
      <c r="B4" t="inlineStr">
        <is>
          <t>尾部</t>
        </is>
      </c>
      <c r="C4" t="inlineStr">
        <is>
          <t>成员A</t>
        </is>
      </c>
      <c r="D4" t="inlineStr">
        <is>
          <t>C·场景种草</t>
        </is>
      </c>
      <c r="F4" t="inlineStr">
        <is>
          <t>⚠️需改</t>
        </is>
      </c>
      <c r="G4" t="inlineStr">
        <is>
          <t>成员A</t>
        </is>
      </c>
      <c r="I4" t="inlineStr">
        <is>
          <t>不适用</t>
        </is>
      </c>
      <c r="J4" t="inlineStr">
        <is>
          <t>部分付</t>
        </is>
      </c>
      <c r="K4" t="inlineStr">
        <is>
          <t>负面</t>
        </is>
      </c>
      <c r="L4" t="inlineStr">
        <is>
          <t>限流</t>
        </is>
      </c>
      <c r="M4" t="inlineStr">
        <is>
          <t>黑银·水光细毛孔</t>
        </is>
      </c>
    </row>
    <row r="5">
      <c r="A5" t="inlineStr">
        <is>
          <t>追踪中</t>
        </is>
      </c>
      <c r="B5" t="inlineStr">
        <is>
          <t>KOC</t>
        </is>
      </c>
      <c r="C5" t="inlineStr">
        <is>
          <t>成员B</t>
        </is>
      </c>
      <c r="D5" t="inlineStr">
        <is>
          <t>D·开箱vlog</t>
        </is>
      </c>
      <c r="F5" t="inlineStr">
        <is>
          <t>❌驳回</t>
        </is>
      </c>
      <c r="L5" t="inlineStr">
        <is>
          <t>改为无关</t>
        </is>
      </c>
      <c r="M5" t="inlineStr">
        <is>
          <t>深蓝·维稳补水</t>
        </is>
      </c>
    </row>
    <row r="6">
      <c r="A6" t="inlineStr">
        <is>
          <t>已结案</t>
        </is>
      </c>
      <c r="D6" t="inlineStr">
        <is>
          <t>E·比价囤货</t>
        </is>
      </c>
      <c r="M6" t="inlineStr">
        <is>
          <t>银色·提亮</t>
        </is>
      </c>
    </row>
    <row r="7">
      <c r="M7" t="inlineStr">
        <is>
          <t>（其他/新品）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2026-08-10T05:10:43Z</dcterms:created>
  <dcterms:modified xmlns:dcterms="http://purl.org/dc/terms/" xmlns:xsi="http://www.w3.org/2001/XMLSchema-instance" xsi:type="dcterms:W3CDTF">2026-08-10T05:10:46Z</dcterms:modified>
</cp:coreProperties>
</file>