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达人投放笔记·登记" sheetId="1" state="visible" r:id="rId1"/>
    <sheet xmlns:r="http://schemas.openxmlformats.org/officeDocument/2006/relationships" name="选项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name val="Microsoft YaHei"/>
      <b val="1"/>
      <color rgb="001B2A4A"/>
      <sz val="13"/>
    </font>
    <font>
      <name val="Microsoft YaHei"/>
      <b val="1"/>
      <color rgb="00FFFFFF"/>
      <sz val="10"/>
    </font>
    <font>
      <name val="Microsoft YaHei"/>
      <b val="1"/>
      <color rgb="001B2A4A"/>
      <sz val="9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BF6000"/>
      <sz val="10"/>
    </font>
    <font>
      <name val="Microsoft YaHei"/>
      <color rgb="00000000"/>
      <sz val="10"/>
    </font>
    <font>
      <name val="Microsoft YaHei"/>
      <color rgb="00C00000"/>
      <sz val="10"/>
    </font>
    <font>
      <name val="Microsoft YaHei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3C6FF0"/>
      </patternFill>
    </fill>
    <fill>
      <patternFill patternType="solid">
        <fgColor rgb="002E9E6B"/>
      </patternFill>
    </fill>
    <fill>
      <patternFill patternType="solid">
        <fgColor rgb="0014807A"/>
      </patternFill>
    </fill>
    <fill>
      <patternFill patternType="solid">
        <fgColor rgb="00D69300"/>
      </patternFill>
    </fill>
    <fill>
      <patternFill patternType="solid">
        <fgColor rgb="00EAF1FF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D6EF"/>
      </left>
      <right style="thin">
        <color rgb="00C9D6EF"/>
      </right>
      <top style="thin">
        <color rgb="00C9D6EF"/>
      </top>
      <bottom style="thin">
        <color rgb="00C9D6E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0" customWidth="1" min="4" max="4"/>
    <col width="9" customWidth="1" min="5" max="5"/>
    <col width="16" customWidth="1" min="6" max="6"/>
    <col width="13" customWidth="1" min="7" max="7"/>
    <col width="9" customWidth="1" min="8" max="8"/>
    <col width="9" customWidth="1" min="9" max="9"/>
    <col width="9" customWidth="1" min="10" max="10"/>
    <col width="22" customWidth="1" min="11" max="11"/>
    <col width="16" customWidth="1" min="12" max="12"/>
    <col width="9" customWidth="1" min="13" max="13"/>
    <col width="11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10" customWidth="1" min="23" max="23"/>
    <col width="10" customWidth="1" min="24" max="24"/>
    <col width="11" customWidth="1" min="25" max="25"/>
    <col width="12" customWidth="1" min="26" max="26"/>
    <col width="20" customWidth="1" min="27" max="27"/>
  </cols>
  <sheetData>
    <row r="1" ht="24" customHeight="1">
      <c r="A1" s="1" t="inlineStr">
        <is>
          <t>皇后的秘密面膜 · 小红书达人投放数据登记（优化版）　｜　黄=手填 · 灰=自动 · 蓝=投后回填</t>
        </is>
      </c>
    </row>
    <row r="2" ht="20" customHeight="1">
      <c r="A2" s="2" t="inlineStr">
        <is>
          <t>① 投放登记（我们填）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inlineStr">
        <is>
          <t>② 内容表现（品牌方核心 · 定版采集1次）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6" t="inlineStr">
        <is>
          <t>③ 效率（自动）</t>
        </is>
      </c>
      <c r="X2" s="7" t="n"/>
      <c r="Y2" s="8" t="inlineStr">
        <is>
          <t>④ 种草承接（投后回填 · 连到天猫）</t>
        </is>
      </c>
      <c r="Z2" s="9" t="n"/>
      <c r="AA2" s="9" t="n"/>
    </row>
    <row r="3" ht="30" customHeight="1">
      <c r="A3" s="10" t="inlineStr">
        <is>
          <t>序号</t>
        </is>
      </c>
      <c r="B3" s="10" t="inlineStr">
        <is>
          <t>发布日期</t>
        </is>
      </c>
      <c r="C3" s="10" t="inlineStr">
        <is>
          <t>达人名称</t>
        </is>
      </c>
      <c r="D3" s="10" t="inlineStr">
        <is>
          <t>达人层级</t>
        </is>
      </c>
      <c r="E3" s="10" t="inlineStr">
        <is>
          <t>粉丝量</t>
        </is>
      </c>
      <c r="F3" s="10" t="inlineStr">
        <is>
          <t>达人主页链接</t>
        </is>
      </c>
      <c r="G3" s="10" t="inlineStr">
        <is>
          <t>投放产品/SKU</t>
        </is>
      </c>
      <c r="H3" s="10" t="inlineStr">
        <is>
          <t>笔记起点</t>
        </is>
      </c>
      <c r="I3" s="10" t="inlineStr">
        <is>
          <t>内容形式</t>
        </is>
      </c>
      <c r="J3" s="10" t="inlineStr">
        <is>
          <t>合规审核</t>
        </is>
      </c>
      <c r="K3" s="10" t="inlineStr">
        <is>
          <t>笔记标题</t>
        </is>
      </c>
      <c r="L3" s="10" t="inlineStr">
        <is>
          <t>笔记链接</t>
        </is>
      </c>
      <c r="M3" s="10" t="inlineStr">
        <is>
          <t>稿费(元)</t>
        </is>
      </c>
      <c r="N3" s="10" t="inlineStr">
        <is>
          <t>数据采集日</t>
        </is>
      </c>
      <c r="O3" s="10" t="inlineStr">
        <is>
          <t>曝光</t>
        </is>
      </c>
      <c r="P3" s="10" t="inlineStr">
        <is>
          <t>点赞</t>
        </is>
      </c>
      <c r="Q3" s="10" t="inlineStr">
        <is>
          <t>收藏</t>
        </is>
      </c>
      <c r="R3" s="10" t="inlineStr">
        <is>
          <t>评论</t>
        </is>
      </c>
      <c r="S3" s="10" t="inlineStr">
        <is>
          <t>互动量</t>
        </is>
      </c>
      <c r="T3" s="10" t="inlineStr">
        <is>
          <t>互动率</t>
        </is>
      </c>
      <c r="U3" s="10" t="inlineStr">
        <is>
          <t>收藏率</t>
        </is>
      </c>
      <c r="V3" s="10" t="inlineStr">
        <is>
          <t>是否爆文</t>
        </is>
      </c>
      <c r="W3" s="10" t="inlineStr">
        <is>
          <t>CPM千次曝光</t>
        </is>
      </c>
      <c r="X3" s="10" t="inlineStr">
        <is>
          <t>CPE互动成本</t>
        </is>
      </c>
      <c r="Y3" s="10" t="inlineStr">
        <is>
          <t>评论区求链接/哪买</t>
        </is>
      </c>
      <c r="Z3" s="10" t="inlineStr">
        <is>
          <t>天猫专属码入店/加购</t>
        </is>
      </c>
      <c r="AA3" s="10" t="inlineStr">
        <is>
          <t>备注/证据截图</t>
        </is>
      </c>
    </row>
    <row r="4">
      <c r="A4" s="11" t="n">
        <v>1</v>
      </c>
      <c r="B4" s="12" t="n"/>
      <c r="C4" s="11" t="n"/>
      <c r="D4" s="11" t="n"/>
      <c r="E4" s="13" t="n"/>
      <c r="F4" s="14" t="n"/>
      <c r="G4" s="11" t="n"/>
      <c r="H4" s="11" t="n"/>
      <c r="I4" s="11" t="n"/>
      <c r="J4" s="11" t="n"/>
      <c r="K4" s="14" t="n"/>
      <c r="L4" s="14" t="n"/>
      <c r="M4" s="15" t="n"/>
      <c r="N4" s="12" t="n"/>
      <c r="O4" s="13" t="n"/>
      <c r="P4" s="13" t="n"/>
      <c r="Q4" s="13" t="n"/>
      <c r="R4" s="13" t="n"/>
      <c r="S4" s="16">
        <f>IF(O4="","",SUM(P4:R4))</f>
        <v/>
      </c>
      <c r="T4" s="17">
        <f>IF(OR(O4="",O4=0),"",S4/O4)</f>
        <v/>
      </c>
      <c r="U4" s="17">
        <f>IF(OR(O4="",O4=0),"",Q4/O4)</f>
        <v/>
      </c>
      <c r="V4" s="18">
        <f>IF(S4="","",IF(OR(S4&gt;=1000,AND(ISNUMBER(T4),T4&gt;=0.05)),"爆文",""))</f>
        <v/>
      </c>
      <c r="W4" s="16">
        <f>IF(OR(M4="",O4="",O4=0),"",M4/O4*1000)</f>
        <v/>
      </c>
      <c r="X4" s="19">
        <f>IF(OR(M4="",S4="",S4=0),"",M4/S4)</f>
        <v/>
      </c>
      <c r="Y4" s="20" t="n"/>
      <c r="Z4" s="20" t="n"/>
      <c r="AA4" s="21" t="n"/>
    </row>
    <row r="5">
      <c r="A5" s="11" t="n">
        <v>2</v>
      </c>
      <c r="B5" s="12" t="n"/>
      <c r="C5" s="11" t="n"/>
      <c r="D5" s="11" t="n"/>
      <c r="E5" s="13" t="n"/>
      <c r="F5" s="14" t="n"/>
      <c r="G5" s="11" t="n"/>
      <c r="H5" s="11" t="n"/>
      <c r="I5" s="11" t="n"/>
      <c r="J5" s="11" t="n"/>
      <c r="K5" s="14" t="n"/>
      <c r="L5" s="14" t="n"/>
      <c r="M5" s="15" t="n"/>
      <c r="N5" s="12" t="n"/>
      <c r="O5" s="13" t="n"/>
      <c r="P5" s="13" t="n"/>
      <c r="Q5" s="13" t="n"/>
      <c r="R5" s="13" t="n"/>
      <c r="S5" s="16">
        <f>IF(O5="","",SUM(P5:R5))</f>
        <v/>
      </c>
      <c r="T5" s="17">
        <f>IF(OR(O5="",O5=0),"",S5/O5)</f>
        <v/>
      </c>
      <c r="U5" s="17">
        <f>IF(OR(O5="",O5=0),"",Q5/O5)</f>
        <v/>
      </c>
      <c r="V5" s="18">
        <f>IF(S5="","",IF(OR(S5&gt;=1000,AND(ISNUMBER(T5),T5&gt;=0.05)),"爆文",""))</f>
        <v/>
      </c>
      <c r="W5" s="16">
        <f>IF(OR(M5="",O5="",O5=0),"",M5/O5*1000)</f>
        <v/>
      </c>
      <c r="X5" s="19">
        <f>IF(OR(M5="",S5="",S5=0),"",M5/S5)</f>
        <v/>
      </c>
      <c r="Y5" s="20" t="n"/>
      <c r="Z5" s="20" t="n"/>
      <c r="AA5" s="21" t="n"/>
    </row>
    <row r="6">
      <c r="A6" s="11" t="n">
        <v>3</v>
      </c>
      <c r="B6" s="12" t="n"/>
      <c r="C6" s="11" t="n"/>
      <c r="D6" s="11" t="n"/>
      <c r="E6" s="13" t="n"/>
      <c r="F6" s="14" t="n"/>
      <c r="G6" s="11" t="n"/>
      <c r="H6" s="11" t="n"/>
      <c r="I6" s="11" t="n"/>
      <c r="J6" s="11" t="n"/>
      <c r="K6" s="14" t="n"/>
      <c r="L6" s="14" t="n"/>
      <c r="M6" s="15" t="n"/>
      <c r="N6" s="12" t="n"/>
      <c r="O6" s="13" t="n"/>
      <c r="P6" s="13" t="n"/>
      <c r="Q6" s="13" t="n"/>
      <c r="R6" s="13" t="n"/>
      <c r="S6" s="16">
        <f>IF(O6="","",SUM(P6:R6))</f>
        <v/>
      </c>
      <c r="T6" s="17">
        <f>IF(OR(O6="",O6=0),"",S6/O6)</f>
        <v/>
      </c>
      <c r="U6" s="17">
        <f>IF(OR(O6="",O6=0),"",Q6/O6)</f>
        <v/>
      </c>
      <c r="V6" s="18">
        <f>IF(S6="","",IF(OR(S6&gt;=1000,AND(ISNUMBER(T6),T6&gt;=0.05)),"爆文",""))</f>
        <v/>
      </c>
      <c r="W6" s="16">
        <f>IF(OR(M6="",O6="",O6=0),"",M6/O6*1000)</f>
        <v/>
      </c>
      <c r="X6" s="19">
        <f>IF(OR(M6="",S6="",S6=0),"",M6/S6)</f>
        <v/>
      </c>
      <c r="Y6" s="20" t="n"/>
      <c r="Z6" s="20" t="n"/>
      <c r="AA6" s="21" t="n"/>
    </row>
    <row r="7">
      <c r="A7" s="11" t="n">
        <v>4</v>
      </c>
      <c r="B7" s="12" t="n"/>
      <c r="C7" s="11" t="n"/>
      <c r="D7" s="11" t="n"/>
      <c r="E7" s="13" t="n"/>
      <c r="F7" s="14" t="n"/>
      <c r="G7" s="11" t="n"/>
      <c r="H7" s="11" t="n"/>
      <c r="I7" s="11" t="n"/>
      <c r="J7" s="11" t="n"/>
      <c r="K7" s="14" t="n"/>
      <c r="L7" s="14" t="n"/>
      <c r="M7" s="15" t="n"/>
      <c r="N7" s="12" t="n"/>
      <c r="O7" s="13" t="n"/>
      <c r="P7" s="13" t="n"/>
      <c r="Q7" s="13" t="n"/>
      <c r="R7" s="13" t="n"/>
      <c r="S7" s="16">
        <f>IF(O7="","",SUM(P7:R7))</f>
        <v/>
      </c>
      <c r="T7" s="17">
        <f>IF(OR(O7="",O7=0),"",S7/O7)</f>
        <v/>
      </c>
      <c r="U7" s="17">
        <f>IF(OR(O7="",O7=0),"",Q7/O7)</f>
        <v/>
      </c>
      <c r="V7" s="18">
        <f>IF(S7="","",IF(OR(S7&gt;=1000,AND(ISNUMBER(T7),T7&gt;=0.05)),"爆文",""))</f>
        <v/>
      </c>
      <c r="W7" s="16">
        <f>IF(OR(M7="",O7="",O7=0),"",M7/O7*1000)</f>
        <v/>
      </c>
      <c r="X7" s="19">
        <f>IF(OR(M7="",S7="",S7=0),"",M7/S7)</f>
        <v/>
      </c>
      <c r="Y7" s="20" t="n"/>
      <c r="Z7" s="20" t="n"/>
      <c r="AA7" s="21" t="n"/>
    </row>
    <row r="8">
      <c r="A8" s="11" t="n">
        <v>5</v>
      </c>
      <c r="B8" s="12" t="n"/>
      <c r="C8" s="11" t="n"/>
      <c r="D8" s="11" t="n"/>
      <c r="E8" s="13" t="n"/>
      <c r="F8" s="14" t="n"/>
      <c r="G8" s="11" t="n"/>
      <c r="H8" s="11" t="n"/>
      <c r="I8" s="11" t="n"/>
      <c r="J8" s="11" t="n"/>
      <c r="K8" s="14" t="n"/>
      <c r="L8" s="14" t="n"/>
      <c r="M8" s="15" t="n"/>
      <c r="N8" s="12" t="n"/>
      <c r="O8" s="13" t="n"/>
      <c r="P8" s="13" t="n"/>
      <c r="Q8" s="13" t="n"/>
      <c r="R8" s="13" t="n"/>
      <c r="S8" s="16">
        <f>IF(O8="","",SUM(P8:R8))</f>
        <v/>
      </c>
      <c r="T8" s="17">
        <f>IF(OR(O8="",O8=0),"",S8/O8)</f>
        <v/>
      </c>
      <c r="U8" s="17">
        <f>IF(OR(O8="",O8=0),"",Q8/O8)</f>
        <v/>
      </c>
      <c r="V8" s="18">
        <f>IF(S8="","",IF(OR(S8&gt;=1000,AND(ISNUMBER(T8),T8&gt;=0.05)),"爆文",""))</f>
        <v/>
      </c>
      <c r="W8" s="16">
        <f>IF(OR(M8="",O8="",O8=0),"",M8/O8*1000)</f>
        <v/>
      </c>
      <c r="X8" s="19">
        <f>IF(OR(M8="",S8="",S8=0),"",M8/S8)</f>
        <v/>
      </c>
      <c r="Y8" s="20" t="n"/>
      <c r="Z8" s="20" t="n"/>
      <c r="AA8" s="21" t="n"/>
    </row>
    <row r="9">
      <c r="A9" s="11" t="n">
        <v>6</v>
      </c>
      <c r="B9" s="12" t="n"/>
      <c r="C9" s="11" t="n"/>
      <c r="D9" s="11" t="n"/>
      <c r="E9" s="13" t="n"/>
      <c r="F9" s="14" t="n"/>
      <c r="G9" s="11" t="n"/>
      <c r="H9" s="11" t="n"/>
      <c r="I9" s="11" t="n"/>
      <c r="J9" s="11" t="n"/>
      <c r="K9" s="14" t="n"/>
      <c r="L9" s="14" t="n"/>
      <c r="M9" s="15" t="n"/>
      <c r="N9" s="12" t="n"/>
      <c r="O9" s="13" t="n"/>
      <c r="P9" s="13" t="n"/>
      <c r="Q9" s="13" t="n"/>
      <c r="R9" s="13" t="n"/>
      <c r="S9" s="16">
        <f>IF(O9="","",SUM(P9:R9))</f>
        <v/>
      </c>
      <c r="T9" s="17">
        <f>IF(OR(O9="",O9=0),"",S9/O9)</f>
        <v/>
      </c>
      <c r="U9" s="17">
        <f>IF(OR(O9="",O9=0),"",Q9/O9)</f>
        <v/>
      </c>
      <c r="V9" s="18">
        <f>IF(S9="","",IF(OR(S9&gt;=1000,AND(ISNUMBER(T9),T9&gt;=0.05)),"爆文",""))</f>
        <v/>
      </c>
      <c r="W9" s="16">
        <f>IF(OR(M9="",O9="",O9=0),"",M9/O9*1000)</f>
        <v/>
      </c>
      <c r="X9" s="19">
        <f>IF(OR(M9="",S9="",S9=0),"",M9/S9)</f>
        <v/>
      </c>
      <c r="Y9" s="20" t="n"/>
      <c r="Z9" s="20" t="n"/>
      <c r="AA9" s="21" t="n"/>
    </row>
    <row r="10">
      <c r="A10" s="11" t="n">
        <v>7</v>
      </c>
      <c r="B10" s="12" t="n"/>
      <c r="C10" s="11" t="n"/>
      <c r="D10" s="11" t="n"/>
      <c r="E10" s="13" t="n"/>
      <c r="F10" s="14" t="n"/>
      <c r="G10" s="11" t="n"/>
      <c r="H10" s="11" t="n"/>
      <c r="I10" s="11" t="n"/>
      <c r="J10" s="11" t="n"/>
      <c r="K10" s="14" t="n"/>
      <c r="L10" s="14" t="n"/>
      <c r="M10" s="15" t="n"/>
      <c r="N10" s="12" t="n"/>
      <c r="O10" s="13" t="n"/>
      <c r="P10" s="13" t="n"/>
      <c r="Q10" s="13" t="n"/>
      <c r="R10" s="13" t="n"/>
      <c r="S10" s="16">
        <f>IF(O10="","",SUM(P10:R10))</f>
        <v/>
      </c>
      <c r="T10" s="17">
        <f>IF(OR(O10="",O10=0),"",S10/O10)</f>
        <v/>
      </c>
      <c r="U10" s="17">
        <f>IF(OR(O10="",O10=0),"",Q10/O10)</f>
        <v/>
      </c>
      <c r="V10" s="18">
        <f>IF(S10="","",IF(OR(S10&gt;=1000,AND(ISNUMBER(T10),T10&gt;=0.05)),"爆文",""))</f>
        <v/>
      </c>
      <c r="W10" s="16">
        <f>IF(OR(M10="",O10="",O10=0),"",M10/O10*1000)</f>
        <v/>
      </c>
      <c r="X10" s="19">
        <f>IF(OR(M10="",S10="",S10=0),"",M10/S10)</f>
        <v/>
      </c>
      <c r="Y10" s="20" t="n"/>
      <c r="Z10" s="20" t="n"/>
      <c r="AA10" s="21" t="n"/>
    </row>
    <row r="11">
      <c r="A11" s="11" t="n">
        <v>8</v>
      </c>
      <c r="B11" s="12" t="n"/>
      <c r="C11" s="11" t="n"/>
      <c r="D11" s="11" t="n"/>
      <c r="E11" s="13" t="n"/>
      <c r="F11" s="14" t="n"/>
      <c r="G11" s="11" t="n"/>
      <c r="H11" s="11" t="n"/>
      <c r="I11" s="11" t="n"/>
      <c r="J11" s="11" t="n"/>
      <c r="K11" s="14" t="n"/>
      <c r="L11" s="14" t="n"/>
      <c r="M11" s="15" t="n"/>
      <c r="N11" s="12" t="n"/>
      <c r="O11" s="13" t="n"/>
      <c r="P11" s="13" t="n"/>
      <c r="Q11" s="13" t="n"/>
      <c r="R11" s="13" t="n"/>
      <c r="S11" s="16">
        <f>IF(O11="","",SUM(P11:R11))</f>
        <v/>
      </c>
      <c r="T11" s="17">
        <f>IF(OR(O11="",O11=0),"",S11/O11)</f>
        <v/>
      </c>
      <c r="U11" s="17">
        <f>IF(OR(O11="",O11=0),"",Q11/O11)</f>
        <v/>
      </c>
      <c r="V11" s="18">
        <f>IF(S11="","",IF(OR(S11&gt;=1000,AND(ISNUMBER(T11),T11&gt;=0.05)),"爆文",""))</f>
        <v/>
      </c>
      <c r="W11" s="16">
        <f>IF(OR(M11="",O11="",O11=0),"",M11/O11*1000)</f>
        <v/>
      </c>
      <c r="X11" s="19">
        <f>IF(OR(M11="",S11="",S11=0),"",M11/S11)</f>
        <v/>
      </c>
      <c r="Y11" s="20" t="n"/>
      <c r="Z11" s="20" t="n"/>
      <c r="AA11" s="21" t="n"/>
    </row>
    <row r="12">
      <c r="A12" s="11" t="n">
        <v>9</v>
      </c>
      <c r="B12" s="12" t="n"/>
      <c r="C12" s="11" t="n"/>
      <c r="D12" s="11" t="n"/>
      <c r="E12" s="13" t="n"/>
      <c r="F12" s="14" t="n"/>
      <c r="G12" s="11" t="n"/>
      <c r="H12" s="11" t="n"/>
      <c r="I12" s="11" t="n"/>
      <c r="J12" s="11" t="n"/>
      <c r="K12" s="14" t="n"/>
      <c r="L12" s="14" t="n"/>
      <c r="M12" s="15" t="n"/>
      <c r="N12" s="12" t="n"/>
      <c r="O12" s="13" t="n"/>
      <c r="P12" s="13" t="n"/>
      <c r="Q12" s="13" t="n"/>
      <c r="R12" s="13" t="n"/>
      <c r="S12" s="16">
        <f>IF(O12="","",SUM(P12:R12))</f>
        <v/>
      </c>
      <c r="T12" s="17">
        <f>IF(OR(O12="",O12=0),"",S12/O12)</f>
        <v/>
      </c>
      <c r="U12" s="17">
        <f>IF(OR(O12="",O12=0),"",Q12/O12)</f>
        <v/>
      </c>
      <c r="V12" s="18">
        <f>IF(S12="","",IF(OR(S12&gt;=1000,AND(ISNUMBER(T12),T12&gt;=0.05)),"爆文",""))</f>
        <v/>
      </c>
      <c r="W12" s="16">
        <f>IF(OR(M12="",O12="",O12=0),"",M12/O12*1000)</f>
        <v/>
      </c>
      <c r="X12" s="19">
        <f>IF(OR(M12="",S12="",S12=0),"",M12/S12)</f>
        <v/>
      </c>
      <c r="Y12" s="20" t="n"/>
      <c r="Z12" s="20" t="n"/>
      <c r="AA12" s="21" t="n"/>
    </row>
    <row r="13">
      <c r="A13" s="11" t="n">
        <v>10</v>
      </c>
      <c r="B13" s="12" t="n"/>
      <c r="C13" s="11" t="n"/>
      <c r="D13" s="11" t="n"/>
      <c r="E13" s="13" t="n"/>
      <c r="F13" s="14" t="n"/>
      <c r="G13" s="11" t="n"/>
      <c r="H13" s="11" t="n"/>
      <c r="I13" s="11" t="n"/>
      <c r="J13" s="11" t="n"/>
      <c r="K13" s="14" t="n"/>
      <c r="L13" s="14" t="n"/>
      <c r="M13" s="15" t="n"/>
      <c r="N13" s="12" t="n"/>
      <c r="O13" s="13" t="n"/>
      <c r="P13" s="13" t="n"/>
      <c r="Q13" s="13" t="n"/>
      <c r="R13" s="13" t="n"/>
      <c r="S13" s="16">
        <f>IF(O13="","",SUM(P13:R13))</f>
        <v/>
      </c>
      <c r="T13" s="17">
        <f>IF(OR(O13="",O13=0),"",S13/O13)</f>
        <v/>
      </c>
      <c r="U13" s="17">
        <f>IF(OR(O13="",O13=0),"",Q13/O13)</f>
        <v/>
      </c>
      <c r="V13" s="18">
        <f>IF(S13="","",IF(OR(S13&gt;=1000,AND(ISNUMBER(T13),T13&gt;=0.05)),"爆文",""))</f>
        <v/>
      </c>
      <c r="W13" s="16">
        <f>IF(OR(M13="",O13="",O13=0),"",M13/O13*1000)</f>
        <v/>
      </c>
      <c r="X13" s="19">
        <f>IF(OR(M13="",S13="",S13=0),"",M13/S13)</f>
        <v/>
      </c>
      <c r="Y13" s="20" t="n"/>
      <c r="Z13" s="20" t="n"/>
      <c r="AA13" s="21" t="n"/>
    </row>
    <row r="14">
      <c r="A14" s="11" t="n">
        <v>11</v>
      </c>
      <c r="B14" s="12" t="n"/>
      <c r="C14" s="11" t="n"/>
      <c r="D14" s="11" t="n"/>
      <c r="E14" s="13" t="n"/>
      <c r="F14" s="14" t="n"/>
      <c r="G14" s="11" t="n"/>
      <c r="H14" s="11" t="n"/>
      <c r="I14" s="11" t="n"/>
      <c r="J14" s="11" t="n"/>
      <c r="K14" s="14" t="n"/>
      <c r="L14" s="14" t="n"/>
      <c r="M14" s="15" t="n"/>
      <c r="N14" s="12" t="n"/>
      <c r="O14" s="13" t="n"/>
      <c r="P14" s="13" t="n"/>
      <c r="Q14" s="13" t="n"/>
      <c r="R14" s="13" t="n"/>
      <c r="S14" s="16">
        <f>IF(O14="","",SUM(P14:R14))</f>
        <v/>
      </c>
      <c r="T14" s="17">
        <f>IF(OR(O14="",O14=0),"",S14/O14)</f>
        <v/>
      </c>
      <c r="U14" s="17">
        <f>IF(OR(O14="",O14=0),"",Q14/O14)</f>
        <v/>
      </c>
      <c r="V14" s="18">
        <f>IF(S14="","",IF(OR(S14&gt;=1000,AND(ISNUMBER(T14),T14&gt;=0.05)),"爆文",""))</f>
        <v/>
      </c>
      <c r="W14" s="16">
        <f>IF(OR(M14="",O14="",O14=0),"",M14/O14*1000)</f>
        <v/>
      </c>
      <c r="X14" s="19">
        <f>IF(OR(M14="",S14="",S14=0),"",M14/S14)</f>
        <v/>
      </c>
      <c r="Y14" s="20" t="n"/>
      <c r="Z14" s="20" t="n"/>
      <c r="AA14" s="21" t="n"/>
    </row>
    <row r="15">
      <c r="A15" s="11" t="n">
        <v>12</v>
      </c>
      <c r="B15" s="12" t="n"/>
      <c r="C15" s="11" t="n"/>
      <c r="D15" s="11" t="n"/>
      <c r="E15" s="13" t="n"/>
      <c r="F15" s="14" t="n"/>
      <c r="G15" s="11" t="n"/>
      <c r="H15" s="11" t="n"/>
      <c r="I15" s="11" t="n"/>
      <c r="J15" s="11" t="n"/>
      <c r="K15" s="14" t="n"/>
      <c r="L15" s="14" t="n"/>
      <c r="M15" s="15" t="n"/>
      <c r="N15" s="12" t="n"/>
      <c r="O15" s="13" t="n"/>
      <c r="P15" s="13" t="n"/>
      <c r="Q15" s="13" t="n"/>
      <c r="R15" s="13" t="n"/>
      <c r="S15" s="16">
        <f>IF(O15="","",SUM(P15:R15))</f>
        <v/>
      </c>
      <c r="T15" s="17">
        <f>IF(OR(O15="",O15=0),"",S15/O15)</f>
        <v/>
      </c>
      <c r="U15" s="17">
        <f>IF(OR(O15="",O15=0),"",Q15/O15)</f>
        <v/>
      </c>
      <c r="V15" s="18">
        <f>IF(S15="","",IF(OR(S15&gt;=1000,AND(ISNUMBER(T15),T15&gt;=0.05)),"爆文",""))</f>
        <v/>
      </c>
      <c r="W15" s="16">
        <f>IF(OR(M15="",O15="",O15=0),"",M15/O15*1000)</f>
        <v/>
      </c>
      <c r="X15" s="19">
        <f>IF(OR(M15="",S15="",S15=0),"",M15/S15)</f>
        <v/>
      </c>
      <c r="Y15" s="20" t="n"/>
      <c r="Z15" s="20" t="n"/>
      <c r="AA15" s="21" t="n"/>
    </row>
    <row r="16">
      <c r="A16" s="11" t="n">
        <v>13</v>
      </c>
      <c r="B16" s="12" t="n"/>
      <c r="C16" s="11" t="n"/>
      <c r="D16" s="11" t="n"/>
      <c r="E16" s="13" t="n"/>
      <c r="F16" s="14" t="n"/>
      <c r="G16" s="11" t="n"/>
      <c r="H16" s="11" t="n"/>
      <c r="I16" s="11" t="n"/>
      <c r="J16" s="11" t="n"/>
      <c r="K16" s="14" t="n"/>
      <c r="L16" s="14" t="n"/>
      <c r="M16" s="15" t="n"/>
      <c r="N16" s="12" t="n"/>
      <c r="O16" s="13" t="n"/>
      <c r="P16" s="13" t="n"/>
      <c r="Q16" s="13" t="n"/>
      <c r="R16" s="13" t="n"/>
      <c r="S16" s="16">
        <f>IF(O16="","",SUM(P16:R16))</f>
        <v/>
      </c>
      <c r="T16" s="17">
        <f>IF(OR(O16="",O16=0),"",S16/O16)</f>
        <v/>
      </c>
      <c r="U16" s="17">
        <f>IF(OR(O16="",O16=0),"",Q16/O16)</f>
        <v/>
      </c>
      <c r="V16" s="18">
        <f>IF(S16="","",IF(OR(S16&gt;=1000,AND(ISNUMBER(T16),T16&gt;=0.05)),"爆文",""))</f>
        <v/>
      </c>
      <c r="W16" s="16">
        <f>IF(OR(M16="",O16="",O16=0),"",M16/O16*1000)</f>
        <v/>
      </c>
      <c r="X16" s="19">
        <f>IF(OR(M16="",S16="",S16=0),"",M16/S16)</f>
        <v/>
      </c>
      <c r="Y16" s="20" t="n"/>
      <c r="Z16" s="20" t="n"/>
      <c r="AA16" s="21" t="n"/>
    </row>
    <row r="17">
      <c r="A17" s="11" t="n">
        <v>14</v>
      </c>
      <c r="B17" s="12" t="n"/>
      <c r="C17" s="11" t="n"/>
      <c r="D17" s="11" t="n"/>
      <c r="E17" s="13" t="n"/>
      <c r="F17" s="14" t="n"/>
      <c r="G17" s="11" t="n"/>
      <c r="H17" s="11" t="n"/>
      <c r="I17" s="11" t="n"/>
      <c r="J17" s="11" t="n"/>
      <c r="K17" s="14" t="n"/>
      <c r="L17" s="14" t="n"/>
      <c r="M17" s="15" t="n"/>
      <c r="N17" s="12" t="n"/>
      <c r="O17" s="13" t="n"/>
      <c r="P17" s="13" t="n"/>
      <c r="Q17" s="13" t="n"/>
      <c r="R17" s="13" t="n"/>
      <c r="S17" s="16">
        <f>IF(O17="","",SUM(P17:R17))</f>
        <v/>
      </c>
      <c r="T17" s="17">
        <f>IF(OR(O17="",O17=0),"",S17/O17)</f>
        <v/>
      </c>
      <c r="U17" s="17">
        <f>IF(OR(O17="",O17=0),"",Q17/O17)</f>
        <v/>
      </c>
      <c r="V17" s="18">
        <f>IF(S17="","",IF(OR(S17&gt;=1000,AND(ISNUMBER(T17),T17&gt;=0.05)),"爆文",""))</f>
        <v/>
      </c>
      <c r="W17" s="16">
        <f>IF(OR(M17="",O17="",O17=0),"",M17/O17*1000)</f>
        <v/>
      </c>
      <c r="X17" s="19">
        <f>IF(OR(M17="",S17="",S17=0),"",M17/S17)</f>
        <v/>
      </c>
      <c r="Y17" s="20" t="n"/>
      <c r="Z17" s="20" t="n"/>
      <c r="AA17" s="21" t="n"/>
    </row>
    <row r="18">
      <c r="A18" s="11" t="n">
        <v>15</v>
      </c>
      <c r="B18" s="12" t="n"/>
      <c r="C18" s="11" t="n"/>
      <c r="D18" s="11" t="n"/>
      <c r="E18" s="13" t="n"/>
      <c r="F18" s="14" t="n"/>
      <c r="G18" s="11" t="n"/>
      <c r="H18" s="11" t="n"/>
      <c r="I18" s="11" t="n"/>
      <c r="J18" s="11" t="n"/>
      <c r="K18" s="14" t="n"/>
      <c r="L18" s="14" t="n"/>
      <c r="M18" s="15" t="n"/>
      <c r="N18" s="12" t="n"/>
      <c r="O18" s="13" t="n"/>
      <c r="P18" s="13" t="n"/>
      <c r="Q18" s="13" t="n"/>
      <c r="R18" s="13" t="n"/>
      <c r="S18" s="16">
        <f>IF(O18="","",SUM(P18:R18))</f>
        <v/>
      </c>
      <c r="T18" s="17">
        <f>IF(OR(O18="",O18=0),"",S18/O18)</f>
        <v/>
      </c>
      <c r="U18" s="17">
        <f>IF(OR(O18="",O18=0),"",Q18/O18)</f>
        <v/>
      </c>
      <c r="V18" s="18">
        <f>IF(S18="","",IF(OR(S18&gt;=1000,AND(ISNUMBER(T18),T18&gt;=0.05)),"爆文",""))</f>
        <v/>
      </c>
      <c r="W18" s="16">
        <f>IF(OR(M18="",O18="",O18=0),"",M18/O18*1000)</f>
        <v/>
      </c>
      <c r="X18" s="19">
        <f>IF(OR(M18="",S18="",S18=0),"",M18/S18)</f>
        <v/>
      </c>
      <c r="Y18" s="20" t="n"/>
      <c r="Z18" s="20" t="n"/>
      <c r="AA18" s="21" t="n"/>
    </row>
    <row r="19">
      <c r="A19" s="11" t="n">
        <v>16</v>
      </c>
      <c r="B19" s="12" t="n"/>
      <c r="C19" s="11" t="n"/>
      <c r="D19" s="11" t="n"/>
      <c r="E19" s="13" t="n"/>
      <c r="F19" s="14" t="n"/>
      <c r="G19" s="11" t="n"/>
      <c r="H19" s="11" t="n"/>
      <c r="I19" s="11" t="n"/>
      <c r="J19" s="11" t="n"/>
      <c r="K19" s="14" t="n"/>
      <c r="L19" s="14" t="n"/>
      <c r="M19" s="15" t="n"/>
      <c r="N19" s="12" t="n"/>
      <c r="O19" s="13" t="n"/>
      <c r="P19" s="13" t="n"/>
      <c r="Q19" s="13" t="n"/>
      <c r="R19" s="13" t="n"/>
      <c r="S19" s="16">
        <f>IF(O19="","",SUM(P19:R19))</f>
        <v/>
      </c>
      <c r="T19" s="17">
        <f>IF(OR(O19="",O19=0),"",S19/O19)</f>
        <v/>
      </c>
      <c r="U19" s="17">
        <f>IF(OR(O19="",O19=0),"",Q19/O19)</f>
        <v/>
      </c>
      <c r="V19" s="18">
        <f>IF(S19="","",IF(OR(S19&gt;=1000,AND(ISNUMBER(T19),T19&gt;=0.05)),"爆文",""))</f>
        <v/>
      </c>
      <c r="W19" s="16">
        <f>IF(OR(M19="",O19="",O19=0),"",M19/O19*1000)</f>
        <v/>
      </c>
      <c r="X19" s="19">
        <f>IF(OR(M19="",S19="",S19=0),"",M19/S19)</f>
        <v/>
      </c>
      <c r="Y19" s="20" t="n"/>
      <c r="Z19" s="20" t="n"/>
      <c r="AA19" s="21" t="n"/>
    </row>
    <row r="20">
      <c r="A20" s="11" t="n">
        <v>17</v>
      </c>
      <c r="B20" s="12" t="n"/>
      <c r="C20" s="11" t="n"/>
      <c r="D20" s="11" t="n"/>
      <c r="E20" s="13" t="n"/>
      <c r="F20" s="14" t="n"/>
      <c r="G20" s="11" t="n"/>
      <c r="H20" s="11" t="n"/>
      <c r="I20" s="11" t="n"/>
      <c r="J20" s="11" t="n"/>
      <c r="K20" s="14" t="n"/>
      <c r="L20" s="14" t="n"/>
      <c r="M20" s="15" t="n"/>
      <c r="N20" s="12" t="n"/>
      <c r="O20" s="13" t="n"/>
      <c r="P20" s="13" t="n"/>
      <c r="Q20" s="13" t="n"/>
      <c r="R20" s="13" t="n"/>
      <c r="S20" s="16">
        <f>IF(O20="","",SUM(P20:R20))</f>
        <v/>
      </c>
      <c r="T20" s="17">
        <f>IF(OR(O20="",O20=0),"",S20/O20)</f>
        <v/>
      </c>
      <c r="U20" s="17">
        <f>IF(OR(O20="",O20=0),"",Q20/O20)</f>
        <v/>
      </c>
      <c r="V20" s="18">
        <f>IF(S20="","",IF(OR(S20&gt;=1000,AND(ISNUMBER(T20),T20&gt;=0.05)),"爆文",""))</f>
        <v/>
      </c>
      <c r="W20" s="16">
        <f>IF(OR(M20="",O20="",O20=0),"",M20/O20*1000)</f>
        <v/>
      </c>
      <c r="X20" s="19">
        <f>IF(OR(M20="",S20="",S20=0),"",M20/S20)</f>
        <v/>
      </c>
      <c r="Y20" s="20" t="n"/>
      <c r="Z20" s="20" t="n"/>
      <c r="AA20" s="21" t="n"/>
    </row>
    <row r="21">
      <c r="A21" s="11" t="n">
        <v>18</v>
      </c>
      <c r="B21" s="12" t="n"/>
      <c r="C21" s="11" t="n"/>
      <c r="D21" s="11" t="n"/>
      <c r="E21" s="13" t="n"/>
      <c r="F21" s="14" t="n"/>
      <c r="G21" s="11" t="n"/>
      <c r="H21" s="11" t="n"/>
      <c r="I21" s="11" t="n"/>
      <c r="J21" s="11" t="n"/>
      <c r="K21" s="14" t="n"/>
      <c r="L21" s="14" t="n"/>
      <c r="M21" s="15" t="n"/>
      <c r="N21" s="12" t="n"/>
      <c r="O21" s="13" t="n"/>
      <c r="P21" s="13" t="n"/>
      <c r="Q21" s="13" t="n"/>
      <c r="R21" s="13" t="n"/>
      <c r="S21" s="16">
        <f>IF(O21="","",SUM(P21:R21))</f>
        <v/>
      </c>
      <c r="T21" s="17">
        <f>IF(OR(O21="",O21=0),"",S21/O21)</f>
        <v/>
      </c>
      <c r="U21" s="17">
        <f>IF(OR(O21="",O21=0),"",Q21/O21)</f>
        <v/>
      </c>
      <c r="V21" s="18">
        <f>IF(S21="","",IF(OR(S21&gt;=1000,AND(ISNUMBER(T21),T21&gt;=0.05)),"爆文",""))</f>
        <v/>
      </c>
      <c r="W21" s="16">
        <f>IF(OR(M21="",O21="",O21=0),"",M21/O21*1000)</f>
        <v/>
      </c>
      <c r="X21" s="19">
        <f>IF(OR(M21="",S21="",S21=0),"",M21/S21)</f>
        <v/>
      </c>
      <c r="Y21" s="20" t="n"/>
      <c r="Z21" s="20" t="n"/>
      <c r="AA21" s="21" t="n"/>
    </row>
    <row r="22">
      <c r="A22" s="11" t="n">
        <v>19</v>
      </c>
      <c r="B22" s="12" t="n"/>
      <c r="C22" s="11" t="n"/>
      <c r="D22" s="11" t="n"/>
      <c r="E22" s="13" t="n"/>
      <c r="F22" s="14" t="n"/>
      <c r="G22" s="11" t="n"/>
      <c r="H22" s="11" t="n"/>
      <c r="I22" s="11" t="n"/>
      <c r="J22" s="11" t="n"/>
      <c r="K22" s="14" t="n"/>
      <c r="L22" s="14" t="n"/>
      <c r="M22" s="15" t="n"/>
      <c r="N22" s="12" t="n"/>
      <c r="O22" s="13" t="n"/>
      <c r="P22" s="13" t="n"/>
      <c r="Q22" s="13" t="n"/>
      <c r="R22" s="13" t="n"/>
      <c r="S22" s="16">
        <f>IF(O22="","",SUM(P22:R22))</f>
        <v/>
      </c>
      <c r="T22" s="17">
        <f>IF(OR(O22="",O22=0),"",S22/O22)</f>
        <v/>
      </c>
      <c r="U22" s="17">
        <f>IF(OR(O22="",O22=0),"",Q22/O22)</f>
        <v/>
      </c>
      <c r="V22" s="18">
        <f>IF(S22="","",IF(OR(S22&gt;=1000,AND(ISNUMBER(T22),T22&gt;=0.05)),"爆文",""))</f>
        <v/>
      </c>
      <c r="W22" s="16">
        <f>IF(OR(M22="",O22="",O22=0),"",M22/O22*1000)</f>
        <v/>
      </c>
      <c r="X22" s="19">
        <f>IF(OR(M22="",S22="",S22=0),"",M22/S22)</f>
        <v/>
      </c>
      <c r="Y22" s="20" t="n"/>
      <c r="Z22" s="20" t="n"/>
      <c r="AA22" s="21" t="n"/>
    </row>
    <row r="23">
      <c r="A23" s="11" t="n">
        <v>20</v>
      </c>
      <c r="B23" s="12" t="n"/>
      <c r="C23" s="11" t="n"/>
      <c r="D23" s="11" t="n"/>
      <c r="E23" s="13" t="n"/>
      <c r="F23" s="14" t="n"/>
      <c r="G23" s="11" t="n"/>
      <c r="H23" s="11" t="n"/>
      <c r="I23" s="11" t="n"/>
      <c r="J23" s="11" t="n"/>
      <c r="K23" s="14" t="n"/>
      <c r="L23" s="14" t="n"/>
      <c r="M23" s="15" t="n"/>
      <c r="N23" s="12" t="n"/>
      <c r="O23" s="13" t="n"/>
      <c r="P23" s="13" t="n"/>
      <c r="Q23" s="13" t="n"/>
      <c r="R23" s="13" t="n"/>
      <c r="S23" s="16">
        <f>IF(O23="","",SUM(P23:R23))</f>
        <v/>
      </c>
      <c r="T23" s="17">
        <f>IF(OR(O23="",O23=0),"",S23/O23)</f>
        <v/>
      </c>
      <c r="U23" s="17">
        <f>IF(OR(O23="",O23=0),"",Q23/O23)</f>
        <v/>
      </c>
      <c r="V23" s="18">
        <f>IF(S23="","",IF(OR(S23&gt;=1000,AND(ISNUMBER(T23),T23&gt;=0.05)),"爆文",""))</f>
        <v/>
      </c>
      <c r="W23" s="16">
        <f>IF(OR(M23="",O23="",O23=0),"",M23/O23*1000)</f>
        <v/>
      </c>
      <c r="X23" s="19">
        <f>IF(OR(M23="",S23="",S23=0),"",M23/S23)</f>
        <v/>
      </c>
      <c r="Y23" s="20" t="n"/>
      <c r="Z23" s="20" t="n"/>
      <c r="AA23" s="21" t="n"/>
    </row>
    <row r="24">
      <c r="A24" s="11" t="n">
        <v>21</v>
      </c>
      <c r="B24" s="12" t="n"/>
      <c r="C24" s="11" t="n"/>
      <c r="D24" s="11" t="n"/>
      <c r="E24" s="13" t="n"/>
      <c r="F24" s="14" t="n"/>
      <c r="G24" s="11" t="n"/>
      <c r="H24" s="11" t="n"/>
      <c r="I24" s="11" t="n"/>
      <c r="J24" s="11" t="n"/>
      <c r="K24" s="14" t="n"/>
      <c r="L24" s="14" t="n"/>
      <c r="M24" s="15" t="n"/>
      <c r="N24" s="12" t="n"/>
      <c r="O24" s="13" t="n"/>
      <c r="P24" s="13" t="n"/>
      <c r="Q24" s="13" t="n"/>
      <c r="R24" s="13" t="n"/>
      <c r="S24" s="16">
        <f>IF(O24="","",SUM(P24:R24))</f>
        <v/>
      </c>
      <c r="T24" s="17">
        <f>IF(OR(O24="",O24=0),"",S24/O24)</f>
        <v/>
      </c>
      <c r="U24" s="17">
        <f>IF(OR(O24="",O24=0),"",Q24/O24)</f>
        <v/>
      </c>
      <c r="V24" s="18">
        <f>IF(S24="","",IF(OR(S24&gt;=1000,AND(ISNUMBER(T24),T24&gt;=0.05)),"爆文",""))</f>
        <v/>
      </c>
      <c r="W24" s="16">
        <f>IF(OR(M24="",O24="",O24=0),"",M24/O24*1000)</f>
        <v/>
      </c>
      <c r="X24" s="19">
        <f>IF(OR(M24="",S24="",S24=0),"",M24/S24)</f>
        <v/>
      </c>
      <c r="Y24" s="20" t="n"/>
      <c r="Z24" s="20" t="n"/>
      <c r="AA24" s="21" t="n"/>
    </row>
    <row r="25">
      <c r="A25" s="11" t="n">
        <v>22</v>
      </c>
      <c r="B25" s="12" t="n"/>
      <c r="C25" s="11" t="n"/>
      <c r="D25" s="11" t="n"/>
      <c r="E25" s="13" t="n"/>
      <c r="F25" s="14" t="n"/>
      <c r="G25" s="11" t="n"/>
      <c r="H25" s="11" t="n"/>
      <c r="I25" s="11" t="n"/>
      <c r="J25" s="11" t="n"/>
      <c r="K25" s="14" t="n"/>
      <c r="L25" s="14" t="n"/>
      <c r="M25" s="15" t="n"/>
      <c r="N25" s="12" t="n"/>
      <c r="O25" s="13" t="n"/>
      <c r="P25" s="13" t="n"/>
      <c r="Q25" s="13" t="n"/>
      <c r="R25" s="13" t="n"/>
      <c r="S25" s="16">
        <f>IF(O25="","",SUM(P25:R25))</f>
        <v/>
      </c>
      <c r="T25" s="17">
        <f>IF(OR(O25="",O25=0),"",S25/O25)</f>
        <v/>
      </c>
      <c r="U25" s="17">
        <f>IF(OR(O25="",O25=0),"",Q25/O25)</f>
        <v/>
      </c>
      <c r="V25" s="18">
        <f>IF(S25="","",IF(OR(S25&gt;=1000,AND(ISNUMBER(T25),T25&gt;=0.05)),"爆文",""))</f>
        <v/>
      </c>
      <c r="W25" s="16">
        <f>IF(OR(M25="",O25="",O25=0),"",M25/O25*1000)</f>
        <v/>
      </c>
      <c r="X25" s="19">
        <f>IF(OR(M25="",S25="",S25=0),"",M25/S25)</f>
        <v/>
      </c>
      <c r="Y25" s="20" t="n"/>
      <c r="Z25" s="20" t="n"/>
      <c r="AA25" s="21" t="n"/>
    </row>
    <row r="26">
      <c r="A26" s="11" t="n">
        <v>23</v>
      </c>
      <c r="B26" s="12" t="n"/>
      <c r="C26" s="11" t="n"/>
      <c r="D26" s="11" t="n"/>
      <c r="E26" s="13" t="n"/>
      <c r="F26" s="14" t="n"/>
      <c r="G26" s="11" t="n"/>
      <c r="H26" s="11" t="n"/>
      <c r="I26" s="11" t="n"/>
      <c r="J26" s="11" t="n"/>
      <c r="K26" s="14" t="n"/>
      <c r="L26" s="14" t="n"/>
      <c r="M26" s="15" t="n"/>
      <c r="N26" s="12" t="n"/>
      <c r="O26" s="13" t="n"/>
      <c r="P26" s="13" t="n"/>
      <c r="Q26" s="13" t="n"/>
      <c r="R26" s="13" t="n"/>
      <c r="S26" s="16">
        <f>IF(O26="","",SUM(P26:R26))</f>
        <v/>
      </c>
      <c r="T26" s="17">
        <f>IF(OR(O26="",O26=0),"",S26/O26)</f>
        <v/>
      </c>
      <c r="U26" s="17">
        <f>IF(OR(O26="",O26=0),"",Q26/O26)</f>
        <v/>
      </c>
      <c r="V26" s="18">
        <f>IF(S26="","",IF(OR(S26&gt;=1000,AND(ISNUMBER(T26),T26&gt;=0.05)),"爆文",""))</f>
        <v/>
      </c>
      <c r="W26" s="16">
        <f>IF(OR(M26="",O26="",O26=0),"",M26/O26*1000)</f>
        <v/>
      </c>
      <c r="X26" s="19">
        <f>IF(OR(M26="",S26="",S26=0),"",M26/S26)</f>
        <v/>
      </c>
      <c r="Y26" s="20" t="n"/>
      <c r="Z26" s="20" t="n"/>
      <c r="AA26" s="21" t="n"/>
    </row>
    <row r="27">
      <c r="A27" s="11" t="n">
        <v>24</v>
      </c>
      <c r="B27" s="12" t="n"/>
      <c r="C27" s="11" t="n"/>
      <c r="D27" s="11" t="n"/>
      <c r="E27" s="13" t="n"/>
      <c r="F27" s="14" t="n"/>
      <c r="G27" s="11" t="n"/>
      <c r="H27" s="11" t="n"/>
      <c r="I27" s="11" t="n"/>
      <c r="J27" s="11" t="n"/>
      <c r="K27" s="14" t="n"/>
      <c r="L27" s="14" t="n"/>
      <c r="M27" s="15" t="n"/>
      <c r="N27" s="12" t="n"/>
      <c r="O27" s="13" t="n"/>
      <c r="P27" s="13" t="n"/>
      <c r="Q27" s="13" t="n"/>
      <c r="R27" s="13" t="n"/>
      <c r="S27" s="16">
        <f>IF(O27="","",SUM(P27:R27))</f>
        <v/>
      </c>
      <c r="T27" s="17">
        <f>IF(OR(O27="",O27=0),"",S27/O27)</f>
        <v/>
      </c>
      <c r="U27" s="17">
        <f>IF(OR(O27="",O27=0),"",Q27/O27)</f>
        <v/>
      </c>
      <c r="V27" s="18">
        <f>IF(S27="","",IF(OR(S27&gt;=1000,AND(ISNUMBER(T27),T27&gt;=0.05)),"爆文",""))</f>
        <v/>
      </c>
      <c r="W27" s="16">
        <f>IF(OR(M27="",O27="",O27=0),"",M27/O27*1000)</f>
        <v/>
      </c>
      <c r="X27" s="19">
        <f>IF(OR(M27="",S27="",S27=0),"",M27/S27)</f>
        <v/>
      </c>
      <c r="Y27" s="20" t="n"/>
      <c r="Z27" s="20" t="n"/>
      <c r="AA27" s="21" t="n"/>
    </row>
    <row r="28">
      <c r="A28" s="11" t="n">
        <v>25</v>
      </c>
      <c r="B28" s="12" t="n"/>
      <c r="C28" s="11" t="n"/>
      <c r="D28" s="11" t="n"/>
      <c r="E28" s="13" t="n"/>
      <c r="F28" s="14" t="n"/>
      <c r="G28" s="11" t="n"/>
      <c r="H28" s="11" t="n"/>
      <c r="I28" s="11" t="n"/>
      <c r="J28" s="11" t="n"/>
      <c r="K28" s="14" t="n"/>
      <c r="L28" s="14" t="n"/>
      <c r="M28" s="15" t="n"/>
      <c r="N28" s="12" t="n"/>
      <c r="O28" s="13" t="n"/>
      <c r="P28" s="13" t="n"/>
      <c r="Q28" s="13" t="n"/>
      <c r="R28" s="13" t="n"/>
      <c r="S28" s="16">
        <f>IF(O28="","",SUM(P28:R28))</f>
        <v/>
      </c>
      <c r="T28" s="17">
        <f>IF(OR(O28="",O28=0),"",S28/O28)</f>
        <v/>
      </c>
      <c r="U28" s="17">
        <f>IF(OR(O28="",O28=0),"",Q28/O28)</f>
        <v/>
      </c>
      <c r="V28" s="18">
        <f>IF(S28="","",IF(OR(S28&gt;=1000,AND(ISNUMBER(T28),T28&gt;=0.05)),"爆文",""))</f>
        <v/>
      </c>
      <c r="W28" s="16">
        <f>IF(OR(M28="",O28="",O28=0),"",M28/O28*1000)</f>
        <v/>
      </c>
      <c r="X28" s="19">
        <f>IF(OR(M28="",S28="",S28=0),"",M28/S28)</f>
        <v/>
      </c>
      <c r="Y28" s="20" t="n"/>
      <c r="Z28" s="20" t="n"/>
      <c r="AA28" s="21" t="n"/>
    </row>
    <row r="29">
      <c r="A29" s="11" t="n">
        <v>26</v>
      </c>
      <c r="B29" s="12" t="n"/>
      <c r="C29" s="11" t="n"/>
      <c r="D29" s="11" t="n"/>
      <c r="E29" s="13" t="n"/>
      <c r="F29" s="14" t="n"/>
      <c r="G29" s="11" t="n"/>
      <c r="H29" s="11" t="n"/>
      <c r="I29" s="11" t="n"/>
      <c r="J29" s="11" t="n"/>
      <c r="K29" s="14" t="n"/>
      <c r="L29" s="14" t="n"/>
      <c r="M29" s="15" t="n"/>
      <c r="N29" s="12" t="n"/>
      <c r="O29" s="13" t="n"/>
      <c r="P29" s="13" t="n"/>
      <c r="Q29" s="13" t="n"/>
      <c r="R29" s="13" t="n"/>
      <c r="S29" s="16">
        <f>IF(O29="","",SUM(P29:R29))</f>
        <v/>
      </c>
      <c r="T29" s="17">
        <f>IF(OR(O29="",O29=0),"",S29/O29)</f>
        <v/>
      </c>
      <c r="U29" s="17">
        <f>IF(OR(O29="",O29=0),"",Q29/O29)</f>
        <v/>
      </c>
      <c r="V29" s="18">
        <f>IF(S29="","",IF(OR(S29&gt;=1000,AND(ISNUMBER(T29),T29&gt;=0.05)),"爆文",""))</f>
        <v/>
      </c>
      <c r="W29" s="16">
        <f>IF(OR(M29="",O29="",O29=0),"",M29/O29*1000)</f>
        <v/>
      </c>
      <c r="X29" s="19">
        <f>IF(OR(M29="",S29="",S29=0),"",M29/S29)</f>
        <v/>
      </c>
      <c r="Y29" s="20" t="n"/>
      <c r="Z29" s="20" t="n"/>
      <c r="AA29" s="21" t="n"/>
    </row>
    <row r="30">
      <c r="A30" s="11" t="n">
        <v>27</v>
      </c>
      <c r="B30" s="12" t="n"/>
      <c r="C30" s="11" t="n"/>
      <c r="D30" s="11" t="n"/>
      <c r="E30" s="13" t="n"/>
      <c r="F30" s="14" t="n"/>
      <c r="G30" s="11" t="n"/>
      <c r="H30" s="11" t="n"/>
      <c r="I30" s="11" t="n"/>
      <c r="J30" s="11" t="n"/>
      <c r="K30" s="14" t="n"/>
      <c r="L30" s="14" t="n"/>
      <c r="M30" s="15" t="n"/>
      <c r="N30" s="12" t="n"/>
      <c r="O30" s="13" t="n"/>
      <c r="P30" s="13" t="n"/>
      <c r="Q30" s="13" t="n"/>
      <c r="R30" s="13" t="n"/>
      <c r="S30" s="16">
        <f>IF(O30="","",SUM(P30:R30))</f>
        <v/>
      </c>
      <c r="T30" s="17">
        <f>IF(OR(O30="",O30=0),"",S30/O30)</f>
        <v/>
      </c>
      <c r="U30" s="17">
        <f>IF(OR(O30="",O30=0),"",Q30/O30)</f>
        <v/>
      </c>
      <c r="V30" s="18">
        <f>IF(S30="","",IF(OR(S30&gt;=1000,AND(ISNUMBER(T30),T30&gt;=0.05)),"爆文",""))</f>
        <v/>
      </c>
      <c r="W30" s="16">
        <f>IF(OR(M30="",O30="",O30=0),"",M30/O30*1000)</f>
        <v/>
      </c>
      <c r="X30" s="19">
        <f>IF(OR(M30="",S30="",S30=0),"",M30/S30)</f>
        <v/>
      </c>
      <c r="Y30" s="20" t="n"/>
      <c r="Z30" s="20" t="n"/>
      <c r="AA30" s="21" t="n"/>
    </row>
    <row r="31">
      <c r="A31" s="11" t="n">
        <v>28</v>
      </c>
      <c r="B31" s="12" t="n"/>
      <c r="C31" s="11" t="n"/>
      <c r="D31" s="11" t="n"/>
      <c r="E31" s="13" t="n"/>
      <c r="F31" s="14" t="n"/>
      <c r="G31" s="11" t="n"/>
      <c r="H31" s="11" t="n"/>
      <c r="I31" s="11" t="n"/>
      <c r="J31" s="11" t="n"/>
      <c r="K31" s="14" t="n"/>
      <c r="L31" s="14" t="n"/>
      <c r="M31" s="15" t="n"/>
      <c r="N31" s="12" t="n"/>
      <c r="O31" s="13" t="n"/>
      <c r="P31" s="13" t="n"/>
      <c r="Q31" s="13" t="n"/>
      <c r="R31" s="13" t="n"/>
      <c r="S31" s="16">
        <f>IF(O31="","",SUM(P31:R31))</f>
        <v/>
      </c>
      <c r="T31" s="17">
        <f>IF(OR(O31="",O31=0),"",S31/O31)</f>
        <v/>
      </c>
      <c r="U31" s="17">
        <f>IF(OR(O31="",O31=0),"",Q31/O31)</f>
        <v/>
      </c>
      <c r="V31" s="18">
        <f>IF(S31="","",IF(OR(S31&gt;=1000,AND(ISNUMBER(T31),T31&gt;=0.05)),"爆文",""))</f>
        <v/>
      </c>
      <c r="W31" s="16">
        <f>IF(OR(M31="",O31="",O31=0),"",M31/O31*1000)</f>
        <v/>
      </c>
      <c r="X31" s="19">
        <f>IF(OR(M31="",S31="",S31=0),"",M31/S31)</f>
        <v/>
      </c>
      <c r="Y31" s="20" t="n"/>
      <c r="Z31" s="20" t="n"/>
      <c r="AA31" s="21" t="n"/>
    </row>
    <row r="32">
      <c r="A32" s="11" t="n">
        <v>29</v>
      </c>
      <c r="B32" s="12" t="n"/>
      <c r="C32" s="11" t="n"/>
      <c r="D32" s="11" t="n"/>
      <c r="E32" s="13" t="n"/>
      <c r="F32" s="14" t="n"/>
      <c r="G32" s="11" t="n"/>
      <c r="H32" s="11" t="n"/>
      <c r="I32" s="11" t="n"/>
      <c r="J32" s="11" t="n"/>
      <c r="K32" s="14" t="n"/>
      <c r="L32" s="14" t="n"/>
      <c r="M32" s="15" t="n"/>
      <c r="N32" s="12" t="n"/>
      <c r="O32" s="13" t="n"/>
      <c r="P32" s="13" t="n"/>
      <c r="Q32" s="13" t="n"/>
      <c r="R32" s="13" t="n"/>
      <c r="S32" s="16">
        <f>IF(O32="","",SUM(P32:R32))</f>
        <v/>
      </c>
      <c r="T32" s="17">
        <f>IF(OR(O32="",O32=0),"",S32/O32)</f>
        <v/>
      </c>
      <c r="U32" s="17">
        <f>IF(OR(O32="",O32=0),"",Q32/O32)</f>
        <v/>
      </c>
      <c r="V32" s="18">
        <f>IF(S32="","",IF(OR(S32&gt;=1000,AND(ISNUMBER(T32),T32&gt;=0.05)),"爆文",""))</f>
        <v/>
      </c>
      <c r="W32" s="16">
        <f>IF(OR(M32="",O32="",O32=0),"",M32/O32*1000)</f>
        <v/>
      </c>
      <c r="X32" s="19">
        <f>IF(OR(M32="",S32="",S32=0),"",M32/S32)</f>
        <v/>
      </c>
      <c r="Y32" s="20" t="n"/>
      <c r="Z32" s="20" t="n"/>
      <c r="AA32" s="21" t="n"/>
    </row>
    <row r="33">
      <c r="A33" s="11" t="n">
        <v>30</v>
      </c>
      <c r="B33" s="12" t="n"/>
      <c r="C33" s="11" t="n"/>
      <c r="D33" s="11" t="n"/>
      <c r="E33" s="13" t="n"/>
      <c r="F33" s="14" t="n"/>
      <c r="G33" s="11" t="n"/>
      <c r="H33" s="11" t="n"/>
      <c r="I33" s="11" t="n"/>
      <c r="J33" s="11" t="n"/>
      <c r="K33" s="14" t="n"/>
      <c r="L33" s="14" t="n"/>
      <c r="M33" s="15" t="n"/>
      <c r="N33" s="12" t="n"/>
      <c r="O33" s="13" t="n"/>
      <c r="P33" s="13" t="n"/>
      <c r="Q33" s="13" t="n"/>
      <c r="R33" s="13" t="n"/>
      <c r="S33" s="16">
        <f>IF(O33="","",SUM(P33:R33))</f>
        <v/>
      </c>
      <c r="T33" s="17">
        <f>IF(OR(O33="",O33=0),"",S33/O33)</f>
        <v/>
      </c>
      <c r="U33" s="17">
        <f>IF(OR(O33="",O33=0),"",Q33/O33)</f>
        <v/>
      </c>
      <c r="V33" s="18">
        <f>IF(S33="","",IF(OR(S33&gt;=1000,AND(ISNUMBER(T33),T33&gt;=0.05)),"爆文",""))</f>
        <v/>
      </c>
      <c r="W33" s="16">
        <f>IF(OR(M33="",O33="",O33=0),"",M33/O33*1000)</f>
        <v/>
      </c>
      <c r="X33" s="19">
        <f>IF(OR(M33="",S33="",S33=0),"",M33/S33)</f>
        <v/>
      </c>
      <c r="Y33" s="20" t="n"/>
      <c r="Z33" s="20" t="n"/>
      <c r="AA33" s="21" t="n"/>
    </row>
    <row r="34">
      <c r="A34" s="11" t="n">
        <v>31</v>
      </c>
      <c r="B34" s="12" t="n"/>
      <c r="C34" s="11" t="n"/>
      <c r="D34" s="11" t="n"/>
      <c r="E34" s="13" t="n"/>
      <c r="F34" s="14" t="n"/>
      <c r="G34" s="11" t="n"/>
      <c r="H34" s="11" t="n"/>
      <c r="I34" s="11" t="n"/>
      <c r="J34" s="11" t="n"/>
      <c r="K34" s="14" t="n"/>
      <c r="L34" s="14" t="n"/>
      <c r="M34" s="15" t="n"/>
      <c r="N34" s="12" t="n"/>
      <c r="O34" s="13" t="n"/>
      <c r="P34" s="13" t="n"/>
      <c r="Q34" s="13" t="n"/>
      <c r="R34" s="13" t="n"/>
      <c r="S34" s="16">
        <f>IF(O34="","",SUM(P34:R34))</f>
        <v/>
      </c>
      <c r="T34" s="17">
        <f>IF(OR(O34="",O34=0),"",S34/O34)</f>
        <v/>
      </c>
      <c r="U34" s="17">
        <f>IF(OR(O34="",O34=0),"",Q34/O34)</f>
        <v/>
      </c>
      <c r="V34" s="18">
        <f>IF(S34="","",IF(OR(S34&gt;=1000,AND(ISNUMBER(T34),T34&gt;=0.05)),"爆文",""))</f>
        <v/>
      </c>
      <c r="W34" s="16">
        <f>IF(OR(M34="",O34="",O34=0),"",M34/O34*1000)</f>
        <v/>
      </c>
      <c r="X34" s="19">
        <f>IF(OR(M34="",S34="",S34=0),"",M34/S34)</f>
        <v/>
      </c>
      <c r="Y34" s="20" t="n"/>
      <c r="Z34" s="20" t="n"/>
      <c r="AA34" s="21" t="n"/>
    </row>
    <row r="35">
      <c r="A35" s="11" t="n">
        <v>32</v>
      </c>
      <c r="B35" s="12" t="n"/>
      <c r="C35" s="11" t="n"/>
      <c r="D35" s="11" t="n"/>
      <c r="E35" s="13" t="n"/>
      <c r="F35" s="14" t="n"/>
      <c r="G35" s="11" t="n"/>
      <c r="H35" s="11" t="n"/>
      <c r="I35" s="11" t="n"/>
      <c r="J35" s="11" t="n"/>
      <c r="K35" s="14" t="n"/>
      <c r="L35" s="14" t="n"/>
      <c r="M35" s="15" t="n"/>
      <c r="N35" s="12" t="n"/>
      <c r="O35" s="13" t="n"/>
      <c r="P35" s="13" t="n"/>
      <c r="Q35" s="13" t="n"/>
      <c r="R35" s="13" t="n"/>
      <c r="S35" s="16">
        <f>IF(O35="","",SUM(P35:R35))</f>
        <v/>
      </c>
      <c r="T35" s="17">
        <f>IF(OR(O35="",O35=0),"",S35/O35)</f>
        <v/>
      </c>
      <c r="U35" s="17">
        <f>IF(OR(O35="",O35=0),"",Q35/O35)</f>
        <v/>
      </c>
      <c r="V35" s="18">
        <f>IF(S35="","",IF(OR(S35&gt;=1000,AND(ISNUMBER(T35),T35&gt;=0.05)),"爆文",""))</f>
        <v/>
      </c>
      <c r="W35" s="16">
        <f>IF(OR(M35="",O35="",O35=0),"",M35/O35*1000)</f>
        <v/>
      </c>
      <c r="X35" s="19">
        <f>IF(OR(M35="",S35="",S35=0),"",M35/S35)</f>
        <v/>
      </c>
      <c r="Y35" s="20" t="n"/>
      <c r="Z35" s="20" t="n"/>
      <c r="AA35" s="21" t="n"/>
    </row>
    <row r="36">
      <c r="A36" s="11" t="n">
        <v>33</v>
      </c>
      <c r="B36" s="12" t="n"/>
      <c r="C36" s="11" t="n"/>
      <c r="D36" s="11" t="n"/>
      <c r="E36" s="13" t="n"/>
      <c r="F36" s="14" t="n"/>
      <c r="G36" s="11" t="n"/>
      <c r="H36" s="11" t="n"/>
      <c r="I36" s="11" t="n"/>
      <c r="J36" s="11" t="n"/>
      <c r="K36" s="14" t="n"/>
      <c r="L36" s="14" t="n"/>
      <c r="M36" s="15" t="n"/>
      <c r="N36" s="12" t="n"/>
      <c r="O36" s="13" t="n"/>
      <c r="P36" s="13" t="n"/>
      <c r="Q36" s="13" t="n"/>
      <c r="R36" s="13" t="n"/>
      <c r="S36" s="16">
        <f>IF(O36="","",SUM(P36:R36))</f>
        <v/>
      </c>
      <c r="T36" s="17">
        <f>IF(OR(O36="",O36=0),"",S36/O36)</f>
        <v/>
      </c>
      <c r="U36" s="17">
        <f>IF(OR(O36="",O36=0),"",Q36/O36)</f>
        <v/>
      </c>
      <c r="V36" s="18">
        <f>IF(S36="","",IF(OR(S36&gt;=1000,AND(ISNUMBER(T36),T36&gt;=0.05)),"爆文",""))</f>
        <v/>
      </c>
      <c r="W36" s="16">
        <f>IF(OR(M36="",O36="",O36=0),"",M36/O36*1000)</f>
        <v/>
      </c>
      <c r="X36" s="19">
        <f>IF(OR(M36="",S36="",S36=0),"",M36/S36)</f>
        <v/>
      </c>
      <c r="Y36" s="20" t="n"/>
      <c r="Z36" s="20" t="n"/>
      <c r="AA36" s="21" t="n"/>
    </row>
    <row r="37">
      <c r="A37" s="11" t="n">
        <v>34</v>
      </c>
      <c r="B37" s="12" t="n"/>
      <c r="C37" s="11" t="n"/>
      <c r="D37" s="11" t="n"/>
      <c r="E37" s="13" t="n"/>
      <c r="F37" s="14" t="n"/>
      <c r="G37" s="11" t="n"/>
      <c r="H37" s="11" t="n"/>
      <c r="I37" s="11" t="n"/>
      <c r="J37" s="11" t="n"/>
      <c r="K37" s="14" t="n"/>
      <c r="L37" s="14" t="n"/>
      <c r="M37" s="15" t="n"/>
      <c r="N37" s="12" t="n"/>
      <c r="O37" s="13" t="n"/>
      <c r="P37" s="13" t="n"/>
      <c r="Q37" s="13" t="n"/>
      <c r="R37" s="13" t="n"/>
      <c r="S37" s="16">
        <f>IF(O37="","",SUM(P37:R37))</f>
        <v/>
      </c>
      <c r="T37" s="17">
        <f>IF(OR(O37="",O37=0),"",S37/O37)</f>
        <v/>
      </c>
      <c r="U37" s="17">
        <f>IF(OR(O37="",O37=0),"",Q37/O37)</f>
        <v/>
      </c>
      <c r="V37" s="18">
        <f>IF(S37="","",IF(OR(S37&gt;=1000,AND(ISNUMBER(T37),T37&gt;=0.05)),"爆文",""))</f>
        <v/>
      </c>
      <c r="W37" s="16">
        <f>IF(OR(M37="",O37="",O37=0),"",M37/O37*1000)</f>
        <v/>
      </c>
      <c r="X37" s="19">
        <f>IF(OR(M37="",S37="",S37=0),"",M37/S37)</f>
        <v/>
      </c>
      <c r="Y37" s="20" t="n"/>
      <c r="Z37" s="20" t="n"/>
      <c r="AA37" s="21" t="n"/>
    </row>
    <row r="38">
      <c r="A38" s="11" t="n">
        <v>35</v>
      </c>
      <c r="B38" s="12" t="n"/>
      <c r="C38" s="11" t="n"/>
      <c r="D38" s="11" t="n"/>
      <c r="E38" s="13" t="n"/>
      <c r="F38" s="14" t="n"/>
      <c r="G38" s="11" t="n"/>
      <c r="H38" s="11" t="n"/>
      <c r="I38" s="11" t="n"/>
      <c r="J38" s="11" t="n"/>
      <c r="K38" s="14" t="n"/>
      <c r="L38" s="14" t="n"/>
      <c r="M38" s="15" t="n"/>
      <c r="N38" s="12" t="n"/>
      <c r="O38" s="13" t="n"/>
      <c r="P38" s="13" t="n"/>
      <c r="Q38" s="13" t="n"/>
      <c r="R38" s="13" t="n"/>
      <c r="S38" s="16">
        <f>IF(O38="","",SUM(P38:R38))</f>
        <v/>
      </c>
      <c r="T38" s="17">
        <f>IF(OR(O38="",O38=0),"",S38/O38)</f>
        <v/>
      </c>
      <c r="U38" s="17">
        <f>IF(OR(O38="",O38=0),"",Q38/O38)</f>
        <v/>
      </c>
      <c r="V38" s="18">
        <f>IF(S38="","",IF(OR(S38&gt;=1000,AND(ISNUMBER(T38),T38&gt;=0.05)),"爆文",""))</f>
        <v/>
      </c>
      <c r="W38" s="16">
        <f>IF(OR(M38="",O38="",O38=0),"",M38/O38*1000)</f>
        <v/>
      </c>
      <c r="X38" s="19">
        <f>IF(OR(M38="",S38="",S38=0),"",M38/S38)</f>
        <v/>
      </c>
      <c r="Y38" s="20" t="n"/>
      <c r="Z38" s="20" t="n"/>
      <c r="AA38" s="21" t="n"/>
    </row>
    <row r="39">
      <c r="A39" s="11" t="n">
        <v>36</v>
      </c>
      <c r="B39" s="12" t="n"/>
      <c r="C39" s="11" t="n"/>
      <c r="D39" s="11" t="n"/>
      <c r="E39" s="13" t="n"/>
      <c r="F39" s="14" t="n"/>
      <c r="G39" s="11" t="n"/>
      <c r="H39" s="11" t="n"/>
      <c r="I39" s="11" t="n"/>
      <c r="J39" s="11" t="n"/>
      <c r="K39" s="14" t="n"/>
      <c r="L39" s="14" t="n"/>
      <c r="M39" s="15" t="n"/>
      <c r="N39" s="12" t="n"/>
      <c r="O39" s="13" t="n"/>
      <c r="P39" s="13" t="n"/>
      <c r="Q39" s="13" t="n"/>
      <c r="R39" s="13" t="n"/>
      <c r="S39" s="16">
        <f>IF(O39="","",SUM(P39:R39))</f>
        <v/>
      </c>
      <c r="T39" s="17">
        <f>IF(OR(O39="",O39=0),"",S39/O39)</f>
        <v/>
      </c>
      <c r="U39" s="17">
        <f>IF(OR(O39="",O39=0),"",Q39/O39)</f>
        <v/>
      </c>
      <c r="V39" s="18">
        <f>IF(S39="","",IF(OR(S39&gt;=1000,AND(ISNUMBER(T39),T39&gt;=0.05)),"爆文",""))</f>
        <v/>
      </c>
      <c r="W39" s="16">
        <f>IF(OR(M39="",O39="",O39=0),"",M39/O39*1000)</f>
        <v/>
      </c>
      <c r="X39" s="19">
        <f>IF(OR(M39="",S39="",S39=0),"",M39/S39)</f>
        <v/>
      </c>
      <c r="Y39" s="20" t="n"/>
      <c r="Z39" s="20" t="n"/>
      <c r="AA39" s="21" t="n"/>
    </row>
    <row r="40">
      <c r="A40" s="11" t="n">
        <v>37</v>
      </c>
      <c r="B40" s="12" t="n"/>
      <c r="C40" s="11" t="n"/>
      <c r="D40" s="11" t="n"/>
      <c r="E40" s="13" t="n"/>
      <c r="F40" s="14" t="n"/>
      <c r="G40" s="11" t="n"/>
      <c r="H40" s="11" t="n"/>
      <c r="I40" s="11" t="n"/>
      <c r="J40" s="11" t="n"/>
      <c r="K40" s="14" t="n"/>
      <c r="L40" s="14" t="n"/>
      <c r="M40" s="15" t="n"/>
      <c r="N40" s="12" t="n"/>
      <c r="O40" s="13" t="n"/>
      <c r="P40" s="13" t="n"/>
      <c r="Q40" s="13" t="n"/>
      <c r="R40" s="13" t="n"/>
      <c r="S40" s="16">
        <f>IF(O40="","",SUM(P40:R40))</f>
        <v/>
      </c>
      <c r="T40" s="17">
        <f>IF(OR(O40="",O40=0),"",S40/O40)</f>
        <v/>
      </c>
      <c r="U40" s="17">
        <f>IF(OR(O40="",O40=0),"",Q40/O40)</f>
        <v/>
      </c>
      <c r="V40" s="18">
        <f>IF(S40="","",IF(OR(S40&gt;=1000,AND(ISNUMBER(T40),T40&gt;=0.05)),"爆文",""))</f>
        <v/>
      </c>
      <c r="W40" s="16">
        <f>IF(OR(M40="",O40="",O40=0),"",M40/O40*1000)</f>
        <v/>
      </c>
      <c r="X40" s="19">
        <f>IF(OR(M40="",S40="",S40=0),"",M40/S40)</f>
        <v/>
      </c>
      <c r="Y40" s="20" t="n"/>
      <c r="Z40" s="20" t="n"/>
      <c r="AA40" s="21" t="n"/>
    </row>
    <row r="41">
      <c r="A41" s="11" t="n">
        <v>38</v>
      </c>
      <c r="B41" s="12" t="n"/>
      <c r="C41" s="11" t="n"/>
      <c r="D41" s="11" t="n"/>
      <c r="E41" s="13" t="n"/>
      <c r="F41" s="14" t="n"/>
      <c r="G41" s="11" t="n"/>
      <c r="H41" s="11" t="n"/>
      <c r="I41" s="11" t="n"/>
      <c r="J41" s="11" t="n"/>
      <c r="K41" s="14" t="n"/>
      <c r="L41" s="14" t="n"/>
      <c r="M41" s="15" t="n"/>
      <c r="N41" s="12" t="n"/>
      <c r="O41" s="13" t="n"/>
      <c r="P41" s="13" t="n"/>
      <c r="Q41" s="13" t="n"/>
      <c r="R41" s="13" t="n"/>
      <c r="S41" s="16">
        <f>IF(O41="","",SUM(P41:R41))</f>
        <v/>
      </c>
      <c r="T41" s="17">
        <f>IF(OR(O41="",O41=0),"",S41/O41)</f>
        <v/>
      </c>
      <c r="U41" s="17">
        <f>IF(OR(O41="",O41=0),"",Q41/O41)</f>
        <v/>
      </c>
      <c r="V41" s="18">
        <f>IF(S41="","",IF(OR(S41&gt;=1000,AND(ISNUMBER(T41),T41&gt;=0.05)),"爆文",""))</f>
        <v/>
      </c>
      <c r="W41" s="16">
        <f>IF(OR(M41="",O41="",O41=0),"",M41/O41*1000)</f>
        <v/>
      </c>
      <c r="X41" s="19">
        <f>IF(OR(M41="",S41="",S41=0),"",M41/S41)</f>
        <v/>
      </c>
      <c r="Y41" s="20" t="n"/>
      <c r="Z41" s="20" t="n"/>
      <c r="AA41" s="21" t="n"/>
    </row>
    <row r="42">
      <c r="A42" s="11" t="n">
        <v>39</v>
      </c>
      <c r="B42" s="12" t="n"/>
      <c r="C42" s="11" t="n"/>
      <c r="D42" s="11" t="n"/>
      <c r="E42" s="13" t="n"/>
      <c r="F42" s="14" t="n"/>
      <c r="G42" s="11" t="n"/>
      <c r="H42" s="11" t="n"/>
      <c r="I42" s="11" t="n"/>
      <c r="J42" s="11" t="n"/>
      <c r="K42" s="14" t="n"/>
      <c r="L42" s="14" t="n"/>
      <c r="M42" s="15" t="n"/>
      <c r="N42" s="12" t="n"/>
      <c r="O42" s="13" t="n"/>
      <c r="P42" s="13" t="n"/>
      <c r="Q42" s="13" t="n"/>
      <c r="R42" s="13" t="n"/>
      <c r="S42" s="16">
        <f>IF(O42="","",SUM(P42:R42))</f>
        <v/>
      </c>
      <c r="T42" s="17">
        <f>IF(OR(O42="",O42=0),"",S42/O42)</f>
        <v/>
      </c>
      <c r="U42" s="17">
        <f>IF(OR(O42="",O42=0),"",Q42/O42)</f>
        <v/>
      </c>
      <c r="V42" s="18">
        <f>IF(S42="","",IF(OR(S42&gt;=1000,AND(ISNUMBER(T42),T42&gt;=0.05)),"爆文",""))</f>
        <v/>
      </c>
      <c r="W42" s="16">
        <f>IF(OR(M42="",O42="",O42=0),"",M42/O42*1000)</f>
        <v/>
      </c>
      <c r="X42" s="19">
        <f>IF(OR(M42="",S42="",S42=0),"",M42/S42)</f>
        <v/>
      </c>
      <c r="Y42" s="20" t="n"/>
      <c r="Z42" s="20" t="n"/>
      <c r="AA42" s="21" t="n"/>
    </row>
    <row r="43">
      <c r="A43" s="11" t="n">
        <v>40</v>
      </c>
      <c r="B43" s="12" t="n"/>
      <c r="C43" s="11" t="n"/>
      <c r="D43" s="11" t="n"/>
      <c r="E43" s="13" t="n"/>
      <c r="F43" s="14" t="n"/>
      <c r="G43" s="11" t="n"/>
      <c r="H43" s="11" t="n"/>
      <c r="I43" s="11" t="n"/>
      <c r="J43" s="11" t="n"/>
      <c r="K43" s="14" t="n"/>
      <c r="L43" s="14" t="n"/>
      <c r="M43" s="15" t="n"/>
      <c r="N43" s="12" t="n"/>
      <c r="O43" s="13" t="n"/>
      <c r="P43" s="13" t="n"/>
      <c r="Q43" s="13" t="n"/>
      <c r="R43" s="13" t="n"/>
      <c r="S43" s="16">
        <f>IF(O43="","",SUM(P43:R43))</f>
        <v/>
      </c>
      <c r="T43" s="17">
        <f>IF(OR(O43="",O43=0),"",S43/O43)</f>
        <v/>
      </c>
      <c r="U43" s="17">
        <f>IF(OR(O43="",O43=0),"",Q43/O43)</f>
        <v/>
      </c>
      <c r="V43" s="18">
        <f>IF(S43="","",IF(OR(S43&gt;=1000,AND(ISNUMBER(T43),T43&gt;=0.05)),"爆文",""))</f>
        <v/>
      </c>
      <c r="W43" s="16">
        <f>IF(OR(M43="",O43="",O43=0),"",M43/O43*1000)</f>
        <v/>
      </c>
      <c r="X43" s="19">
        <f>IF(OR(M43="",S43="",S43=0),"",M43/S43)</f>
        <v/>
      </c>
      <c r="Y43" s="20" t="n"/>
      <c r="Z43" s="20" t="n"/>
      <c r="AA43" s="21" t="n"/>
    </row>
  </sheetData>
  <mergeCells count="5">
    <mergeCell ref="Y2:AA2"/>
    <mergeCell ref="W2:X2"/>
    <mergeCell ref="N2:V2"/>
    <mergeCell ref="A1:AA1"/>
    <mergeCell ref="A2:M2"/>
  </mergeCells>
  <dataValidations count="5">
    <dataValidation sqref="D4:D43" showDropDown="0" showInputMessage="0" showErrorMessage="0" allowBlank="1" type="list">
      <formula1>选项!$A$2:$A$6</formula1>
    </dataValidation>
    <dataValidation sqref="G4:G43" showDropDown="0" showInputMessage="0" showErrorMessage="0" allowBlank="1" type="list">
      <formula1>选项!$B$2:$B$7</formula1>
    </dataValidation>
    <dataValidation sqref="H4:H43" showDropDown="0" showInputMessage="0" showErrorMessage="0" allowBlank="1" type="list">
      <formula1>选项!$C$2:$C$5</formula1>
    </dataValidation>
    <dataValidation sqref="I4:I43" showDropDown="0" showInputMessage="0" showErrorMessage="0" allowBlank="1" type="list">
      <formula1>选项!$D$2:$D$3</formula1>
    </dataValidation>
    <dataValidation sqref="J4:J43" showDropDown="0" showInputMessage="0" showErrorMessage="0" allowBlank="1" type="list">
      <formula1>选项!$E$2:$E$4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2" t="inlineStr">
        <is>
          <t>达人层级</t>
        </is>
      </c>
      <c r="B1" s="22" t="inlineStr">
        <is>
          <t>投放产品/SKU</t>
        </is>
      </c>
      <c r="C1" s="22" t="inlineStr">
        <is>
          <t>笔记起点</t>
        </is>
      </c>
      <c r="D1" s="22" t="inlineStr">
        <is>
          <t>内容形式</t>
        </is>
      </c>
      <c r="E1" s="22" t="inlineStr">
        <is>
          <t>合规审核</t>
        </is>
      </c>
    </row>
    <row r="2">
      <c r="A2" t="inlineStr">
        <is>
          <t>头部KOL</t>
        </is>
      </c>
      <c r="B2" t="inlineStr">
        <is>
          <t>金色款</t>
        </is>
      </c>
      <c r="C2" t="inlineStr">
        <is>
          <t>痛点</t>
        </is>
      </c>
      <c r="D2" t="inlineStr">
        <is>
          <t>图文</t>
        </is>
      </c>
      <c r="E2" t="inlineStr">
        <is>
          <t>待审</t>
        </is>
      </c>
    </row>
    <row r="3">
      <c r="A3" t="inlineStr">
        <is>
          <t>腰部</t>
        </is>
      </c>
      <c r="B3" t="inlineStr">
        <is>
          <t>黑色款</t>
        </is>
      </c>
      <c r="C3" t="inlineStr">
        <is>
          <t>品类</t>
        </is>
      </c>
      <c r="D3" t="inlineStr">
        <is>
          <t>视频</t>
        </is>
      </c>
      <c r="E3" t="inlineStr">
        <is>
          <t>通过</t>
        </is>
      </c>
    </row>
    <row r="4">
      <c r="A4" t="inlineStr">
        <is>
          <t>尾部</t>
        </is>
      </c>
      <c r="B4" t="inlineStr">
        <is>
          <t>浅蓝款(神经酰胺)</t>
        </is>
      </c>
      <c r="C4" t="inlineStr">
        <is>
          <t>竞品</t>
        </is>
      </c>
      <c r="E4" t="inlineStr">
        <is>
          <t>需改</t>
        </is>
      </c>
    </row>
    <row r="5">
      <c r="A5" t="inlineStr">
        <is>
          <t>KOC</t>
        </is>
      </c>
      <c r="B5" t="inlineStr">
        <is>
          <t>银色款</t>
        </is>
      </c>
      <c r="C5" t="inlineStr">
        <is>
          <t>品牌</t>
        </is>
      </c>
    </row>
    <row r="6">
      <c r="A6" t="inlineStr">
        <is>
          <t>素人</t>
        </is>
      </c>
      <c r="B6" t="inlineStr">
        <is>
          <t>黑钻VC100(黑金)</t>
        </is>
      </c>
    </row>
    <row r="7">
      <c r="B7" t="inlineStr">
        <is>
          <t>其他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皇后的秘密面膜 · 达人投放数据登记（优化版）· 填写说明</t>
        </is>
      </c>
    </row>
    <row r="2" ht="22" customHeight="1">
      <c r="A2" s="23" t="inlineStr"/>
    </row>
    <row r="3" ht="22" customHeight="1">
      <c r="A3" s="24" t="inlineStr">
        <is>
          <t>【颜色约定】黄底=人工填写 · 灰底=自动计算(勿改) · 蓝底=投后回填(等天猫/搜索数据回来再补)。</t>
        </is>
      </c>
    </row>
    <row r="4" ht="22" customHeight="1">
      <c r="A4" s="25" t="inlineStr">
        <is>
          <t>【采集口径】数据只采集1次「定版值」——发布后 T+15~T+30 数据基本稳定时采集，填入「数据采集日+曝光/赞/藏/评」。</t>
        </is>
      </c>
    </row>
    <row r="5" ht="22" customHeight="1">
      <c r="A5" s="25" t="inlineStr">
        <is>
          <t>【自动算的】互动量=赞+藏+评 · 互动率=互动量/曝光 · 收藏率=收藏/曝光(种草强度) · 爆文=互动≥1000或互动率≥5% · CPM=稿费/曝光×1000 · CPE=稿费/互动。</t>
        </is>
      </c>
    </row>
    <row r="6" ht="22" customHeight="1">
      <c r="A6" s="25" t="inlineStr">
        <is>
          <t>【收藏率为什么重要】面膜是种草品，收藏=用户「想买/先码住」的强信号，比单纯点赞更能反映种草效果，品牌方重点看这项。</t>
        </is>
      </c>
    </row>
    <row r="7" ht="22" customHeight="1">
      <c r="A7" s="25" t="inlineStr">
        <is>
          <t>【种草承接】评论区「求链接/哪买」记条数或有无；天猫专属码入店/加购等投后从后台回填——这两项把种草和天猫生意连起来。</t>
        </is>
      </c>
    </row>
    <row r="8" ht="22" customHeight="1">
      <c r="A8" s="26" t="inlineStr">
        <is>
          <t>【合规审核】面膜=化妆品，发布前逐条过：待审→通过/需改。禁用词(美白/焕白/收缩毛孔/抗老…)绝不进标题正文话题。</t>
        </is>
      </c>
    </row>
    <row r="9" ht="22" customHeight="1">
      <c r="A9" s="27" t="inlineStr">
        <is>
          <t>【和旧表的区别】砍掉 T+3/T+7/T+15 三轮明细(21列)与分享列；新增 达人层级/粉丝量/笔记起点/收藏率/是否爆文/种草承接。41列→27列。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2026-08-10T05:20:55Z</dcterms:created>
  <dcterms:modified xmlns:dcterms="http://purl.org/dc/terms/" xmlns:xsi="http://www.w3.org/2001/XMLSchema-instance" xsi:type="dcterms:W3CDTF">2026-08-10T05:20:55Z</dcterms:modified>
</cp:coreProperties>
</file>